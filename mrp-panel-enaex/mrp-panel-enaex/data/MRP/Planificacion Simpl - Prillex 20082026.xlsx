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1. Prillex\"/>
    </mc:Choice>
  </mc:AlternateContent>
  <xr:revisionPtr revIDLastSave="0" documentId="13_ncr:1_{7F1D4FF3-8DFD-49DD-90B9-00B3962CD04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2" r:id="rId1"/>
    <sheet name="Combinacion1" sheetId="8" r:id="rId2"/>
    <sheet name="Hoja1" sheetId="7" r:id="rId3"/>
    <sheet name="Nueva disp" sheetId="6" state="hidden" r:id="rId4"/>
    <sheet name="Codigos en MRP" sheetId="4" r:id="rId5"/>
    <sheet name="Materiales Eliminados del MRP" sheetId="5" r:id="rId6"/>
  </sheets>
  <externalReferences>
    <externalReference r:id="rId7"/>
  </externalReferences>
  <definedNames>
    <definedName name="_xlnm._FilterDatabase" localSheetId="5" hidden="1">'Materiales Eliminados del MRP'!$A$1:$T$253</definedName>
    <definedName name="_xlnm._FilterDatabase" localSheetId="3" hidden="1">'Nueva disp'!$A$7:$K$1318</definedName>
    <definedName name="_xlcn.WorksheetConnection_PlanificacionSimplRioLoa12052022.xlsxdata1" hidden="1">data[]</definedName>
    <definedName name="abc">#REF!</definedName>
    <definedName name="cdf">#REF!</definedName>
    <definedName name="DatosExternos_1" localSheetId="1" hidden="1">'Combinacion1'!$A$1:$F$2948</definedName>
    <definedName name="DatosExternos_1" localSheetId="0" hidden="1">data!$B$16:$U$1331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8" r:id="rId8"/>
    <pivotCache cacheId="11" r:id="rId9"/>
    <pivotCache cacheId="14" r:id="rId10"/>
    <pivotCache cacheId="17" r:id="rId11"/>
  </pivotCaches>
  <extLst>
    <ext xmlns:x14="http://schemas.microsoft.com/office/spreadsheetml/2009/9/main" uri="{876F7934-8845-4945-9796-88D515C7AA90}">
      <x14:pivotCaches>
        <pivotCache cacheId="7" r:id="rId12"/>
      </x14:pivotCaches>
    </ext>
    <ext xmlns:x14="http://schemas.microsoft.com/office/spreadsheetml/2009/9/main" uri="{BBE1A952-AA13-448e-AADC-164F8A28A991}">
      <x14:slicerCaches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Planificacion Simpl - Rio Loa 12052022.xlsx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11" i="2"/>
  <c r="K9" i="6" l="1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8" i="6"/>
  <c r="J146" i="5"/>
  <c r="J144" i="5"/>
  <c r="J142" i="5"/>
  <c r="J141" i="5"/>
  <c r="J140" i="5"/>
  <c r="J139" i="5"/>
  <c r="J136" i="5"/>
  <c r="J134" i="5"/>
  <c r="J128" i="5"/>
  <c r="J126" i="5"/>
  <c r="J125" i="5"/>
  <c r="J124" i="5"/>
  <c r="J119" i="5"/>
  <c r="J113" i="5"/>
  <c r="J112" i="5"/>
  <c r="J111" i="5"/>
  <c r="J110" i="5"/>
  <c r="J109" i="5"/>
  <c r="J108" i="5"/>
  <c r="J107" i="5"/>
  <c r="J106" i="5"/>
  <c r="J105" i="5"/>
  <c r="J104" i="5"/>
  <c r="J100" i="5"/>
  <c r="J99" i="5"/>
  <c r="J98" i="5"/>
  <c r="J96" i="5"/>
  <c r="J95" i="5"/>
  <c r="J94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7" i="5"/>
  <c r="J66" i="5"/>
  <c r="J65" i="5"/>
  <c r="J64" i="5"/>
  <c r="J63" i="5"/>
  <c r="J61" i="5"/>
  <c r="J59" i="5"/>
  <c r="J52" i="5"/>
  <c r="J51" i="5"/>
  <c r="J50" i="5"/>
  <c r="J48" i="5"/>
  <c r="J47" i="5"/>
  <c r="J46" i="5"/>
  <c r="J45" i="5"/>
  <c r="J42" i="5"/>
  <c r="J41" i="5"/>
  <c r="J39" i="5"/>
  <c r="J38" i="5"/>
  <c r="J37" i="5"/>
  <c r="J36" i="5"/>
  <c r="J34" i="5"/>
  <c r="J31" i="5"/>
  <c r="J29" i="5"/>
  <c r="J28" i="5"/>
  <c r="J27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P9" i="2"/>
  <c r="A39" i="4"/>
  <c r="A40" i="4" s="1"/>
  <c r="A41" i="4" s="1"/>
  <c r="A42" i="4" s="1"/>
  <c r="A43" i="4" s="1"/>
  <c r="A44" i="4" s="1"/>
  <c r="A35" i="4"/>
  <c r="A29" i="4"/>
  <c r="A30" i="4" s="1"/>
  <c r="A31" i="4" s="1"/>
  <c r="A32" i="4" s="1"/>
  <c r="A33" i="4" s="1"/>
  <c r="A27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3" i="4"/>
  <c r="D1" i="4"/>
  <c r="K13" i="2"/>
  <c r="B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tc={A28709B2-F87E-41F0-B5EE-E6676C6127AA}</author>
  </authors>
  <commentList>
    <comment ref="E1182" authorId="0" shapeId="0" xr:uid="{A28709B2-F87E-41F0-B5EE-E6676C6127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PANA 4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rea-Usuario" description="Conexión a la consulta 'Area-Usuario' en el libro." type="5" refreshedVersion="7" background="1" saveData="1">
    <dbPr connection="Provider=Microsoft.Mashup.OleDb.1;Data Source=$Workbook$;Location=Area-Usuario;Extended Properties=&quot;&quot;" command="SELECT * FROM [Area-Usuario]"/>
  </connection>
  <connection id="2" xr16:uid="{FCF7CACD-F052-4082-8661-CBF375D0E797}" keepAlive="1" name="Consulta - Combinacion1" description="Conexión a la consulta 'Combinacion1' en el libro." type="5" refreshedVersion="8" background="1" saveData="1">
    <dbPr connection="Provider=Microsoft.Mashup.OleDb.1;Data Source=$Workbook$;Location=Combinacion1;Extended Properties=&quot;&quot;" command="SELECT * FROM [Combinacion1]"/>
  </connection>
  <connection id="3" xr16:uid="{00000000-0015-0000-FFFF-FFFF01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4" xr16:uid="{00000000-0015-0000-FFFF-FFFF02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3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4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5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6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7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8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9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A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B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C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D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E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0F000000}" keepAlive="1" name="Consulta - data (2)(2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0000000}" keepAlive="1" name="Consulta - data (2)(2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1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2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3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4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5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6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5" xr16:uid="{00000000-0015-0000-FFFF-FFFF17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6" xr16:uid="{00000000-0015-0000-FFFF-FFFF18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7" xr16:uid="{00000000-0015-0000-FFFF-FFFF19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8" xr16:uid="{00000000-0015-0000-FFFF-FFFF1A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9" xr16:uid="{00000000-0015-0000-FFFF-FFFF1B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30" xr16:uid="{00000000-0015-0000-FFFF-FFFF1C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31" xr16:uid="{00000000-0015-0000-FFFF-FFFF1D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2" xr16:uid="{00000000-0015-0000-FFFF-FFFF1E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a].[Area].&amp;[BOM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<sst xmlns="http://schemas.openxmlformats.org/spreadsheetml/2006/main" count="26584" uniqueCount="6905">
  <si>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</si>
  <si>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</si>
  <si>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</si>
  <si>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</si>
  <si>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</si>
  <si>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</si>
  <si>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</si>
  <si>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</si>
  <si>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</si>
  <si>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</si>
  <si>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</si>
  <si>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</si>
  <si>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</si>
  <si>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</si>
  <si>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</si>
  <si>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</si>
  <si>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</si>
  <si>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CASCO SEG. TOP/GARD BLANCO C/ARNES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</si>
  <si>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</si>
  <si>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</si>
  <si>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</si>
  <si>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</si>
  <si>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</si>
  <si>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</si>
  <si>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</si>
  <si>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</si>
  <si>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</si>
  <si>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</si>
  <si>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</si>
  <si>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</si>
  <si>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AMARRAS PLASTICAS 4,8 X 200 MM</t>
  </si>
  <si>
    <t>ABRAZADERA  INDUSTRIAL Ø 1" SS 316</t>
  </si>
  <si>
    <t>GOLILLA PLANA INOX 5/8"</t>
  </si>
  <si>
    <t>PERNO INOX. 1/2" X  2"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</si>
  <si>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</si>
  <si>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</si>
  <si>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</si>
  <si>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</si>
  <si>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</si>
  <si>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</si>
  <si>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</si>
  <si>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</si>
  <si>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</si>
  <si>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</si>
  <si>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MASCARILLA DESECHABLE SIN VALVULA</t>
  </si>
  <si>
    <t>PINTURA SPRAY 475 CC COLOR NEGRO</t>
  </si>
  <si>
    <t>PARTIDORES UNIVERSALES 8 A 80 WATT</t>
  </si>
  <si>
    <t>MANGUERA PLASTICA 3/4"</t>
  </si>
  <si>
    <t>CINTA AUTOADHESIVA DE ALUMINIO 2" ANCHO</t>
  </si>
  <si>
    <t>GOLILLA PLANA INOX 1/2"</t>
  </si>
  <si>
    <t>Fecha de entrega</t>
  </si>
  <si>
    <t>FILTRO CANISTER GASES NITROSOS(10115314)</t>
  </si>
  <si>
    <t>Observación</t>
  </si>
  <si>
    <t>VALVULA BOLA 1/2" DE ACERO INOX. 316L</t>
  </si>
  <si>
    <t>VALVULA BOLA 1/4" DE ACERO INOX.316L</t>
  </si>
  <si>
    <t>VALVULA BOLA 3/4" DE ACERO INOX.</t>
  </si>
  <si>
    <t>TENIDA PU/PVC ANTIACIDA 2 pzs. T-L</t>
  </si>
  <si>
    <t>TENIDA PU/PVC ANTIACIDA 2 pzs. T-XL</t>
  </si>
  <si>
    <t>Manometro 0-10 BAR 233.50.160mm 1/2 NPT</t>
  </si>
  <si>
    <t>SELLO ROTATORIO 101677 93 220U2 / 220UL</t>
  </si>
  <si>
    <t>SELLO ESTACIONARIO 101665 94 220U2/220UL</t>
  </si>
  <si>
    <t>RETEN TRASERO CAJA ENGRANAJE P 6855 ABCD</t>
  </si>
  <si>
    <t>CHAVETA ENGRANAJE P 6855 ABCDEF</t>
  </si>
  <si>
    <t>ORING CUERPO FKM P 6855 ABCDEF</t>
  </si>
  <si>
    <t>Area</t>
  </si>
  <si>
    <t>Grupo de compras</t>
  </si>
  <si>
    <t>EAL</t>
  </si>
  <si>
    <t>EAA</t>
  </si>
  <si>
    <t/>
  </si>
  <si>
    <t>EAD</t>
  </si>
  <si>
    <t>EAO</t>
  </si>
  <si>
    <t>EAQ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</si>
  <si>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</si>
  <si>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</si>
  <si>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</si>
  <si>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</si>
  <si>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</si>
  <si>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</si>
  <si>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</si>
  <si>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</si>
  <si>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</si>
  <si>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</si>
  <si>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Fecha</t>
  </si>
  <si>
    <t>Cantidad de materiales</t>
  </si>
  <si>
    <t>Formula</t>
  </si>
  <si>
    <t>Usuario</t>
  </si>
  <si>
    <t>E002</t>
  </si>
  <si>
    <t>MTTO. MEC.</t>
  </si>
  <si>
    <t>PEDRO RAMOS - ROBERTO CASTILLO</t>
  </si>
  <si>
    <t>C</t>
  </si>
  <si>
    <t>FORMULARIO H.D.S.T. PRILLEX</t>
  </si>
  <si>
    <t>LOGISTICA</t>
  </si>
  <si>
    <t>EUGENIO MARTINEZ - SAMUEL LUTINO</t>
  </si>
  <si>
    <t>PINTURA SPRAY 475 CC COLOR AZUL</t>
  </si>
  <si>
    <t>PEDRO RAMOS - ROBERTO CASTILLO / MISAEL CORTES - CARLOS MORA</t>
  </si>
  <si>
    <t>CARTON CORRUGADO</t>
  </si>
  <si>
    <t>Cloruro de Amonio p.a.</t>
  </si>
  <si>
    <t>LAB. QA</t>
  </si>
  <si>
    <t>BARBARA GALVEZ - CAROINA GODOY</t>
  </si>
  <si>
    <t>Nitrato de Potasio</t>
  </si>
  <si>
    <t>NITRATO DE SODIO, MERCK ARTICULO 6537, E</t>
  </si>
  <si>
    <t>Formamida</t>
  </si>
  <si>
    <t>A</t>
  </si>
  <si>
    <t>PERNO TIPO U SS DE 1"</t>
  </si>
  <si>
    <t>FRASCO CUADRADO 1 LT BOCA ANCHA NEGRA</t>
  </si>
  <si>
    <t>PERNO TIPO U SS DE 1.1/4"</t>
  </si>
  <si>
    <t>CAJAS DE LAINAS "PERMABLOCK" TIPO ACERO</t>
  </si>
  <si>
    <t>PERNO TIPO U SS DE 2"</t>
  </si>
  <si>
    <t>ELECTRODO 309L Ø3/32"</t>
  </si>
  <si>
    <t>BERBABE QUILALEO - ROBERTO CASTILLO</t>
  </si>
  <si>
    <t>ELECTRODO 309 L-16 Ø1/16"</t>
  </si>
  <si>
    <t>ELECTRODO E-309 L-16  Ø5/32"</t>
  </si>
  <si>
    <t>ELECTRODO 7018  Ø3/32"</t>
  </si>
  <si>
    <t>PAULINA BRAVO - HECTOR CASTILLO</t>
  </si>
  <si>
    <t>FILTRO CANISTER AMONIACO (10115320)</t>
  </si>
  <si>
    <t>HSEC</t>
  </si>
  <si>
    <t>CAROLINA OVIES - EVELYN TORRES</t>
  </si>
  <si>
    <t>FILTRO CANISTER MIXTO (10160507)</t>
  </si>
  <si>
    <t>MTTO. EIC</t>
  </si>
  <si>
    <t>CLAUDIO PUELLES - CARLOS MORA</t>
  </si>
  <si>
    <t>CUERDA VIDA L=1.8M GANCHO ESTRUCTURERO</t>
  </si>
  <si>
    <t>CANDADO ODIS MODELO 325</t>
  </si>
  <si>
    <t>ESCOBILLA DE BRONCE CON MANGO</t>
  </si>
  <si>
    <t>CAPA PROTECTORA CRISTALINA CHESTERTON 42</t>
  </si>
  <si>
    <t>LIMPIA CONTACTOS 279  CHESTERTON.</t>
  </si>
  <si>
    <t>GRASA ROCCOL TUFGEAR 100T ENV 54 KG</t>
  </si>
  <si>
    <t>AIRE COMPRIMIDO SECO LPS QB PRECISION DU</t>
  </si>
  <si>
    <t>PAPEL LIMPIEZA TORK MOD. 420 A 1X525MTS</t>
  </si>
  <si>
    <t>HIPOCLORITO DE SODIO</t>
  </si>
  <si>
    <t>PRODUCCION</t>
  </si>
  <si>
    <t>BERNARDO BOBADILLA</t>
  </si>
  <si>
    <t>TIJERA INDUSTRIAL MULTIUSO 190MM KNIPEX</t>
  </si>
  <si>
    <t>DISCO CORTE SS Ø4 1/2" E=3/64"</t>
  </si>
  <si>
    <t>DISCO CORTE SS Ø7" E=1/16"</t>
  </si>
  <si>
    <t>ESCOBILLA INOX. 4" REF.4855A71</t>
  </si>
  <si>
    <t>JUNTA TEFLON 2 X 150 LBS.</t>
  </si>
  <si>
    <t>JUNTA TEFLON 3 X 150 LBS.</t>
  </si>
  <si>
    <t>CINTA TEFLÓN JOINT SEALANT GOROTEX 3/8</t>
  </si>
  <si>
    <t>MATRICES</t>
  </si>
  <si>
    <t>DEMETRIO ARAYA - MARIO GONZALEZ</t>
  </si>
  <si>
    <t>CINTA TEFLÓN JOINT SEALANT GOROTEX 1/2</t>
  </si>
  <si>
    <t>LETRERO COMBURENTE 5.1</t>
  </si>
  <si>
    <t>PAPEL ENGOMADO DE 2" MARCA DISOLVO</t>
  </si>
  <si>
    <t>AGOREX GEL</t>
  </si>
  <si>
    <t>LOCTITE 495 3 ML. ADHESIVO RAPIDO</t>
  </si>
  <si>
    <t>CEMENTO SC-2000</t>
  </si>
  <si>
    <t>Termometro de mercurio -20°C a 150°C</t>
  </si>
  <si>
    <t>AMPOLLETA HALOGENA 300W</t>
  </si>
  <si>
    <t>JUAN GAMBOA</t>
  </si>
  <si>
    <t>AMPOLLETA HM 250 W. E-40</t>
  </si>
  <si>
    <t>AMPOLLETA DOBLE FILAMENTO DE 60 WATT</t>
  </si>
  <si>
    <t>ENCHUFE MACHO DE 10A   GEWISS 28 004</t>
  </si>
  <si>
    <t>CINTA AISLADORA DE GOMA AUTOFUNDENTE 3M</t>
  </si>
  <si>
    <t>KIT REPARACION PROYECTOR HSM-247 SODIO 2</t>
  </si>
  <si>
    <t>PRENSA ESTOPA ISO 20 LEGRAND</t>
  </si>
  <si>
    <t>CONECTOR RECTO 1/2" OD POR 1/2" NPT AC.</t>
  </si>
  <si>
    <t>MISAEL CORTES - CLAUDIO PUELLES</t>
  </si>
  <si>
    <t>AMARRAS PLASTICAS 2,4 X 95 MM</t>
  </si>
  <si>
    <t>GOLILLAS PLANA INOX. 1/4"</t>
  </si>
  <si>
    <t>GOLILLAS M 10 A4 STAINLESS STELL WASHER</t>
  </si>
  <si>
    <t>PERNO INOX 5/8" x 3"  C/TUERCA</t>
  </si>
  <si>
    <t>PERNO M5 L=50MM SS316 C/TUERCA</t>
  </si>
  <si>
    <t>PERNO INOX 5 X 40 CON TUERCA Y GOLILLAS</t>
  </si>
  <si>
    <t>PERNO INOX. 1/2" x 1.1/2" C/TUERCA</t>
  </si>
  <si>
    <t>PERNO Ø1/2" L=3 1/2" SS 316 C/TUERCA</t>
  </si>
  <si>
    <t>PERNO INOX. 6 X 30 MM.</t>
  </si>
  <si>
    <t>PERNO M8 L=30MM SS316 C/TUERCA</t>
  </si>
  <si>
    <t>TUERCA INOX. 8 MM</t>
  </si>
  <si>
    <t>PERNO INOX. 3/4" X 2" CON TUERCA</t>
  </si>
  <si>
    <t>PERNO Ø5/8" L=2" SS316 C/TUERCA</t>
  </si>
  <si>
    <t>PERNOS TIPO U TIPO TC-1  DE 1/2"</t>
  </si>
  <si>
    <t>TUERCA HEXAGONAL A-563 DE 3/4" ACERO CAR</t>
  </si>
  <si>
    <t>TUERCA INOX. 1/2"</t>
  </si>
  <si>
    <t>TUERCA INOX. 16 MM.</t>
  </si>
  <si>
    <t>COPLA SS Ø3/4"</t>
  </si>
  <si>
    <t>FLANGE SLIP-ON A.C. 8"  150LB A-105</t>
  </si>
  <si>
    <t>BIDON PLASTICO DE 20 LTS.</t>
  </si>
  <si>
    <t>TERMOMETRO DIGITAL DE BOLSILLO</t>
  </si>
  <si>
    <t>BIDON PLASTICO DE 10 LTS.</t>
  </si>
  <si>
    <t>BIDON PLASTICO DE 5 LTS.</t>
  </si>
  <si>
    <t>MANGUERA VAPOR Ø1/2"X20M MP-MPSS316</t>
  </si>
  <si>
    <t>MANGUERA RAUFILAN 1"</t>
  </si>
  <si>
    <t>MANGA SUPERIOR DE 675MM X 840MM X 540MM</t>
  </si>
  <si>
    <t>ACEITE SHELL RIMULA SAE 40 ENV 20L</t>
  </si>
  <si>
    <t>GRASA SKF LGVE2 ENV 18KG</t>
  </si>
  <si>
    <t>SPRASOLVO 723</t>
  </si>
  <si>
    <t>GRASA ROCOL RD105 ENV 19KG</t>
  </si>
  <si>
    <t>DIELECTRESSA SOLVENTE DE SEGURIDAD</t>
  </si>
  <si>
    <t>SOLVENTE LIMPIEZA MULTIUSO TITAN-9</t>
  </si>
  <si>
    <t>ARGON EN TUBOS</t>
  </si>
  <si>
    <t>BERNABE QUILALEO - ROBERTO CASTILLO</t>
  </si>
  <si>
    <t>MALLA RACHEL 80%</t>
  </si>
  <si>
    <t>HUINCHA MASKIN 1"</t>
  </si>
  <si>
    <t>METANOL TECNICO</t>
  </si>
  <si>
    <t>BROCHA PLANA 1 1/2"</t>
  </si>
  <si>
    <t>LIJA GRUESA FIERRO N.40</t>
  </si>
  <si>
    <t>LIJA AL AGUA 320 EXTRA FINA</t>
  </si>
  <si>
    <t>LIJA AL AGUA NR. 120 FINA</t>
  </si>
  <si>
    <t>LIJA AGUA GRANO 150</t>
  </si>
  <si>
    <t>LIJA AGUA GRANO 280</t>
  </si>
  <si>
    <t>DISCO CORTE 1/8"  X  4 1/2"</t>
  </si>
  <si>
    <t>RUEDA TRASLAPADA C/VAST GR60 COD 743002</t>
  </si>
  <si>
    <t>DISCO STINGRAY ANGULADO GR50 COD 768504</t>
  </si>
  <si>
    <t>DISCO STRINGAY PLANO GR120 COD 768554</t>
  </si>
  <si>
    <t>CONECTOR RECTO 3/8 OD-3/8NPT SS-600-1-6</t>
  </si>
  <si>
    <t>CONECTOR RECTO 1/4 OD-1/8NPT SS-400-1-2</t>
  </si>
  <si>
    <t>CONECTOR RECTO ½” OD A ½” OD</t>
  </si>
  <si>
    <t>UNION T 1/2 OD SS-810-3</t>
  </si>
  <si>
    <t>TUBO PLASTICO PUN  Ø1/4"X3/64 U-BL 10BAR</t>
  </si>
  <si>
    <t>TUBO PLASTICO PUN  Ø3/8"X3/64 U-BL 10BAR</t>
  </si>
  <si>
    <t>TUBO PLASTICO PUN  Ø1/2"X3/64 U-BL 10BAR</t>
  </si>
  <si>
    <t>GRILLETE SS 304L  MOD 209</t>
  </si>
  <si>
    <t>ABRAZADERA SS 304L 10MM</t>
  </si>
  <si>
    <t>TAPA PLASTICA 2P REF 7721304 LINE MOSAIC</t>
  </si>
  <si>
    <t>CAJA 3 MOD REF 8028904 LINE MOSAIC</t>
  </si>
  <si>
    <t>PERNO M16 L=30MM SS316 C/TUERCA</t>
  </si>
  <si>
    <t>FORMULARIO H.D.S.T. ACIDO NITRICO 60%</t>
  </si>
  <si>
    <t>PERNO M12 L=35MM SS316 C/TUERCA</t>
  </si>
  <si>
    <t>BATERIA 200AM/HR LIBRE MTTO.</t>
  </si>
  <si>
    <t>PERNO COCHE Ø3/8" L=11/2" SS316 C/TUERCA</t>
  </si>
  <si>
    <t>CABLE ANTICAIDA AUTORRETRAC 6MT MSA VTEC</t>
  </si>
  <si>
    <t>CARRETE DE ATAQUE RAPIDO RED INCENDIO</t>
  </si>
  <si>
    <t>MTTO. SERVICIOS</t>
  </si>
  <si>
    <t>MANUEL LOPEZ - FREDDY ORTEGA</t>
  </si>
  <si>
    <t>EXPERT MOUSE KENSINGTON MODELO K64325</t>
  </si>
  <si>
    <t>RESINA CATIONICA LEWATIT MONOPLUS SP 112</t>
  </si>
  <si>
    <t>RESINA ANIONICA LEWATIT MONOPLUS MP 68</t>
  </si>
  <si>
    <t>ACCESORIO DISCO BASE 4"1/2 HILO M-14</t>
  </si>
  <si>
    <t>ACCESORIO DISCO BASE 7" HILO M-14</t>
  </si>
  <si>
    <t>CORCHETERA INDUSTRIAL MOD B8 HDP</t>
  </si>
  <si>
    <t>CONECTOR MACHO 1/2"OD X 1/4" NPTM SS 316</t>
  </si>
  <si>
    <t>DISCO CUBITRON 987C EN 7" GRANO 36 INOX</t>
  </si>
  <si>
    <t>DISCO CUBITRON 987C 4 1/2" GRANO 36 INOX</t>
  </si>
  <si>
    <t>DISCO CUBITRON 987C 4 1/2" GRANO 60 INOX</t>
  </si>
  <si>
    <t>CARTRIDGE TINTA IMPRESORA HANJET</t>
  </si>
  <si>
    <t>CONECTOR RECTO 1/4" NPT 1/2" OD SWAGELOK</t>
  </si>
  <si>
    <t>GUANTE NEOPRENE,PUÑO LARGO #  6784R BEST</t>
  </si>
  <si>
    <t>LETRERO N.A. PRILL N.U. 1942</t>
  </si>
  <si>
    <t>LETRERO ACIDO NITRICO N.U. 2031</t>
  </si>
  <si>
    <t>LETRERO AMMONIUM NITRATE</t>
  </si>
  <si>
    <t>VALVULA MARIPOSA ф 16" 150LB SS T/LUG</t>
  </si>
  <si>
    <t>VALVULA GATE Ø 1" 800LB SW A.C.</t>
  </si>
  <si>
    <t>CODO A.C. 90° ф 20" ESP= 16MM</t>
  </si>
  <si>
    <t>VALVULA GATE  ф 3/4"  800LB SW A.C.</t>
  </si>
  <si>
    <t>VALVULA GATE ф 1/2" 800LB SW A.C.</t>
  </si>
  <si>
    <t>FLANGE WN SS ф 1" 150LB</t>
  </si>
  <si>
    <t>"COPLA A.C. ? 3/4"" ESP= 6MM C/HILO INT.</t>
  </si>
  <si>
    <t>PERNO TIPO U S.S. 6"</t>
  </si>
  <si>
    <t>VALVULA GLOBO Ø 1" 800LB SW A.C</t>
  </si>
  <si>
    <t>SPIRAL FG CGI Ø 3/4" 600LB</t>
  </si>
  <si>
    <t>CANDADO BLOQUEO ROJO</t>
  </si>
  <si>
    <t>CAÑO LANA MINERAL Ø 6" X 80MM L=35"</t>
  </si>
  <si>
    <t>FLANGE BLIND SS Ø 1" 300LB</t>
  </si>
  <si>
    <t>CINTA AISLADORA VERDE DE PVC</t>
  </si>
  <si>
    <t>CAÑO LANA MINERAL Ø 2" X 50MM L=35"</t>
  </si>
  <si>
    <t>CAÑO LANA MINERAL Ø 1" X 50MM L=35"</t>
  </si>
  <si>
    <t>ESPARRAGO A.C. Ø 3/4" L= 4"</t>
  </si>
  <si>
    <t>CINTA SILICONA LLFA 51MMX1MMX10,91</t>
  </si>
  <si>
    <t>HIDRASINA 460-SO718.71 ENV. 50ML</t>
  </si>
  <si>
    <t>CADENA 10 B  SIMPLE</t>
  </si>
  <si>
    <t>ROLLO ALUMINIO 1MM X 1000X 50 MTS.</t>
  </si>
  <si>
    <t>BLOQUEO VALVULA MOD 482 4" A 6"</t>
  </si>
  <si>
    <t>CINTA DE DEMARCACION "NO PASAR"</t>
  </si>
  <si>
    <t>PERNO M20 L=65MM AC C/TUERCA PASO 1.5MM</t>
  </si>
  <si>
    <t>GOLILLA PRESION AC PARA PERNO M20</t>
  </si>
  <si>
    <t>ESPATULA INOXIDABLE DE 2"</t>
  </si>
  <si>
    <t>NIPLE Ø 1 1/4" SS 316 L=4"</t>
  </si>
  <si>
    <t>FORMULARIO H.D.S.T. PRILLEX LR</t>
  </si>
  <si>
    <t>FORMULARIO H.D.S.T. PRILLEX ULD</t>
  </si>
  <si>
    <t>FORMULARIO H.D.S.T. PRILLEX FR</t>
  </si>
  <si>
    <t>FORMULARIO H.D.S.T. PRILLEX H-PURE</t>
  </si>
  <si>
    <t>FORMULARIO H.D.S.T. NASOL 84</t>
  </si>
  <si>
    <t>FORMULARIO H.D.S.T. AMONIACO</t>
  </si>
  <si>
    <t>MANGUERA 3" L=15 M ACID/CHEMICAL 150 PSI</t>
  </si>
  <si>
    <t>MANGUERA VAPOR Ø3/4"X20M MP-MPSS316</t>
  </si>
  <si>
    <t>FLAT R. GASKET FG 61 X 40 E=3MM F-1602</t>
  </si>
  <si>
    <t>MALLA MONOFILAMENTO 70 N 4 X 100 POLY</t>
  </si>
  <si>
    <t>BOLSO PARA MASCARA FULLFACE</t>
  </si>
  <si>
    <t>FORMULARIO ESTANDAR DE TRANSPORTE ET-3</t>
  </si>
  <si>
    <t>FORMULARIO PERMISO DE TRABAJO SEGURO</t>
  </si>
  <si>
    <t>ZAPATO AMERICAN SHOES 5590 N°40</t>
  </si>
  <si>
    <t>ZAPATO AMERICAN SHOES 5590 N°41</t>
  </si>
  <si>
    <t>ZAPATO AMERICAN SHOES 5590 N°43</t>
  </si>
  <si>
    <t>ORDEN DE CARGAY DESPACHO SOLUC.NASOL</t>
  </si>
  <si>
    <t>ORDEN DE CARGAY DESPACHONITRATO AMON.</t>
  </si>
  <si>
    <t>ORDEN DE CARGA Y DESPACHO AMONIACO AN</t>
  </si>
  <si>
    <t>BOTIN SEGURIDAD EDELBROCK ED-106 N°37</t>
  </si>
  <si>
    <t>BOTIN SEGURIDAD EDELBROCK ED-106 N°38</t>
  </si>
  <si>
    <t>GUANTE CABRITILLA LARGO ELECTRICISTA</t>
  </si>
  <si>
    <t>BOTIN SEGURIDAD EDELBROCK ED-106 N°36</t>
  </si>
  <si>
    <t>BOTIN SEGURIDAD EDELBROCK ED-106 N°39</t>
  </si>
  <si>
    <t>BOTIN SEGURIDAD EDELBROCK ED-106 N°40</t>
  </si>
  <si>
    <t>LENTE SKYLINGHT GRIS</t>
  </si>
  <si>
    <t>LENTE SKYLINGHT CLARO</t>
  </si>
  <si>
    <t>ESCALERAS RETRACTILES TK ACIDO Y SOLUC.</t>
  </si>
  <si>
    <t>PERNO M10 L=25MM SS316 C/TUERCA</t>
  </si>
  <si>
    <t>BOTIN SEGURIDAD EDELBROCK ED-106 N°41</t>
  </si>
  <si>
    <t>BOTIN SEGURIDAD EDELBROCK ED-106 N°42</t>
  </si>
  <si>
    <t>BOTIN SEGURIDAD EDELBROCK ED-106 N°43</t>
  </si>
  <si>
    <t>BOTIN SEGURIDAD EDELBROCK ED-106 N°44</t>
  </si>
  <si>
    <t>BOTIN SEGURIDAD EDELBROCK ED-106 N°45</t>
  </si>
  <si>
    <t>ACOPLE CAMLOCK MACHO HE 3"SS</t>
  </si>
  <si>
    <t>ACOPLE CAMLOCK HEMBRA HE 3"SS</t>
  </si>
  <si>
    <t>CASCO MSA V-GARD CON ARNE COLOR VERDE</t>
  </si>
  <si>
    <t>PLANILLA ORDEN DE CARGA Y DESP.CONTEN</t>
  </si>
  <si>
    <t>BUZO PROTECCION STEELPRO 8100</t>
  </si>
  <si>
    <t>FRASCO PVC 8 LTS. BOCA 20 CM</t>
  </si>
  <si>
    <t>PERNO M10 L=63MM SS304 C/TUERCA 4240B</t>
  </si>
  <si>
    <t>PALA PLASTICA GRANDE</t>
  </si>
  <si>
    <t>BLOQUEADOR SOLAR INDIVID. SUNWORK SPF50</t>
  </si>
  <si>
    <t>GOLILLA CONCAVA SS  3/8" DIAM EXT 27 MM</t>
  </si>
  <si>
    <t>PINTURA SPRAY 475 CC COLOR VERDE</t>
  </si>
  <si>
    <t>PINTURA SPRAY 475 CC COLOR CELESTE</t>
  </si>
  <si>
    <t>PINTURA SPRAY 475 CC COLOR NARANJA</t>
  </si>
  <si>
    <t>PINTURA SPRAY 475 CC COLOR AMARILLO</t>
  </si>
  <si>
    <t>SPIRAL CGI Ø3/4"X150LB 304/FG304/304</t>
  </si>
  <si>
    <t>MANGUERA REUFILAN DE 2"</t>
  </si>
  <si>
    <t>SELECTOR MANETA CORTA P9XSMZON - 11</t>
  </si>
  <si>
    <t>CODO 90° 1/2" 800 LB S.W.  AC</t>
  </si>
  <si>
    <t>REDUCCION CONCENTRICA 3" A  2" SS 304</t>
  </si>
  <si>
    <t>FORMULARIO MATRIZ AE 59</t>
  </si>
  <si>
    <t>TARJETA ROJA DE PELIGRO</t>
  </si>
  <si>
    <t>REACTIVO COMBITITRANT 5 KARL FICHER</t>
  </si>
  <si>
    <t>BLADE INFLADO COD 052262-00400A1 U-4801</t>
  </si>
  <si>
    <t>GUIA DE CONSUMO</t>
  </si>
  <si>
    <t>MANOMETRO RADIAL Ø1/2"NPT 0-10BAR 6"</t>
  </si>
  <si>
    <t>ESPARRAGO 3/4" X 7.1/4" A.C.</t>
  </si>
  <si>
    <t>PERNO TIPO U SS DE 1/2"</t>
  </si>
  <si>
    <t>BOLSA PLASTICA 30X50 CM, E=150 MICRONES</t>
  </si>
  <si>
    <t>BANDEJA DRENAJE 7.0 LT. ARTC 24-110</t>
  </si>
  <si>
    <t>PERNO COCHE 3/4 X 1 1/2" SS316 F-5202A/B</t>
  </si>
  <si>
    <t>FLUXOR WASSER MOD HJ2008306</t>
  </si>
  <si>
    <t>PULSADOR NEME 4X CP6 - 11 VERDE</t>
  </si>
  <si>
    <t>PULSADOR NEME 4X CP6 - 11 ROJO</t>
  </si>
  <si>
    <t>PARADAS DE EMERGENCIA CON 1 NC</t>
  </si>
  <si>
    <t>SELECTOR TRES POSICIONES MANETA CORTA 2</t>
  </si>
  <si>
    <t>CONECTOR MACHO BASE Ø3/4" QF12-B-12PM</t>
  </si>
  <si>
    <t>CONECTOR MACHO ESPIGA Ø3/4" QF12-S-12PM</t>
  </si>
  <si>
    <t>DUCHAS PORTATIL LAVA OJOS SS</t>
  </si>
  <si>
    <t>SPRAY PINTURA 475CC COLOR GRIS</t>
  </si>
  <si>
    <t>APORTE TIG ER 308 L Ø 1/8"</t>
  </si>
  <si>
    <t>CINTA SEÑALIZACION PELIGRO</t>
  </si>
  <si>
    <t>CUERDA VIDA KEVLAR TIPO Y COD 278512 MSA</t>
  </si>
  <si>
    <t>DIPHOTERINE LAVAOJO LPM</t>
  </si>
  <si>
    <t>SPRAY LAVADO CUTANEO  MICRO Y MINI DAP</t>
  </si>
  <si>
    <t>SPRAY LAVADO CUTANEO  MICRO  DAP</t>
  </si>
  <si>
    <t>GUARDERA P/CORREA CURVA  3640-14</t>
  </si>
  <si>
    <t>LUMINARIA HALURO METAL 250 W. COLGANTE</t>
  </si>
  <si>
    <t>INTERRUPTOR FEN36TD250KF 200-250 A</t>
  </si>
  <si>
    <t>LINEA DE VIDA MSA TIPO Y 1.8 MTS ELASTIC</t>
  </si>
  <si>
    <t>TRAJE AMONIACO MOD MICROCHEM 4000</t>
  </si>
  <si>
    <t>REDUCCION SS  1/2" OD A 3/4" OD</t>
  </si>
  <si>
    <t>TUBO ENSAYO 30 ML GRADUADO</t>
  </si>
  <si>
    <t>G</t>
  </si>
  <si>
    <t>ROL</t>
  </si>
  <si>
    <t>ELECTRODO 7018 Ø1/8"</t>
  </si>
  <si>
    <t>ELECTRODO 7018  Ø5/32"</t>
  </si>
  <si>
    <t>ELECTRODO 308L  Ø3/32"</t>
  </si>
  <si>
    <t>ELECTRODO 6010  Ø3/32"</t>
  </si>
  <si>
    <t>ELECTRODO 6010  Ø1/8"</t>
  </si>
  <si>
    <t>DISCO CORTE 7" X 1/8"</t>
  </si>
  <si>
    <t>ABRAZADERA  INDUSTRIAL Ø 3/4" SS 316</t>
  </si>
  <si>
    <t>MANOMETRO 0-28BAR Ø6" FLG 2"X300LB</t>
  </si>
  <si>
    <t>LINTERNA HEADLIGHT 3 LED P/CASCO</t>
  </si>
  <si>
    <t>SILICONA ACETICA TRANSPARENTE 300ML</t>
  </si>
  <si>
    <t>GABINETE MANGUERA -EXTINTOR 1620x730x315</t>
  </si>
  <si>
    <t>GABINETE  MANGUERA -EXTINTOR 750x750x305</t>
  </si>
  <si>
    <t>PLASTICO POLIETILENO L=100M  A=2M</t>
  </si>
  <si>
    <t>SWITCH DOBLE DESAL CORREA KIEPE VG 033/6</t>
  </si>
  <si>
    <t>REPUESTO MODELO SWITCH KIEPE 21515141000</t>
  </si>
  <si>
    <t>LETRERO NITTRA 57 % - 61 %</t>
  </si>
  <si>
    <t>ICAJA SUMADORA 4 LG TSCALE</t>
  </si>
  <si>
    <t>BIOPENETRANTE INHIBIDOR CORROSION</t>
  </si>
  <si>
    <t>REGULADOR FISCHER 67CFSR-39 DE 1/4" INOX</t>
  </si>
  <si>
    <t>FORMULARIO H.D.S.T. MATRIZ NBX-07</t>
  </si>
  <si>
    <t>FORMULARIO H.D.S.T. MATRIZ DL-5</t>
  </si>
  <si>
    <t>RW FILTRO DE AIRE NP ZS1104905S K-5901B</t>
  </si>
  <si>
    <t>PITON POLICARBONATO CON ESPIGA DE 1"</t>
  </si>
  <si>
    <t>DIPOTHERINE 50 ML  15 LIS</t>
  </si>
  <si>
    <t>COMPUESTO AISLANTE SUPERFICIE 16 ONZ</t>
  </si>
  <si>
    <t>MANOMETRO 0-16 BAR Ø6" FLG 2"X300LB</t>
  </si>
  <si>
    <t>ETIQUETA CAYAKU</t>
  </si>
  <si>
    <t>MINIRELE 4 POLOS  C9-A41FX/24 VDC</t>
  </si>
  <si>
    <t>CONO DE SEGURIDAD 36" COLOR NARANJA</t>
  </si>
  <si>
    <t>POLIN DE RETORNO  DIA. 20/89 MM L:750MM</t>
  </si>
  <si>
    <t>FILTRO CARTUCHO VEOPP 40X5µ</t>
  </si>
  <si>
    <t>FILTRO CARTUCHO VEOPP 20X4X5µ</t>
  </si>
  <si>
    <t>MATRAZ ERLENMEYER VIDRIO 2000ML BOCA ANC</t>
  </si>
  <si>
    <t>LENTE SEGUR DELTA BALISTICO DUAL IN-OUT</t>
  </si>
  <si>
    <t>REACTIVO MOD CL17 856151 HACH</t>
  </si>
  <si>
    <t>RODILLERA ACOLCHADA CON POLIESTER Y PVC</t>
  </si>
  <si>
    <t>CONECTOR CODO PVC 3/4"" 90° PARA CONDUI</t>
  </si>
  <si>
    <t>CONECTOR HEMBRA BASE 1/2" QF8-B-8PF</t>
  </si>
  <si>
    <t>MEMBRANA  TORAY Ø8"X L=40"</t>
  </si>
  <si>
    <t>CODO AC 90° Ø3/4" BW SCH=STD</t>
  </si>
  <si>
    <t>BUZO PAPEL NARANJO TALLA L</t>
  </si>
  <si>
    <t>BUZO PAPEL NARANJO TALLA XL</t>
  </si>
  <si>
    <t>POMELE AC Ø1" L=4"</t>
  </si>
  <si>
    <t>BARBIQUEJO MSA</t>
  </si>
  <si>
    <t>SELLO METALICO 1/2" DENTADO TIPO R</t>
  </si>
  <si>
    <t>ZUNCHO PLASTICO 1/2" X 0.5MM</t>
  </si>
  <si>
    <t>LETRERO NITTRA 57% - 61% OXPERSAC</t>
  </si>
  <si>
    <t>CILINDRO CO2 C/SIFON ENV.27 KGS</t>
  </si>
  <si>
    <t>MANOMETRO 0-7BAR 1/4NPT EXT.65MM 313D4DZ</t>
  </si>
  <si>
    <t>ORDEN DE CARGA Y DESPACHO MATRIZ</t>
  </si>
  <si>
    <t>CAÑO LANA MINERAL Æ 4" X 50MM L=35"</t>
  </si>
  <si>
    <t>ETIQUETA MATERIA PRIMA</t>
  </si>
  <si>
    <t>EMPAQ.1850X1800X3,2MM FLEXPRO PN/304L/FG</t>
  </si>
  <si>
    <t>BOTIN SEGURIDAD VFLEX V-100 N°40</t>
  </si>
  <si>
    <t>BOTIN SEGURIDAD VFLEX V-100 N°41</t>
  </si>
  <si>
    <t>BOTIN SEGURIDAD VFLEX V-100 N°42</t>
  </si>
  <si>
    <t>BOTIN SEGURIDAD VFLEX V-100 N°43</t>
  </si>
  <si>
    <t>BOTIN SEGURIDAD VFLEX V-100 N°44</t>
  </si>
  <si>
    <t>BOTIN SEGURIDAD VFLEX V-100 N°45</t>
  </si>
  <si>
    <t>ELEMENTO FILTRO MOD N10DM002 FM-25</t>
  </si>
  <si>
    <t>BOTIN SEGURIDAD EDELBROCK ED-106 N°46</t>
  </si>
  <si>
    <t>ZAPATO AMERICAN SHOES 5590 N°39</t>
  </si>
  <si>
    <t>ZAPATO AMERICAN SHOES 5590 N°42</t>
  </si>
  <si>
    <t>ZAPATO AMERICAN SHOES 5590 N°44</t>
  </si>
  <si>
    <t>JUNTA EXPANSION 4"X150 HR-830/PTFE</t>
  </si>
  <si>
    <t>ETIQUETA N° 3375</t>
  </si>
  <si>
    <t>ORDEN CARGA Y DESPACHO ACIDO NIT GRANEL</t>
  </si>
  <si>
    <t>ORDEN CARGA Y DESPA ACIDO NIT TAMBORES</t>
  </si>
  <si>
    <t>SALVAVIDAS CIRCULAR 2 1/2" KG</t>
  </si>
  <si>
    <t>ELECTRODO BLUE LINE 14 VIDRIO</t>
  </si>
  <si>
    <t>CABLE LOCK OUT APCLO</t>
  </si>
  <si>
    <t>CANDADO BLOQUEO  LOTO AZUL</t>
  </si>
  <si>
    <t>CANDADO BLOQUEO LOTO VERDE</t>
  </si>
  <si>
    <t>CUBRENUCA ANTICACIDO ADOSABLE CASCO</t>
  </si>
  <si>
    <t>CATAVIENTOS 1,70 MT</t>
  </si>
  <si>
    <t>LAVAOJOS AXION SP65</t>
  </si>
  <si>
    <t>ROCOL DRY MOLY SPRAY 400ML R10025</t>
  </si>
  <si>
    <t>FORMULARIO CERTIFICADO DE BLOQUEOS</t>
  </si>
  <si>
    <t>FORMULARIO PTE - 2</t>
  </si>
  <si>
    <t>FORMULARIO PTE - 3</t>
  </si>
  <si>
    <t>FORMULARIO PTE - 4</t>
  </si>
  <si>
    <t>FORMULARIO PTE - 5</t>
  </si>
  <si>
    <t>FORMULARIO PTE - 7</t>
  </si>
  <si>
    <t>FORMULARIO PTE - 8</t>
  </si>
  <si>
    <t>BARRE AGUA CON MANGO</t>
  </si>
  <si>
    <t>SILICONA ACETICA ALUMINIO</t>
  </si>
  <si>
    <t>MASCARA FULL FACE MSA DOS VIAS</t>
  </si>
  <si>
    <t>GRASA ROCCOL TUFGEAR 100T ENV 18 KG</t>
  </si>
  <si>
    <t>CORREA TRANSMISIÓN OPTIBELT VB-LD A-30</t>
  </si>
  <si>
    <t>CATAVIENTO C/MASTIL FIJO A. TOTAL=3,65MT</t>
  </si>
  <si>
    <t>PROTECTOR OIDO T/FONO 3M X1P3</t>
  </si>
  <si>
    <t>FORMULARIO HDS PRILLEX ME</t>
  </si>
  <si>
    <t>JGO. DUCHA CROMO ANTICALCAREO STRETTO</t>
  </si>
  <si>
    <t>MONOMANDO DUCHA MILAN</t>
  </si>
  <si>
    <t>GRIFERIA TEMP BOJEN NOTE CW8002001</t>
  </si>
  <si>
    <t>COMBINACION LAVAPLATOS ARIZONA</t>
  </si>
  <si>
    <t>FLANGE SW 2" X 150LB SS316L</t>
  </si>
  <si>
    <t>FOCO 250W HALURO METALICO</t>
  </si>
  <si>
    <t>GASKET END CLIP EPDM Q030EPDMB306101990</t>
  </si>
  <si>
    <t>GASKET FLOW EPDM Q030EPDM B303002160</t>
  </si>
  <si>
    <t>GUANTE  NITRILO KLEENGUARD G10 FLEX T S</t>
  </si>
  <si>
    <t>GUANTE  NITRILO KLEENGUARD G10 FLEX T L</t>
  </si>
  <si>
    <t>GUANTE  NITRILO KLEENGUARD G10 FLEX T M</t>
  </si>
  <si>
    <t>FORMULARIO H.D.S. SOLUCION N.A. FRIA</t>
  </si>
  <si>
    <t>Nitrogeno 99,9999%; PN3/4</t>
  </si>
  <si>
    <t>Cilin. 80PPM NO2(NOX); Bal Aire; PN3/4</t>
  </si>
  <si>
    <t>FLANGE SW 3"" 150LB SCH10 SS316L</t>
  </si>
  <si>
    <t>Manometro 0-16 BAR 233.50.160mm 1/2 NPT</t>
  </si>
  <si>
    <t>Manometro 0-25 BAR 233.50.160mm 1/2 NPT</t>
  </si>
  <si>
    <t>Malla Pan and Cover 203Ø50 marca CISA</t>
  </si>
  <si>
    <t>Malla tamiz 203x50x850µm marca CISA</t>
  </si>
  <si>
    <t>PTFE Encapsulated 'O'-Ring TTMM</t>
  </si>
  <si>
    <t>Cil. 160PPM N20;16PPM NO; Bal.N2;PN3-4</t>
  </si>
  <si>
    <t>FILTRO  AMONIACO LIQUIDO 3 MICRAS</t>
  </si>
  <si>
    <t>APORTE TIG ER-70S-2 DE 3/32</t>
  </si>
  <si>
    <t>ELECTRODO E-7018-1 DE 3/32</t>
  </si>
  <si>
    <t>FOSFATO TRISODICO NALCO°47147 25KG</t>
  </si>
  <si>
    <t>CORREA TRANSMISION EN V A-47</t>
  </si>
  <si>
    <t>BBA EVAC. CONDENSADO MAXI ORANGE FP2210</t>
  </si>
  <si>
    <t>KIT CERRADURA POMO + CERROJO</t>
  </si>
  <si>
    <t>TAPA VENTILADOR FRAME DR80 BE  1,1KW</t>
  </si>
  <si>
    <t>CAÑO LANA MINERAL Ø 3/4" X 50MM L=35"</t>
  </si>
  <si>
    <t>PROTECCION PARADA EMERGENCIA Æ 22 MM</t>
  </si>
  <si>
    <t>UNION AMERICAN ALTA PRESION 1" SCH80</t>
  </si>
  <si>
    <t>COPLA PVC ALTA PRESION 1" SCH80</t>
  </si>
  <si>
    <t>PERNO GR 8.8 DIAM 22X105 C/TUERCA</t>
  </si>
  <si>
    <t>GRASERAS H1 M6 INOX.304</t>
  </si>
  <si>
    <t>GRASERAS H1 M8 INOX.304</t>
  </si>
  <si>
    <t>GRASERAS H1 M10 INOX.304</t>
  </si>
  <si>
    <t>FORMULARIO H.D.S. PRILLEX HD</t>
  </si>
  <si>
    <t>GRASERAS H2 M6 INOX.304</t>
  </si>
  <si>
    <t>GRASERAS H2 M8 INOX.304</t>
  </si>
  <si>
    <t>GRASERAS H2 M10 INOX.304</t>
  </si>
  <si>
    <t>GRASERAS H3 M6 INOX.304</t>
  </si>
  <si>
    <t>GRASERAS H3 M8 INOX.304</t>
  </si>
  <si>
    <t>GRASERAS H3 M10 INOX.304</t>
  </si>
  <si>
    <t>CAÑERIA 6"AC SCH.40 ASTM A106 S/COST</t>
  </si>
  <si>
    <t>ORING VITON øINT.9mm ESP 2,5MM PARA LANZ</t>
  </si>
  <si>
    <t>CODO SW 2" 90° AC SCH.80 ASTM A106</t>
  </si>
  <si>
    <t>COPLA SW CRIO. A-350  Ø1 1/2" 3000LBS</t>
  </si>
  <si>
    <t>PERNO ANCLAJE INOX. 1/2 X 5.1/2 Y TUERCA</t>
  </si>
  <si>
    <t>PERFIL CUADRADO SS 100X50X2MM L=6MT</t>
  </si>
  <si>
    <t>ETIQUETA COLGANTE COLOR AMARILLO</t>
  </si>
  <si>
    <t>BIDON GRADUADO 5 LTS. COLOR AMARILLO</t>
  </si>
  <si>
    <t>BIDON GRADUADO 5 LTS. COLOR ROJO</t>
  </si>
  <si>
    <t>CATAVIENTO 2,4 M</t>
  </si>
  <si>
    <t>TAPON GOMA HORADADO NO.6½ 25MM X 37MM</t>
  </si>
  <si>
    <t>PIPETA PASTEUR PLASTICA 3 ML</t>
  </si>
  <si>
    <t>PINTURA INTERTHANE 990</t>
  </si>
  <si>
    <t>ADELGAZADOR GTA 220</t>
  </si>
  <si>
    <t>ADELGAZADOR GTA 713</t>
  </si>
  <si>
    <t>FILTRO MOD B27/27 MAQ_FILRADORA ACEITE</t>
  </si>
  <si>
    <t>PERFIL CUADRADO A.C. 50X50X3MM L= 6 MT</t>
  </si>
  <si>
    <t>PERFIL CUADRADO A.C. 40X40X3MM L= 6 MT</t>
  </si>
  <si>
    <t>ANGULO LAMINADO A.C. 40X40X3MM L= 6 MT</t>
  </si>
  <si>
    <t>CELDA VIDRIO 25MM GRAD. 10-20-25ML DR890</t>
  </si>
  <si>
    <t>TOBERA ATOMIZADORA TPU800067-SS</t>
  </si>
  <si>
    <t>CAP TOBERA ATOMIZADORA CP1325-SS</t>
  </si>
  <si>
    <t>ANTIEMPAÑANTE SPRAY PARA VISERAS Y GAFAS</t>
  </si>
  <si>
    <t>GUANTE ANTI IMPACTO EX5-NF D3O T-S</t>
  </si>
  <si>
    <t>GUANTE ANTI IMPACTO EX5-NF D3O T-M</t>
  </si>
  <si>
    <t>GUANTE ANTI IMPACTO EX5-NF D3O T-L</t>
  </si>
  <si>
    <t>GUANTE CABRITILLA CORTO S/FORRO TALLA L</t>
  </si>
  <si>
    <t>LETRERO QUIMEX ACIDO NITRICO 60%</t>
  </si>
  <si>
    <t>Papel Imp.Brother 62MMx30,48m DK-2205</t>
  </si>
  <si>
    <t>JUNTA 1 1/2" TFE-O-SIL RED EACH</t>
  </si>
  <si>
    <t>EMPAQUETADURA PARA MIRILLA DE VIDRIO 340</t>
  </si>
  <si>
    <t>MICA PARA MIRILLA DE VIDRIO 340 X 34 X 1</t>
  </si>
  <si>
    <t>ANILLO BUNA-70 2-338 F-8103AB</t>
  </si>
  <si>
    <t>ANILLO BUNA-70  2-309 F-8103AB</t>
  </si>
  <si>
    <t>ELEMENTO FILTRO SIEVE CTD</t>
  </si>
  <si>
    <t>SPIRAL CGI Ø10"X300LB 304/PTFE304/304</t>
  </si>
  <si>
    <t>POLIN DE CARGA  DIA. 20/89 MM  250 LARGO</t>
  </si>
  <si>
    <t>SKF OBTURADOR . MODEL: TSNA-511-L</t>
  </si>
  <si>
    <t>SELLO MECANICO MONORESORTE 19 MM UNIDAD</t>
  </si>
  <si>
    <t>BOMBA SUMERGIBLE ZENIT MOD: DRENO 200/2/</t>
  </si>
  <si>
    <t>BOMBA TRASV. LUTZ MOD: NIRO 41 -L.#0151-</t>
  </si>
  <si>
    <t>RODAMIENTO RODILLO 22219EK SKF</t>
  </si>
  <si>
    <t>CORREA TRANSMISION SPB-2240 DIN 7753</t>
  </si>
  <si>
    <t>GRAFITO SECADOR 185 X 150 X 25 MM</t>
  </si>
  <si>
    <t>RODAMIENTO BOLA  6219 SKF</t>
  </si>
  <si>
    <t>HEXAGONAL HD SCREWS 3/8" UNC  X  3/4" LG</t>
  </si>
  <si>
    <t>HEXAGONAL SCREWS 3/8" UNC X  1/2" LG  C/</t>
  </si>
  <si>
    <t>HEXAGONAL SCREWS 1/2" UNC X  1 1/2" LG</t>
  </si>
  <si>
    <t>LOCKNUT DESIGNATION KM 12 MARCA SKF</t>
  </si>
  <si>
    <t>MANGUITO FIJACION H-319 SKF</t>
  </si>
  <si>
    <t>ANILLO DE FIJACION 2 FRB /12-5/170</t>
  </si>
  <si>
    <t>DESCANSO SNH 519 519-616 SKF S-9205</t>
  </si>
  <si>
    <t>RODAMIENTO SKF 32028 X PARA S-9202/03</t>
  </si>
  <si>
    <t>TAPA LATERAL ASNH- 519-616 PARA SECADOR</t>
  </si>
  <si>
    <t>RETEN ACEITE Ø 60X75X10</t>
  </si>
  <si>
    <t>PERNO 1"X4" GRADE 8,8 PARA BASE MOTRIZ S</t>
  </si>
  <si>
    <t>GASKET REF: DN 1", PN 150#,S=2</t>
  </si>
  <si>
    <t>TRANSPARENT GLASSES KLINGER  B-  IX  PAR</t>
  </si>
  <si>
    <t>UPS MARCA KOLF  MOD BLACK 3000 VA PARA G</t>
  </si>
  <si>
    <t>BUFFER DE PREPARACION MUESTRA PH-4, MOD.</t>
  </si>
  <si>
    <t>BUFFER DE PREPARACION MUESTRA PH-7, MOD:</t>
  </si>
  <si>
    <t>FLAT RING GASKET GRAPHITE 8" 150 BAR REF</t>
  </si>
  <si>
    <t>FLAT RING GASKET GRAPHITE 12" 150 BAR RE</t>
  </si>
  <si>
    <t>FLAT RING GASKET GORE TEX GR 3/4" 150 BA</t>
  </si>
  <si>
    <t>FLAT RING GASKET GORE TEX GR 4" 150 BAR</t>
  </si>
  <si>
    <t>SPIRAL CGI Ø1"X150LB 304/PTFE304/304</t>
  </si>
  <si>
    <t>SPIRAL CGI Ø2"X150LB 304/PTFE304/304</t>
  </si>
  <si>
    <t>SPIRAL CGI Ø3"X150LB 304/PTFE304/304</t>
  </si>
  <si>
    <t>SPIRAL CGI Ø4"X150LB 304/PTFE304/304</t>
  </si>
  <si>
    <t>SPIRAL WOUND GASKET SS304 PTFE SS 6" 150</t>
  </si>
  <si>
    <t>SPIRAL CGI Ø3/4"X300LB 304/PTFE304/304</t>
  </si>
  <si>
    <t>SPIRAL CGI Ø1"X 300LB 304/PTFE304/304</t>
  </si>
  <si>
    <t>SPIRAL CGI Ø 1 1/2"X300LB 304/PTFE304/30</t>
  </si>
  <si>
    <t>SPIRAL CGI Ø2" X 300LB 304/PTFE304/304</t>
  </si>
  <si>
    <t>SPIRAL CGI Ø3" X 300LB 304/PTFE304/304</t>
  </si>
  <si>
    <t>SPIRAL W. GASKET CGI Ø1/2"X150LB FG</t>
  </si>
  <si>
    <t>EMPAQUETADURA TEFLON 6" 150# ESPESOR 2MM</t>
  </si>
  <si>
    <t>RETEN ACEITE Ø 90X120X13</t>
  </si>
  <si>
    <t>FILTRO DE CARTUCHO 5 MICR. DE 2,5" X 30"</t>
  </si>
  <si>
    <t>FLANGE WN 304L 2" 150LB SCH10</t>
  </si>
  <si>
    <t>FILTRO PETROLEO 01160243</t>
  </si>
  <si>
    <t>FILTRO ACEITE 1174421</t>
  </si>
  <si>
    <t>RW FILTRO AIRE COD. C1158 1697 K-5901/A</t>
  </si>
  <si>
    <t>RODAMIENTO 30213</t>
  </si>
  <si>
    <t>CORREA TRANSMISION  SPA-2240</t>
  </si>
  <si>
    <t>PLANCHA DE TEFLON 48" X 48" X 1/16"</t>
  </si>
  <si>
    <t>ELEMENT OIL FILTER ESD200 COD. FG2140-20</t>
  </si>
  <si>
    <t>FILTRO ACEITE BY-PASS (INCLUYE 3 VALVULA</t>
  </si>
  <si>
    <t>GASKET D. 2.732/2.700×3 MATERIAL IT-C</t>
  </si>
  <si>
    <t>FLOCON 260</t>
  </si>
  <si>
    <t>MECH SEAL COVER 10234595 P-3502 P-07</t>
  </si>
  <si>
    <t>SPIRAL CGI Ø1"X150LB 304/FG304/304</t>
  </si>
  <si>
    <t>SPIRAL W. GASKET Ø2"X150 304/304FG/304</t>
  </si>
  <si>
    <t>SPIRAL W. GASKET Ø3"X150 304/304FG/304</t>
  </si>
  <si>
    <t>SPIRAL  CGI Ø6"X150LB 304/FG304/304</t>
  </si>
  <si>
    <t>SPIRAL W. GASKET CGI Ø 1"X300 FG</t>
  </si>
  <si>
    <t>SPIRAL CGI Ø1 1/2"X300LB 304/FG304/304</t>
  </si>
  <si>
    <t>SPIRAL W. GASKET Ø2"X300 304/304FG/304</t>
  </si>
  <si>
    <t>SPIRAL W. GASKET Ø 3"X300 304/304FG/304</t>
  </si>
  <si>
    <t>CABLE SS 304L Ø10MM</t>
  </si>
  <si>
    <t>POLIN DE RETORNO  DIA. 20/89MM   L:1150</t>
  </si>
  <si>
    <t>SPRAY INYECTABLE POLIURETANO EP15-VF</t>
  </si>
  <si>
    <t>GRASA MOBIL XHP 222 ENV 16KG</t>
  </si>
  <si>
    <t>TRANSMISOR PH ROSEMOUNT MOD 5081 P</t>
  </si>
  <si>
    <t>SENSOR DE PH ROSEMOUNT MOD 396-54-62</t>
  </si>
  <si>
    <t>SKF TAPA LATERAL. MODEL: ASNH - 516-613</t>
  </si>
  <si>
    <t>MANGUITO FIJACION H-317 SKF</t>
  </si>
  <si>
    <t>CORREA TRANSMISION SPA-2500 DIN 7753</t>
  </si>
  <si>
    <t>SELLO ENTRADA-SALIDA S-4704  IMP.</t>
  </si>
  <si>
    <t>CORREA TANSMISION SPC-2000 DIN 7753</t>
  </si>
  <si>
    <t>RODAMIENTO ACOPLAM HIDRAULICO 6024</t>
  </si>
  <si>
    <t>SENSOR LEUZE HRT-96K/R1690-1200-25</t>
  </si>
  <si>
    <t>BBA LUBRIC NEUMATICA MOD 0234701 DROPSA</t>
  </si>
  <si>
    <t>FILTRO TIPO BOLSA 592MM X 592MM X 600MM</t>
  </si>
  <si>
    <t>TERMOCUPLA MOD TC-10 CABEZAL BSZ-H PAN4</t>
  </si>
  <si>
    <t>CUCHILLO CORTA SACO DE CERAMICA HAVER</t>
  </si>
  <si>
    <t>BBA SUMERGIBLE  2" MOD DW 200/2HP</t>
  </si>
  <si>
    <t>FLAT RING GASKET PTFE DN20 PN40  1/8"</t>
  </si>
  <si>
    <t>ESLINGA DOBLE TELA ANCHO 50MM LARGO 6MT</t>
  </si>
  <si>
    <t>FLANGE WN 2" 300 10S B.W. A-182;GR.F304L</t>
  </si>
  <si>
    <t>FILTRO COALESCENTE N1612 PART B2-91</t>
  </si>
  <si>
    <t>FLANGE WN 1"300 RF ASTM A-182 GR.F-304L</t>
  </si>
  <si>
    <t>CELDA CARGA MOD.9123-A5-4K-20P1</t>
  </si>
  <si>
    <t>CANDADO MOD.750 MARCA ODIS (46MM)</t>
  </si>
  <si>
    <t>FLANGE WN 304L 2" 150LB SCH40</t>
  </si>
  <si>
    <t>CAÑERIA  2RE10  1"</t>
  </si>
  <si>
    <t>POSICIONADOR SIMPLE SRI986 BIDS7ZZZNA-FA</t>
  </si>
  <si>
    <t>CAPACHO SUHMW 162X230 MM ESPESOR 4 MM</t>
  </si>
  <si>
    <t>POSICIONADOR SAMSON MOD.3730-3 C/SWITCH</t>
  </si>
  <si>
    <t>RODAMIENTO RODILLO 32215 J2/Q SKF S-9202</t>
  </si>
  <si>
    <t>ORING GOMA ESP=5MM</t>
  </si>
  <si>
    <t>VALVULA BOLA SS 1/2" OD SWAGELOK</t>
  </si>
  <si>
    <t>PINION RETAINING PLATE C2063  ITEM-9</t>
  </si>
  <si>
    <t>KEYWAY C2063 ITEM 23</t>
  </si>
  <si>
    <t>KEYWAY C2063 ITEM 24</t>
  </si>
  <si>
    <t>POLIN RETORNO 90X1190 CON TOPE H-4801</t>
  </si>
  <si>
    <t>TORNILLO M8X12 SS316 POS 5051 P-6857</t>
  </si>
  <si>
    <t>PASADOR CILINDRICO POS 5070 P-6857AB</t>
  </si>
  <si>
    <t>PERNO PARKER M6X16MM POS 5095 P-6857AB</t>
  </si>
  <si>
    <t>ORING 40X2.5MM PERBUNAN POS 5105 P-6857</t>
  </si>
  <si>
    <t>ORING 120X3.5MM PERBUNAN POS 5106</t>
  </si>
  <si>
    <t>RETEN EJE 85X120X12MM NITRILO POS 7091</t>
  </si>
  <si>
    <t>PROTECTOR SM KNM105SBE POS 8021 P-6857</t>
  </si>
  <si>
    <t>PROTECTOR SM KNE100SBE POS 5086 P-6857</t>
  </si>
  <si>
    <t>ORING 128X3MM PERBUNAN POS 8025 P-6857</t>
  </si>
  <si>
    <t>FILTRO REGULADOR Y LUBRICADOR FRC 1/2"</t>
  </si>
  <si>
    <t>O'RING 174X4 MM  P-6857 A/B</t>
  </si>
  <si>
    <t>PATA LCS CON ROTULA 1/2 - 20</t>
  </si>
  <si>
    <t>SPRAY  60022 PERMANENTE 500 ML TESA</t>
  </si>
  <si>
    <t>HIPOCLORITO CALCIO TABLETA</t>
  </si>
  <si>
    <t>CORCHETES 1/4"B8</t>
  </si>
  <si>
    <t>SELLO MECANICO ROTAN MOD.CD51 P-6850A/B</t>
  </si>
  <si>
    <t>ELECTROVALVULA 5/2 S/R CONEX. 1/4" 24VDC</t>
  </si>
  <si>
    <t>ELECTROVALVULA 3/2 S/R CONEX. 1/4" 24VDC</t>
  </si>
  <si>
    <t>ELECTROVALVULA 5/2; S/R 1/4" 24VDC NAMUR</t>
  </si>
  <si>
    <t>ANILLOS RASCHING 20MMX20MM</t>
  </si>
  <si>
    <t>ABSORVENTE VEGETAL BOLSA 5KG</t>
  </si>
  <si>
    <t>AMPOLLETA HALURO TUBULAR 100W E40 ZING</t>
  </si>
  <si>
    <t>LOCTITE RTV SILICONA TRANSP. ADHESIVE</t>
  </si>
  <si>
    <t>RODILLO EMPUJE TAMBOR C2063-RDTR-02-01</t>
  </si>
  <si>
    <t>SELLO MEC. DOBLE 65MM ESTILO D323 SC-SC</t>
  </si>
  <si>
    <t>ACOPLE RAPIDO 3/4" HEMBRA HE INOX</t>
  </si>
  <si>
    <t>ORING TAPA SILICONA #36 MOD 130U1 P-6870</t>
  </si>
  <si>
    <t>ROTOR DOBLE ALA ALLOY#9 MOD220 U1 P-6864</t>
  </si>
  <si>
    <t>EJE CONDUCIDO #7 MOD220 U1 P-6864 ABC</t>
  </si>
  <si>
    <t>ORING TAPA SILICONA #36 MOD220 U1 P-6864</t>
  </si>
  <si>
    <t>TUERCA ROTOR #26 MOD 220 U1 P-6864 ABC</t>
  </si>
  <si>
    <t>ROD.FRONTAL #16 MOD 220 U1 P-6864 ABC</t>
  </si>
  <si>
    <t>ROD.TRASERO #15 MOD 220 U1 P-6864 ABC</t>
  </si>
  <si>
    <t>RETEN TAPA ENGR. ROD.#12 MOD220 U1 P6864</t>
  </si>
  <si>
    <t>RETEN FRON. CAJA ROD.#14 MOD220 U1 P6864</t>
  </si>
  <si>
    <t>ORING SELLO SILICONA #81 MOD220 U1 P6864</t>
  </si>
  <si>
    <t>ORING EJE SELLO SIL.#82 MOD220 U1 P-6864</t>
  </si>
  <si>
    <t>SELLO ROT. CARB SIL.#86 MOD220 U1 P-6864</t>
  </si>
  <si>
    <t>SELLO CARB SILICIO#87 MOD220 U1 P-6864</t>
  </si>
  <si>
    <t>RESORTE SELLO #88 MOD 220 U1 P-6864 ABC</t>
  </si>
  <si>
    <t>PERNO 5/16X1 INOX.304 CON TUERCA-GOLILLA</t>
  </si>
  <si>
    <t>HOJA DATO SEGURIDAD HDS MATRIZ VE-03</t>
  </si>
  <si>
    <t>REGULADOR PRESION SAMSON 1/4 0.5-6 BAR</t>
  </si>
  <si>
    <t>AMPLIFICADOR SAMSON 3710 PART N°2541893</t>
  </si>
  <si>
    <t>ACOPLAMIENTO FLEXOMAX GE-128 P-6864/67</t>
  </si>
  <si>
    <t>GOMA ACOPLE FLEXOMAX GE-128 P-6864/67</t>
  </si>
  <si>
    <t>AMPOLLETA 26W PL-C 840/P 4PINES PHILLIPS</t>
  </si>
  <si>
    <t>EJE CORTO N° PART 8  REF.220009001 P-68</t>
  </si>
  <si>
    <t>UNIV.CABLE GLAND M32X1,5 TYP23254D M4501</t>
  </si>
  <si>
    <t>CABLE GLAND NPT 1/4" 1-5MM M-4501</t>
  </si>
  <si>
    <t>EMPAQ.ESPIROM. 48"X150 CGI/304/FG/304</t>
  </si>
  <si>
    <t>ARANDELA 220U1 P-6864 ABC</t>
  </si>
  <si>
    <t>TUERCA FIJACION 220U1 P-6864 ABC</t>
  </si>
  <si>
    <t>MAKE UP BASE MEK 500ML T17001-C01</t>
  </si>
  <si>
    <t>MANGA DESCARGA 140X1800 TEX-1000/TH3535</t>
  </si>
  <si>
    <t>TRANSM.PRESION -1 A 100 BAR CONEX.1/2</t>
  </si>
  <si>
    <t>VISOR ACEITE M20 X 1,5 130U1 P-6854/67</t>
  </si>
  <si>
    <t>VALVULA MARIPOSA SS 12"X150LB T/LUG CF8M</t>
  </si>
  <si>
    <t>TRANSMISOR TEMPERATURA 0-100°C</t>
  </si>
  <si>
    <t>TRANSMISOR TEMPERATURA 0-150°C</t>
  </si>
  <si>
    <t>TRANSMISOR TEMPERATURA 0-200°C</t>
  </si>
  <si>
    <t>TAMBOR ELANILLADO 60 LITROS</t>
  </si>
  <si>
    <t>TUBO FLUORESCENTE TL5 28W</t>
  </si>
  <si>
    <t>PACKING SET 3/4 X 1.3/8 TFE-CARBON/TFE</t>
  </si>
  <si>
    <t>CAPACHO IGNIFUGA UHMW 160X115X80MM</t>
  </si>
  <si>
    <t>VARILLA ANCLAJE HIT-Z-R 5/8"" X 6""</t>
  </si>
  <si>
    <t>TRANSM.PRESION DIF. CON SELLO REMOTO</t>
  </si>
  <si>
    <t>RELOJ DIGITAL GRANDE DE PARED</t>
  </si>
  <si>
    <t>EJE CORTO 130 U1 P 6855 ABCDEF</t>
  </si>
  <si>
    <t>ROTOR DOBLE ALA ALLOY 88 HOT P 6855ABCDE</t>
  </si>
  <si>
    <t>RODAMIENTO TRASERO P 6855 ABCDEF</t>
  </si>
  <si>
    <t>RODAMIENTO FRONTAL P 6855 ABCDEF</t>
  </si>
  <si>
    <t>ORING TAPA FKM P 6855 ABCDEF</t>
  </si>
  <si>
    <t>CONTRATUERCA ENGRANAJE P 6855 ABCDEF</t>
  </si>
  <si>
    <t>SELLO ASIENTO CARBURO SILICIO P 6855 ABC</t>
  </si>
  <si>
    <t>SELLO INTERIOR CARBURO SILICIO P 6855 AB</t>
  </si>
  <si>
    <t>SPIRAL CGI Ø24"X150LB 321/PTFE321/321</t>
  </si>
  <si>
    <t>KIT EMPAQ P-293 DE 1/32" PARA MULTITAPA</t>
  </si>
  <si>
    <t>LINTERNA RECARGABLE TK20R FENIX</t>
  </si>
  <si>
    <t>MANGA DESCARGA 330X1400 TEX-1000/TH3535</t>
  </si>
  <si>
    <t>MANGA CONICA 525X455X600 P/S-9301</t>
  </si>
  <si>
    <t>EMPAQUETADURA 304/F 330 X 430X 3/4"X4,5M</t>
  </si>
  <si>
    <t>EMPAQUETADURA GRAFITO 30"X150</t>
  </si>
  <si>
    <t>Cojinete central KH020-CBK (Cot. 14-02)</t>
  </si>
  <si>
    <t>Cojinete Empuje KH020-TBK(Cot. 14-02)</t>
  </si>
  <si>
    <t>BM TERMINAL DESNUDO 25MM2/8MM</t>
  </si>
  <si>
    <t>PANEL CRISTAL ANTIAC.PVC2 PAN 25A3 A-54</t>
  </si>
  <si>
    <t>SWITCH AMPLIFIER KFD2-SR2-EXC2.28</t>
  </si>
  <si>
    <t>Tornillo Cierre W4085 B-M10x1-St-ADC3K-</t>
  </si>
  <si>
    <t>Piñon Entrada Reductor;Marca:Flander</t>
  </si>
  <si>
    <t>PUNTILLA COMPRESION 0.75MM 500 UN</t>
  </si>
  <si>
    <t>PUNTILLA COMPRESION 1,5MM 500UN BM00603</t>
  </si>
  <si>
    <t>PUNTILLA DOBLE 0.75 200UN BM00653</t>
  </si>
  <si>
    <t>PUNTILLA DOBLE 1,5MM 200UN BM00657</t>
  </si>
  <si>
    <t>STUD BOLT 3/4"" X 270MM A193 GR.B7 2 NU</t>
  </si>
  <si>
    <t>MANTA CALEFACTORA MOD. CGE TAMBOR 200 LT</t>
  </si>
  <si>
    <t>BOBINA C/CONECTOR 24V W-9301A/B</t>
  </si>
  <si>
    <t>TRANSMISOR PRESION 1"X300LB AREA 68</t>
  </si>
  <si>
    <t>VALVULA GLOBO DN15 PN63-160 TAG M-8101</t>
  </si>
  <si>
    <t>Barra agitacion magnetica 48,5mm x 7mm</t>
  </si>
  <si>
    <t>Sello PTFE 1/2" a 3", Ajusta packing</t>
  </si>
  <si>
    <t>Phmetro digital portatil mod. A221</t>
  </si>
  <si>
    <t>CASING WEAR RING REF.1513 P-4506</t>
  </si>
  <si>
    <t>PERNO CAB.HEX. 3/4 X 2.1/4".HC.C/T.GDO</t>
  </si>
  <si>
    <t>SOPORTE-RODAMIENTO FY 1.1/8 TF</t>
  </si>
  <si>
    <t>HEX.BOLTM24 100MM+C/W ALLSTEEL NUT/WASHE</t>
  </si>
  <si>
    <t>RJ45 Stecker TM21 hirose gs.beige VE50</t>
  </si>
  <si>
    <t>Celda de carga 5000Kg</t>
  </si>
  <si>
    <t>TAPA MECANIS. MFP14DN40/40PN16V15L P4718</t>
  </si>
  <si>
    <t>ROD SNH 22519 GAL MS1N2 C2036RMD02 02</t>
  </si>
  <si>
    <t>NIPLE BASE RODILLO AXIAL C2063RDTR02 02</t>
  </si>
  <si>
    <t>TUBERIA NIPLE BASE ROD.AXIAL RDTR 02 02</t>
  </si>
  <si>
    <t>SPUR RING CORONA S-9205 KA-AU-92T-0012-0</t>
  </si>
  <si>
    <t>ROTOR B NM090-03S18 316UM80 CROM NETCHZ</t>
  </si>
  <si>
    <t>BUJE ACL B NM105-B 316 NETCHZ</t>
  </si>
  <si>
    <t>ANILLO SEGUR NL100 316 NETCHZ</t>
  </si>
  <si>
    <t>PASADOR CI 316 FORMA B 25h8X136 NETCHZ</t>
  </si>
  <si>
    <t>PASADOR CI NL 100 4320 FORM A TEMPERADO</t>
  </si>
  <si>
    <t>BUJE SEGUR NM105-B 316 NETCHZ</t>
  </si>
  <si>
    <t>ANILLO APERTO SM B NE100 316 NETCHZ</t>
  </si>
  <si>
    <t>ANILLO PERBUNAN PB 70-8 NETCHZ</t>
  </si>
  <si>
    <t>MALLA CON LUZ DE 1,0MM Y ALAMBRE 0,5MM</t>
  </si>
  <si>
    <t>ABRAZADERA ALTA PRESION 12"CIERRE PARTID</t>
  </si>
  <si>
    <t>FIBRA CERAMICA KAOWOOL 50MM</t>
  </si>
  <si>
    <t>MIRILLA TRANSP.ALTO IMPACTO 1/2 NPT</t>
  </si>
  <si>
    <t>MIRILLA TRANSP.ALTO IMPACTO 3/4 NPT</t>
  </si>
  <si>
    <t>ACEITE TURBO S4-GX46 SHELL 208,1L</t>
  </si>
  <si>
    <t>INTERRUPTOR MAG PROX P/RAN DSL 6 C/CABLE</t>
  </si>
  <si>
    <t>ETIQUETA RESIDUO CLASE 5.1 COMBURENTE</t>
  </si>
  <si>
    <t>ETIQUETA RESIDUO CLASE 6 TOXICO</t>
  </si>
  <si>
    <t>ETIQUETA RESIDUO CLASE 9 MISCELANEO</t>
  </si>
  <si>
    <t>CONECTOR MORDAZA M10X1 MOD 12631</t>
  </si>
  <si>
    <t>RODAMIENTO 10X 22215 EAKW33EE C3</t>
  </si>
  <si>
    <t>MALLA SS304L 3000X1000 MESH 15X15X3MM</t>
  </si>
  <si>
    <t>SENSOR NH3 0-200 PPM HONEYWELL AREA 51</t>
  </si>
  <si>
    <t>VALV DUO CHECK SS316 12"150 T/WAFER EPDM</t>
  </si>
  <si>
    <t>ABRAZADERA W4 29-31 MM</t>
  </si>
  <si>
    <t>MATRAZ VIDRIO AFORADO 100ML CUELLO GRADU</t>
  </si>
  <si>
    <t>FLANGE SLIP ON A105 ANSI RF 16"</t>
  </si>
  <si>
    <t>FLANGE SOCKET A105 ANSI 150 R.F. 2"</t>
  </si>
  <si>
    <t>BATERIA LITIO MOD. LS 17330 3.6V AREA51</t>
  </si>
  <si>
    <t>BOMBA SUMERGIBLE MOD. GQG 6-21 C/TRITUR</t>
  </si>
  <si>
    <t>ELECTROVALV CH1 5/2 1/4 ME RR 24VCC GM</t>
  </si>
  <si>
    <t>ENGRASADOR COMPLETO ZS1139054EO</t>
  </si>
  <si>
    <t>PERNO SUJECION CUERPO 3/8-18X4,5 P-6864</t>
  </si>
  <si>
    <t>EJE DE ACOPLE B NM105-14V 316 P-6857</t>
  </si>
  <si>
    <t>RETEN ACEITE 75x95x10</t>
  </si>
  <si>
    <t>CHAIRS-ZAPATAS MAT Fe GRADO 17 S-9205</t>
  </si>
  <si>
    <t>FILTRO SEDIMENTO H=10XØ4,5" 5 MICRONESMa</t>
  </si>
  <si>
    <t>PERNO TIPO U 3"</t>
  </si>
  <si>
    <t>PERNO TIPO U 4"</t>
  </si>
  <si>
    <t>RW FILTRO DE ACEITE 98262220EA K-5941</t>
  </si>
  <si>
    <t>RL LITRO ACEITE EX-DTEHEAVYMEDIUM K-5941</t>
  </si>
  <si>
    <t>LUMINARIA CAMPANA UFO EKOLED 150W 6000K</t>
  </si>
  <si>
    <t>SET</t>
  </si>
  <si>
    <t>MANOMETRO ESFERA Ø6" 0-20BAR FLG 2"300LB</t>
  </si>
  <si>
    <t>KIT COMPRESOR 8000 HRS. NP: CK8135-2</t>
  </si>
  <si>
    <t>TRANSMISOR DE FLUJO FIT-46017</t>
  </si>
  <si>
    <t>TRANSMISOR DE FLUJO FIT-9129</t>
  </si>
  <si>
    <t>FLUJÓMETRO REMOTO DIGITAL FIT-81100</t>
  </si>
  <si>
    <t>PARRILLA GALV. ARS-8 38X5 970X6000 TTMM</t>
  </si>
  <si>
    <t>RETEN ACEITE BA-SF Ø75X130X12/8 NBR</t>
  </si>
  <si>
    <t>OXIGENO EN TUBOS</t>
  </si>
  <si>
    <t>EMPAQUE Ø24"X150LB MAT FG</t>
  </si>
  <si>
    <t>VARILLA ANCLAJE HIT-Z-R 3/8"" X 6 3/8"</t>
  </si>
  <si>
    <t>CARTRIDGE TINTA NEGRA R20 3770K W-9301</t>
  </si>
  <si>
    <t>SKF RODAM. RODILLO 22320EKCC3</t>
  </si>
  <si>
    <t>POLEA MOTOR DIA. 250MM  6 CANALES</t>
  </si>
  <si>
    <t>POLEA VENTILADOR DIA.280MM 6 CANALES</t>
  </si>
  <si>
    <t>POLEA MOTOR DIA. 250MM 4 CANALES</t>
  </si>
  <si>
    <t>POLEA VENTILADOR DIA. 400MM 4 CANALES</t>
  </si>
  <si>
    <t>POLEA MOTOR DIA. 250MM 3 CANALES</t>
  </si>
  <si>
    <t>POLEA VENTILADOR DIA.160MM 3 CANALES</t>
  </si>
  <si>
    <t>SHAFT DIAMETRO 125, 1.301 LONG.  POS.5</t>
  </si>
  <si>
    <t>SKF DESCANSO RODAMIE. SNH 522-619 POS.4</t>
  </si>
  <si>
    <t>SKF RODAMIENTO 22222  CCW/33 POS.4b</t>
  </si>
  <si>
    <t>SKF TUERCA DEL EJE KM 22 POS.4d</t>
  </si>
  <si>
    <t>SKF ARANDELA DE FIJACION MB 22 POS.4e</t>
  </si>
  <si>
    <t>SKF OBTURADOR DOBLE LABIO TSN218L POS.6a</t>
  </si>
  <si>
    <t>TRANSMION ACOPLAMIE. 110 64 SHD-F POS.7</t>
  </si>
  <si>
    <t>FUELLE NW 1400 LADO SUCCION POS.8</t>
  </si>
  <si>
    <t>FUELLE GR. 1400 LADO DESCARGA POS.9</t>
  </si>
  <si>
    <t>CAMISA DEL EJE ART. N° A-171022-4 POS.3</t>
  </si>
  <si>
    <t>IMPELLER DIAMETRO 1900 CCW POS.1</t>
  </si>
  <si>
    <t>SHAFT DIA. 115,  1226 LONG.  POS.5</t>
  </si>
  <si>
    <t>SKF OBTURADOR TSNA 220L POS.4a</t>
  </si>
  <si>
    <t>SKF ANILLOS FIJACION  FRB 12/180 POS.4c</t>
  </si>
  <si>
    <t>SKF TUERCA DEL EJE  KM-20 POS.4d</t>
  </si>
  <si>
    <t>SKF OBTURADOR DOBLE TSNA  317-G POS.6a</t>
  </si>
  <si>
    <t>SKF RODAMIENTO 21317-E POS.6b</t>
  </si>
  <si>
    <t>SELLO DE POLVO DIA. 100 GRAFITO POS.2</t>
  </si>
  <si>
    <t>FUELLE  NW 1120 LADO SUCCION POS.8</t>
  </si>
  <si>
    <t>FUELLE  GR. 1120  LADO DESCARGA POS.9</t>
  </si>
  <si>
    <t>CAMISA DEL EJE ART. N° A-171026-4 POS.3</t>
  </si>
  <si>
    <t>SKF RODAMIENTO 1317 K/C3 POS.5b</t>
  </si>
  <si>
    <t>SKF MANGUITO FIJACION H-317 POS.5c</t>
  </si>
  <si>
    <t>FUELLE NW 900 LADO SUCCION POS.8</t>
  </si>
  <si>
    <t>FUELLE  GR. 900  LADO DESCARGA POS.9</t>
  </si>
  <si>
    <t>IMPELLER COMPLETE DIA. 1180 POS.1</t>
  </si>
  <si>
    <t>SELLOS DE POLVO  DIA. 75 GRAFITO POS.2</t>
  </si>
  <si>
    <t>FUELLE  GR. 1000  LADO DESCARGA POS.9</t>
  </si>
  <si>
    <t>CAMISA DEL EJE ART. N° A-171023-4 POS.3</t>
  </si>
  <si>
    <t>IMPELLER COMPLETE DIAMETRO 1450  POS.1</t>
  </si>
  <si>
    <t>SHAFT DIA.60  929 LONG. POS.5</t>
  </si>
  <si>
    <t>SKF PEDESTAL BEARING SNH 515-612  POS.4</t>
  </si>
  <si>
    <t>SKF OBTURADOR TSNA 612G POS.4a</t>
  </si>
  <si>
    <t>SKF RODAMIENTO  2312 K/C3 POS.4b</t>
  </si>
  <si>
    <t>SKF ANILLOS FIJACION  FRB  5/130 POS.4d</t>
  </si>
  <si>
    <t>SKF RODAMIENTO  1312 K/C3 POS.4e</t>
  </si>
  <si>
    <t>SKF MANGUITO FIJACION  H-2312 POS.4c</t>
  </si>
  <si>
    <t>GATES CORREAS TRANSM. LARGO=2120MM POS.6</t>
  </si>
  <si>
    <t>FUELLE  NW 500  LADO SUCCION POS.7</t>
  </si>
  <si>
    <t>FUELLE GR. 500  LADO DESCARGA POS.8</t>
  </si>
  <si>
    <t>CAMISA DEL EJE ART. N° A-171038-4 POS.3</t>
  </si>
  <si>
    <t>IMPELLER DIA.665 MATERIAL 1.4541 POS.1</t>
  </si>
  <si>
    <t>LOCKER TENSION CLIP SCREENCL.SERIE:</t>
  </si>
  <si>
    <t>LOCKER CLEANING BALLS KAROLEE POS. 19</t>
  </si>
  <si>
    <t>LOCKER COVER CLAMP SERIE:</t>
  </si>
  <si>
    <t>LOCKER V-BELT C70 POS. 25</t>
  </si>
  <si>
    <t>LOCKER TOP COVER POS. 17</t>
  </si>
  <si>
    <t>SKF RODAMIENTO 22228CC/C3W33</t>
  </si>
  <si>
    <t>VALVULA COMPUERTA AC SGA 200A.V20. T4704</t>
  </si>
  <si>
    <t>SELLO MONORESORTE 65 MM, MODELO MGI/G60S</t>
  </si>
  <si>
    <t>ABB MOTOR 10HP/7.5 KW</t>
  </si>
  <si>
    <t>TRANSMION ACOPLAMIE. 125 64 ShD-F  POS.7</t>
  </si>
  <si>
    <t>SKF RODAMIENTO SKF 22224-EK C3 POS.</t>
  </si>
  <si>
    <t>SKF RODAMIENTO 22218-EK C3 POS.G</t>
  </si>
  <si>
    <t>SKF ANILLOS FIJACION FRB-14/215 POS.</t>
  </si>
  <si>
    <t>SKF ANILLOS FIJACION FRB 12.5/160 POS.H</t>
  </si>
  <si>
    <t>SKF OBTURADOR  SKF TSN-524-L</t>
  </si>
  <si>
    <t>TARNOS ANILLO TIPO SPIROX POS. R</t>
  </si>
  <si>
    <t>SKF RODAMIENTO BOLA 6222</t>
  </si>
  <si>
    <t>SKF RODAM. RODILLO 22320EC3</t>
  </si>
  <si>
    <t>SKF RODAMIENTO 22218 CCW/33 POS.6b</t>
  </si>
  <si>
    <t>LOCKER  DRIVE HEAD PULLEY POS. 22</t>
  </si>
  <si>
    <t>LOCKER INSPECT. COVER SERIE:</t>
  </si>
  <si>
    <t>LOCKER MANGA DESCARGA  Ø970XL400MM</t>
  </si>
  <si>
    <t>LOCKER MANGA DESCARGA Ø970XL500MM</t>
  </si>
  <si>
    <t>LOCKER SET ENGRANAJES  POS.  20/21</t>
  </si>
  <si>
    <t>LOCKER TAPAS ABRAZADERA PESTILLO DE CUBI</t>
  </si>
  <si>
    <t>CODIFICADOR RYNAN 1040 H TAG W-2301</t>
  </si>
  <si>
    <t>CARTRIDGE TINTA RYNAN 2770 NEGRO W-2301</t>
  </si>
  <si>
    <t>CODIFICADOR RYNAN R20 DOBL CABEZAL W9301</t>
  </si>
  <si>
    <t>TARNOS MALLA SUPERIOR FINA 0,9X0,5MM</t>
  </si>
  <si>
    <t>PERNO PARKER  M16X50MM MAT.AC 8.8 S-4701</t>
  </si>
  <si>
    <t>SKF DESCANSO RODAMIENTO SNH 218 POS.6</t>
  </si>
  <si>
    <t>IMPELLER DIAMETRO 1405 CCW POS.1</t>
  </si>
  <si>
    <t>SKF DESCANSO RODAMI. SNH 520-617 POS.4</t>
  </si>
  <si>
    <t>ABB. MOTOR ELÉC. 75KW/1475RPM/4POLOS</t>
  </si>
  <si>
    <t>LOCKER SLIPPER PLATE RGFS70 SERIE:</t>
  </si>
  <si>
    <t>LOCKER SLIPPER BALL RGFC70 SERIE:</t>
  </si>
  <si>
    <t>LOCKER PLATION SLEEVE ELLIPT POS. 33</t>
  </si>
  <si>
    <t>LOCKER M SILICON SEALING STRIP POS. 6622</t>
  </si>
  <si>
    <t>LOCKER M SEALING STRIP YJS04</t>
  </si>
  <si>
    <t>LOCKER DRIVE HEAD SET CRANKPIN POS. 20</t>
  </si>
  <si>
    <t>LOCKER LOWER SIEVE FRAME POS. 4</t>
  </si>
  <si>
    <t>LOCKER STAINL.STEEL SCREENC. TOP DECK</t>
  </si>
  <si>
    <t>LOCKER MOTOR PULLEY POS. 23</t>
  </si>
  <si>
    <t>TARNOS CORREA TREPEZOIDAL POS. C</t>
  </si>
  <si>
    <t>SKF OBTURADOR  SKF TSN-518-L POS.I</t>
  </si>
  <si>
    <t>SKF OBTURADOR TSNA 222G POS.4a</t>
  </si>
  <si>
    <t>SKF RODAMIENTO 22317-E POS. K</t>
  </si>
  <si>
    <t>SKF ANILLOS FIJACION FRB 13.5/200 POS.4c</t>
  </si>
  <si>
    <t>TARNOS BOLA DE REBOTE</t>
  </si>
  <si>
    <t>SKF SOPORTE DESCANSO SNL-524-620 POS.</t>
  </si>
  <si>
    <t>SKF SOPORTE DESCANSO SKF SNL-526 POS.M</t>
  </si>
  <si>
    <t>SKF RODAMIENTO SKF 22226-EK C3 POS.P</t>
  </si>
  <si>
    <t>SKF MANGUITO FIJACION SKF H-3124 POS.</t>
  </si>
  <si>
    <t>SKF MANGUITO  SKF H-3126 POS.Q</t>
  </si>
  <si>
    <t>SKF MANGUITO FIJACION  H-318 POS.J</t>
  </si>
  <si>
    <t>SKF ANILLO FIJACION SKF FRB-13/230 POS.K</t>
  </si>
  <si>
    <t>SKF TAPA RETENCION RODAMIENTO POS. E</t>
  </si>
  <si>
    <t>TARNOS TUERCA DE FRENO POS. B</t>
  </si>
  <si>
    <t>TARNOS ARANDELA SEGURIDAD MB-14 POS. C</t>
  </si>
  <si>
    <t>TARNOS MUELLE AISLANTE SOPORTE POS. A</t>
  </si>
  <si>
    <t>TARNOS EJE MODELO CS-2512-E POS. V</t>
  </si>
  <si>
    <t>TARNOS CARCASA DEL VIBRADOR POS. H</t>
  </si>
  <si>
    <t>TARNOS ESPACIADOR POS. U</t>
  </si>
  <si>
    <t>TARNOS TAPA DEFLECTORA POS. D</t>
  </si>
  <si>
    <t>SKF PORTA  RODAMIENTO POS. J</t>
  </si>
  <si>
    <t>TARNOS ANILLO RENTENCION EXTERIOR POS. S</t>
  </si>
  <si>
    <t>TARNOS POLEA MOTOR C/ MANGUITO POS. B</t>
  </si>
  <si>
    <t>ABB. MOTOR ELÉC. 37KW/980RPM/6POLOS</t>
  </si>
  <si>
    <t>TARNOS CONTRAPESO POS. W</t>
  </si>
  <si>
    <t>TARNOS PROTECCION DEL CONTRAPESO POS. AA</t>
  </si>
  <si>
    <t>TARNOS PROTECCION DEL CONTRAPESO</t>
  </si>
  <si>
    <t>ABB. MOTOR ELÉC. 250KW/1489RPM POS.D</t>
  </si>
  <si>
    <t>ABB. MOTOR ELÉC. 18,5KW/1465RPM POS.</t>
  </si>
  <si>
    <t>TARNOS MUELLE DE TENSION</t>
  </si>
  <si>
    <t>TARNOS MALLA INFERIOR GRUESA 3,16X0,8MM</t>
  </si>
  <si>
    <t>TARNOS CIRCLIP EXTERIOR 80MM</t>
  </si>
  <si>
    <t>SKF SOPORTE DESCANSO SNL-518-615 POS.F</t>
  </si>
  <si>
    <t>SHAFT DIA. 80 ; 1101 LONG.  POS.6</t>
  </si>
  <si>
    <t>DISCO PANTALLA B-13.05.147/K K4703 POS.L</t>
  </si>
  <si>
    <t>EJE DESCANSO-VENTILADOR DEL K4704. POS.N</t>
  </si>
  <si>
    <t>RODETE DIA.= 1350 M/M EFECTIVO POS.B</t>
  </si>
  <si>
    <t>DISCO PANTALLA B-13.06.135/I 4704 POS.YP</t>
  </si>
  <si>
    <t>ROTEX ARAÑA ELASTICA ROTEX-125 POS.</t>
  </si>
  <si>
    <t>SKF RODAMIENTO BOLA S3222</t>
  </si>
  <si>
    <t>LOCKER M NEOPREN SEALING STRIP RYJN-L008</t>
  </si>
  <si>
    <t>LOCKER INLET SLEEVE Ø300MM POS. 29</t>
  </si>
  <si>
    <t>LOCKER SLIDE PAD BALL POS. 27</t>
  </si>
  <si>
    <t>PERFIL GOMA APOYO MALLA SUP. POS.V</t>
  </si>
  <si>
    <t>TARNOS JUNTA CENTRAL GOMA POS. T</t>
  </si>
  <si>
    <t>COMPENSADOR DE ASPIRACIÓN K4704 POS.H</t>
  </si>
  <si>
    <t>COMPENSADOR DE IMPULSION K4704 POS.I</t>
  </si>
  <si>
    <t>JHON CRANE ACOPLAMIENTO BTLKS-0500 POS.R</t>
  </si>
  <si>
    <t>MENBRANA  PARA ACOPLAMIENTO BTLKS-0500</t>
  </si>
  <si>
    <t>CASQUILLO MATERIAL   (CAMISA) POS.P</t>
  </si>
  <si>
    <t>CIERRE ESPEY TURBO K4702A/B POS.O</t>
  </si>
  <si>
    <t>CIERRE ESPEY TURBO 125MM POS.A</t>
  </si>
  <si>
    <t>COMPENSADOR DE ASPIRACIÓN K4702A/B POS.H</t>
  </si>
  <si>
    <t>COMPENSADOR ASPIRACIÓN K4703A/B POS.YK</t>
  </si>
  <si>
    <t>ACOPLAMIENTO BTLKS-0300-0688-1300 POS.YA</t>
  </si>
  <si>
    <t>COMPENSADOR DE IMPULSION K4702A/B POS.I</t>
  </si>
  <si>
    <t>COMPENSADOR DE IMPULSION K4703A/B POS.YI</t>
  </si>
  <si>
    <t>ANILLOS PLANO B-13.06.126/K POS.ZE</t>
  </si>
  <si>
    <t>CASQUILLO  (CAMISA)  POS.P</t>
  </si>
  <si>
    <t>CIERRE ESPEY TURBO K4705 POS.O</t>
  </si>
  <si>
    <t>COMPENSADOR DE ASPIRACIÓN K4705 POS.H</t>
  </si>
  <si>
    <t>COMPENSADOR DE IMPULSION K4705 POS.I</t>
  </si>
  <si>
    <t>ANILLOS PLANO B-13.06.150/G POS.YW</t>
  </si>
  <si>
    <t>CIERRE ESPEY TURBO 90MM K4706 POS.YK</t>
  </si>
  <si>
    <t>EJE  DIA. 110  M/M POS.D</t>
  </si>
  <si>
    <t>COMPENSADOR DE ASPIRACIÓN K4706 POS.YK</t>
  </si>
  <si>
    <t>EJE DIA. 110  M/M POS.T</t>
  </si>
  <si>
    <t>COMPENSADOR DE IMPULSION K4706 POS.YI</t>
  </si>
  <si>
    <t>JHON CRANE.MENBRANA ACOPLAMI. BTLKS-0300</t>
  </si>
  <si>
    <t>DISCO PANTALLA B-13.06.150/G K4706 POS.L</t>
  </si>
  <si>
    <t>MENBRANA ACOPLAMIENTO BTLKS-0500 POS.</t>
  </si>
  <si>
    <t>EJE DIA.  80 M/M  POS.D</t>
  </si>
  <si>
    <t>DISCO PANTALLA B-13.06.126/K K4705 POS.X</t>
  </si>
  <si>
    <t>ACOPLAMIENTO BTLKS-0500-0688-1480 POS.YA</t>
  </si>
  <si>
    <t>MENBRANA ACOPLAMIENTO BTLKS-0500 K4706</t>
  </si>
  <si>
    <t>ACOPLAMIENTO BTLKS-0500-0688-1210 POS.YF</t>
  </si>
  <si>
    <t>RODETE DIA. 1500 M/M  EFECTIVO POS.B</t>
  </si>
  <si>
    <t>ANILLOS PLANO B-13.05.147/K POS.YW</t>
  </si>
  <si>
    <t>ANILLOS PLANO B-13.05.182/K POS.ZE</t>
  </si>
  <si>
    <t>SKF ARANDELA DE FIJACION MB-20 POS.4e</t>
  </si>
  <si>
    <t>ROTEX ARAÑA ELASTICA ROTEX-110 POS.</t>
  </si>
  <si>
    <t>MENBRANA PARA ACOPLAMIE. BTLKS-0300 POS.</t>
  </si>
  <si>
    <t>ANILLOS PLANO B-13.06.144/A POS.ZF</t>
  </si>
  <si>
    <t>COMPENSADOR DE ASPIRACIÓN K4707 POS.YM</t>
  </si>
  <si>
    <t>COMPENSADOR DE IMPULSION K4707 POS.YK</t>
  </si>
  <si>
    <t>DISCO PANTALLA B-13.06.144/A K4707 POS.V</t>
  </si>
  <si>
    <t>EJE DIA. 80  M/M   POS.D</t>
  </si>
  <si>
    <t>ACOPLAMIENTO BTSKS-0135-0688-1210 POS.YG</t>
  </si>
  <si>
    <t>EJE DIA. 115  M/M AISI 304L POS.T</t>
  </si>
  <si>
    <t>CIERRE ESPEY TURBO 90MM K4707 POS.ZE</t>
  </si>
  <si>
    <t>FUELLE  NW 1000  LADO SUCCION POS.8</t>
  </si>
  <si>
    <t>MENBRANA PARA ACOPLAMIENTO BTSKS-0135</t>
  </si>
  <si>
    <t>RODETE DIA.  1260 M/M  EFECTIVO POS.B</t>
  </si>
  <si>
    <t>RODETE DIA. 1470 M/M EFECTIVO POS.B</t>
  </si>
  <si>
    <t>RODETE DIA. 1966 m/m  EFECTIVO POS.B</t>
  </si>
  <si>
    <t>RODETE  DIA. 1440 M/M  EFECTIVO POS.B</t>
  </si>
  <si>
    <t>ABB. MOTOR ELÉC. 315KW/1500RPM POS.D</t>
  </si>
  <si>
    <t>ABB. MOTOR ELÉC. 200KW/1500RPM POS.D</t>
  </si>
  <si>
    <t>ABB.MOTOR ELÉC. 55KW/750RPM/8POLOS POS.D</t>
  </si>
  <si>
    <t>DISCO PANTALLA B-13.05.182/K K4702 POS.X</t>
  </si>
  <si>
    <t>TARNOS PLETINA FIJACION CENTRAL POS. S</t>
  </si>
  <si>
    <t>TARNOS TORNILLO PANEL DOBLE COMBA POS. R</t>
  </si>
  <si>
    <t>TARNOS ARANDELAS DE SEGURIDAD</t>
  </si>
  <si>
    <t>TARNOS POLEA DEL VIBRADOR POS. Z</t>
  </si>
  <si>
    <t>TARNOS ARANDELA ALTA RESISTENCIA</t>
  </si>
  <si>
    <t>TARNOS TORNILLO DE CABEZA HEXG. POS. Y</t>
  </si>
  <si>
    <t>TARNOS SEGMENTO DE CONTRAPESO POS. X</t>
  </si>
  <si>
    <t>TARNOS CHAVETA</t>
  </si>
  <si>
    <t>TARNOS BANDEJA DE CHAPA PERFORADA POS. Q</t>
  </si>
  <si>
    <t>TARNOS TORNILLO CABEZA HEXG. POS. P</t>
  </si>
  <si>
    <t>PERFIL GOMA APOYO MALLA INF. POS.M</t>
  </si>
  <si>
    <t>TARNOS PLACA DE TENSION DE MALLA POS. J</t>
  </si>
  <si>
    <t>TARNOS TORNILLO TENSION, CONJUNTO POS. H</t>
  </si>
  <si>
    <t>TARNOS TAPON DE TUBO MAGNETICO POS. Q</t>
  </si>
  <si>
    <t>TARNOS ARANDELA GRUESA DE SEGURIDAD</t>
  </si>
  <si>
    <t>TORNILLO CABEZA CILIN. OPUESTO POS. M</t>
  </si>
  <si>
    <t>TARNOS TORNILLO CABEZA HEXAGONAL POS. A</t>
  </si>
  <si>
    <t>LOCKER PVC SURROUNDING BOTTOM DECK 4114X</t>
  </si>
  <si>
    <t>LOCKER PVC SURROUNDING TOP DECK 4317X201</t>
  </si>
  <si>
    <t>LOCKER SLIPPER SOCKET RGC70</t>
  </si>
  <si>
    <t>LOCKER V-BELT C-68 POS. 25</t>
  </si>
  <si>
    <t>LOCKER OUTLET SLEEVE Ø300MM POS. 30</t>
  </si>
  <si>
    <t>LOCKER INOX SURROUNDING-TOP DECK 2146X20</t>
  </si>
  <si>
    <t>LOCKER INOX SURROUNDING-BOTTOM DECK</t>
  </si>
  <si>
    <t>LOCKER PINION SHAFT DWG:W933M10-40-8.8.</t>
  </si>
  <si>
    <t>LOCKER OILPUMP ASSEMBLY POS. 10</t>
  </si>
  <si>
    <t>LOCKER OIL PUMP DRIVE ARM POS. 12</t>
  </si>
  <si>
    <t>LOCKER CABLE SUSPE. DWG:KU-92-T-0010-003</t>
  </si>
  <si>
    <t>LOCKER ROTATION MONITOR  POS. 35</t>
  </si>
  <si>
    <t>LOCKER SLIDE PLATE POS. 28</t>
  </si>
  <si>
    <t>LOCKER SLIDE PAD SOCKET POS. 26</t>
  </si>
  <si>
    <t>LOCKER UPPER SCREENCLOTH POS. 16</t>
  </si>
  <si>
    <t>LOCKER LOWER SCREENCLOTH POS. 12</t>
  </si>
  <si>
    <t>LOCKER UPPER  SIEVE FRAME POS. 8</t>
  </si>
  <si>
    <t>PERNOS PARA CHAIR  (ZAPATAS)</t>
  </si>
  <si>
    <t>GOMAS   H110 P/ ACOPL N-UPLEX</t>
  </si>
  <si>
    <t>SELLOS POLVO INTERM. Y DESCAR. POS. 15</t>
  </si>
  <si>
    <t>FLENDER REDUCTOR PRINCIPAL 132KW POS. 44</t>
  </si>
  <si>
    <t>FLENDER ACOPLA. PRINCIPAL ZIN-5.5 POS.45</t>
  </si>
  <si>
    <t>RODAMIENTO INA SL-192317 C3</t>
  </si>
  <si>
    <t>GATES CORREAS TRANSMISION SPB-3150</t>
  </si>
  <si>
    <t>SKF SOPORTE RODAMIENTO SNL-3134</t>
  </si>
  <si>
    <t>LUBRICATING BLOCKS GRAPHITE POS. 10</t>
  </si>
  <si>
    <t>SKF RODAMIENTO 30215-A</t>
  </si>
  <si>
    <t>SKF RODAMIENTO 32315-Q</t>
  </si>
  <si>
    <t>SKF RODAMIENTO 33220</t>
  </si>
  <si>
    <t>SKF RODAMIENTO 32036-X</t>
  </si>
  <si>
    <t>SKF RODAMIENTOS SKF 23138  CCK/W33</t>
  </si>
  <si>
    <t>SKF SOPORTE RODAMIENTO SKF,  SNL-3138</t>
  </si>
  <si>
    <t>SKF MANGUITO DE FIJACION SKF  H-3138</t>
  </si>
  <si>
    <t>SKF TAPA LATERAL ETS-38</t>
  </si>
  <si>
    <t>SKF SELLO DE LABERINTO TS-38</t>
  </si>
  <si>
    <t>SKF RETEN CR-70805 (180x210x15)</t>
  </si>
  <si>
    <t>FLENDER GEAR WHEEL (STIRNRAD) D227</t>
  </si>
  <si>
    <t>FLENDER GEAR WHEEL (STIRNRAD) D518</t>
  </si>
  <si>
    <t>FLENDER GEAR WHEEL (STIRNRAD) D365</t>
  </si>
  <si>
    <t>FLENDER PINION SHAFT (STRDWELL) D106</t>
  </si>
  <si>
    <t>FLENDER SHAFT (WELLE) D210x767</t>
  </si>
  <si>
    <t>FLENDER PINION SHAFT D150,60x400</t>
  </si>
  <si>
    <t>FLENDER PINION SHAFT (STRDWELLE) D100</t>
  </si>
  <si>
    <t>SKF MANGUITO DE FIJACION H-3134</t>
  </si>
  <si>
    <t>SKF ANILLOS DE FIJACION FRB 10/280</t>
  </si>
  <si>
    <t>SKF SELLO LABERINTO TS-34</t>
  </si>
  <si>
    <t>SKF TAPA LATERAL ETS-34</t>
  </si>
  <si>
    <t>SKF RODAMIENTO NU-215 POS. 7</t>
  </si>
  <si>
    <t>FLENDER ACOPLAM. MANTENI. DA-160 POS. 46</t>
  </si>
  <si>
    <t>FLENDER ACOPLAM. HIDRAU. FAR-516 POS. 41</t>
  </si>
  <si>
    <t>SKF RODAMIENTOS 23134 CCK/W33</t>
  </si>
  <si>
    <t>SELLO MECANICO TYPE 1 WCB 2085 P-6855 AB</t>
  </si>
  <si>
    <t>PERNOS FIJACION LIFTERS POS. 19</t>
  </si>
  <si>
    <t>AGUA OXIGENADA 50%</t>
  </si>
  <si>
    <t>ESCOBILLON INDUSTRIAL</t>
  </si>
  <si>
    <t>MANGUITO FIJACION H-312 SKF</t>
  </si>
  <si>
    <t>CODIFICADOR RYNAN 1040 S TAG W-2301</t>
  </si>
  <si>
    <t>ARNES SEGURIDAD 6 ARGOLLAS MSA TALLA STD</t>
  </si>
  <si>
    <t>SKF OBTURADORES  SKF TSN-526-L POS.L</t>
  </si>
  <si>
    <t>CINTA FIBRA VIDRIO 1/8" X 2" X 100', GRA</t>
  </si>
  <si>
    <t>CINTA DE VIDRIO DE 1/2" MARCA 3M, MODELO</t>
  </si>
  <si>
    <t>CINTA DE VIDRIO DE 3/4" MARCA 3M, MODELO</t>
  </si>
  <si>
    <t>JUNTA TEFLON 4 X 150 LBS.</t>
  </si>
  <si>
    <t>SEW MOTO-REDUCTOR MANTENIMIE. R-87</t>
  </si>
  <si>
    <t>SKF SOPORTE RODAMIENTO SNH 520-617 POS.5</t>
  </si>
  <si>
    <t>SKF SOPORTE RODAMIENTO SNH 516-613 POS.4</t>
  </si>
  <si>
    <t>SKF OBTURADOR TSNA 313G POS.4A</t>
  </si>
  <si>
    <t>SKF ANILLO FIJACION FRB 12.5/140 POS.4c</t>
  </si>
  <si>
    <t>SKF OBTURADOR TSNA 617G POS.5a</t>
  </si>
  <si>
    <t>TYRE CHAIR  (ZAPATAS) SECADOR POS. 1</t>
  </si>
  <si>
    <t>SKF ANILLOS DE FIJACION FRB 10/320</t>
  </si>
  <si>
    <t>FLENDER POLEA LADO REDUCTOR POS. 42</t>
  </si>
  <si>
    <t>SELLOS DE POLVO DEL PRESECADOR POS. 23</t>
  </si>
  <si>
    <t>SUPPORT ROLLER AND SHAFT</t>
  </si>
  <si>
    <t>THRUST ROLLERS</t>
  </si>
  <si>
    <t>TYRES LLANTA LADO ALIMENTACION SECADOR</t>
  </si>
  <si>
    <t>TYRES LLANTA LADO DESCARGA SECADOR</t>
  </si>
  <si>
    <t>CONJ. EJE-PIÑON SECADOR PN C2063-RDMD-01</t>
  </si>
  <si>
    <t>SKF RETEN CR-562921 (75x95x12)</t>
  </si>
  <si>
    <t>SKF RODAMIENTO NU 1015</t>
  </si>
  <si>
    <t>FLAT R. GASKET GOROTEX Ø 1 1/2"300 LB</t>
  </si>
  <si>
    <t>EMPAQUETADURA TEFLON 8" 150# ESPESOR 1/1</t>
  </si>
  <si>
    <t>THRUST ROLLER SHAFT AND BASE</t>
  </si>
  <si>
    <t>ABB MOTOR ELEC FRAME 355MLB 315KW 992RPM</t>
  </si>
  <si>
    <t>RECTANGULAR PARALLEL KEY-REDUCT. POS. 34</t>
  </si>
  <si>
    <t>RECTANGULAR PARALLEL KEY-PINON POS. 35</t>
  </si>
  <si>
    <t>PERNOS UNION PRE-DRYVER/DRYVER POS. 15</t>
  </si>
  <si>
    <t>PERNOS UNION CORONA M-36 x 130 LONG.</t>
  </si>
  <si>
    <t>CILINDRO CALIBRACION OXIDO NITROSO NO</t>
  </si>
  <si>
    <t>ABB MOTOR ELÉCTRICO 132KW 4 POLOS 315S</t>
  </si>
  <si>
    <t>PENTAG SPUR RING IN HALVES (CORONA)</t>
  </si>
  <si>
    <t>CLAMP  DISC. POS. 2</t>
  </si>
  <si>
    <t>"TIE ROD ø1 1/4""X960mm POS. 4 INOX 316"</t>
  </si>
  <si>
    <t>"NUTS+WASHER DIA. 1 1/4"" POS.4 INOX. 31</t>
  </si>
  <si>
    <t>SEAL HOUSING POS. 5</t>
  </si>
  <si>
    <t>FELT SEAL POS. 6</t>
  </si>
  <si>
    <t>SEAL CLAMP PLATE POS. 7</t>
  </si>
  <si>
    <t>COVER PLATE POS. 10</t>
  </si>
  <si>
    <t>BEARING SPACER POS. 11</t>
  </si>
  <si>
    <t>"BOLT ø5/8"" UNCx2 1/4"" LONG+WASHER POS</t>
  </si>
  <si>
    <t>PERNO FIJACION BASE CORONA-MANTO POS.25</t>
  </si>
  <si>
    <t>CORREA TRANSM. SPB L=3750 DIN 7753</t>
  </si>
  <si>
    <t>CORREA TRANSM. SPB L=4250 DIN 7753</t>
  </si>
  <si>
    <t>LANA MINERAL EN PL. 2,4*1,0MT*50MM DENSI</t>
  </si>
  <si>
    <t>BARRERA DE VAPOR FOIL DE ALUMINIO ROLLOS</t>
  </si>
  <si>
    <t>RECUBRIMIENTO 855 CHESTERTON</t>
  </si>
  <si>
    <t>MORTERO SIKA ABRAROCK CL SACO 25KG</t>
  </si>
  <si>
    <t>FIBRA CERAMICA KAOWOOL</t>
  </si>
  <si>
    <t>SELLO MEC 0X1CX CR,10T 38D</t>
  </si>
  <si>
    <t>BOM Criticidad (A)</t>
  </si>
  <si>
    <t>ALAMBRE GALVANIZADO N° 18</t>
  </si>
  <si>
    <t>POLIN DIA: 20/89MM LARGO:380MM.</t>
  </si>
  <si>
    <t>POLIN DEFLECTOR DIA. 20 / D.89  530L</t>
  </si>
  <si>
    <t>POLEA MOTRIZ DIA. 320/65  1150 L</t>
  </si>
  <si>
    <t>POLIN GUIA  DIA. 63/140L  M16 X 40</t>
  </si>
  <si>
    <t>POLEA DE COLA  DIA. 285/50  1120 L</t>
  </si>
  <si>
    <t>SCRAPER - PLATE B-440  .SERIE: 005144</t>
  </si>
  <si>
    <t>SCRAPER-FIXATION ELEMENT MOD: HL=165 S38</t>
  </si>
  <si>
    <t>POLIN DE CARGA  DIA.  20/89  200 L</t>
  </si>
  <si>
    <t>POLEA MOTRIZ  DIA.  270/50  600 L</t>
  </si>
  <si>
    <t>SCRAPER-PLATE B-550   .SERIE: 51555</t>
  </si>
  <si>
    <t>POLEA MOTRIZ  DIA. 320/65  750 L</t>
  </si>
  <si>
    <t>POLEA MOTRIZ  DIA. 270/50  750 L</t>
  </si>
  <si>
    <t>POLIN DEFLECTOR   DIA.20/89X315MM LARGO</t>
  </si>
  <si>
    <t>SKF SOPORTE DESCANSO. MODEL: SNH-515-612</t>
  </si>
  <si>
    <t>SKF RODAMIENTO. MODEL: 22215-EK</t>
  </si>
  <si>
    <t>SKF MANGUITO FIJACION. MODEL: H-315</t>
  </si>
  <si>
    <t>ANILLO FIJACI. MODEL: 2 FRB-12.5/130</t>
  </si>
  <si>
    <t>SKF RODAMIENTO. MODEL: 22211-EK</t>
  </si>
  <si>
    <t>SKF MANGUITO FIJACION MODEL: H-311</t>
  </si>
  <si>
    <t>SKF ANILLO FIJACI. MODEL: 2FRB 9.5/100</t>
  </si>
  <si>
    <t>SEW MOTO-REDUCT. 4KW. H-9206/11.</t>
  </si>
  <si>
    <t>SKF TAPA LATERAL. MODEL: ASNH  511-609</t>
  </si>
  <si>
    <t>SKF OBTURADOR . MODEL: TSNA - 515 - L</t>
  </si>
  <si>
    <t>TAPA LATERAL. MODEL: ASNH - 515-612</t>
  </si>
  <si>
    <t>SEW MOTO-REDUCT. 3KW. H-9201A/B</t>
  </si>
  <si>
    <t>SEW MOTORED. 2,2KW. H9202AB/05/07/08/09</t>
  </si>
  <si>
    <t>POLIN DE RETORNO   DIA. 20  89/133X600</t>
  </si>
  <si>
    <t>POLEA DE COLA  DIA. 285/50  600 L</t>
  </si>
  <si>
    <t>SKF SOPORTE DESCANSO. MODEL: SNL-516-613</t>
  </si>
  <si>
    <t>MALLA INFERIOR MESH 0.016" Ø79"Wx162"L</t>
  </si>
  <si>
    <t>MALLA SUPERIOR MESH 0.028" Ø79"Wx170"L</t>
  </si>
  <si>
    <t>SKF SOPORTE DESCAN. MODEL: SNH-511-609</t>
  </si>
  <si>
    <t>SKF ANILLO FIJACI. MODEL: 2 FRB 10/120</t>
  </si>
  <si>
    <t>SKF OBTURADOR . MODEL: TSNA- 513 -L</t>
  </si>
  <si>
    <t>SKF MANGUITO FIJACION. MODEL: H-313</t>
  </si>
  <si>
    <t>SKF MANGUITO FIJACION. MODEL: H-316</t>
  </si>
  <si>
    <t>SKF OBTURADOR . MODEL: TSNA 516 G</t>
  </si>
  <si>
    <t>SKF TAPA LATERAL. MODEL: ASNH  513 - 611</t>
  </si>
  <si>
    <t>SKF RODAMIENTO. MODEL: 22216 EK</t>
  </si>
  <si>
    <t>SKF RODAMIENTO. MODEL: 22213 EK</t>
  </si>
  <si>
    <t>POLEA MOTRIZ (ROMBO). 430X1150X1648MM</t>
  </si>
  <si>
    <t>POLEA MOTRIZ (ROMBO). 430X750X1237MM</t>
  </si>
  <si>
    <t>POLEA MOTRIZ (ROMBO). 430X500X987MM</t>
  </si>
  <si>
    <t>POLEA DE COLA (LISA) 430X1150X1410MM</t>
  </si>
  <si>
    <t>POLEA 430X750X1010MM.</t>
  </si>
  <si>
    <t>POLEA DE COLA 430X500X760MM</t>
  </si>
  <si>
    <t>SKF MANGUITO FIJACION. MODEL: H-309</t>
  </si>
  <si>
    <t>SKF OBTURADOR . MODEL: TSNA -509 -L</t>
  </si>
  <si>
    <t>SKF TAPA LATERAL. MODEL: ASNH -509</t>
  </si>
  <si>
    <t>ABB MOTORE 4KW. H4702AB/07/08AB/11/14/15</t>
  </si>
  <si>
    <t>ABB MOTOREDUCTOR 7.5 KW H4706</t>
  </si>
  <si>
    <t>SKF RODAMIENTO. MODEL: 22209 EK</t>
  </si>
  <si>
    <t>MOTOR 5.5KW 400V/50HZ FRAME 132M IP55</t>
  </si>
  <si>
    <t>SKF ANILLO FIJACI. MODEL: 2FRB 3.5/85</t>
  </si>
  <si>
    <t>POLIN DE RETORNO   DIA.20 89/133X750 L</t>
  </si>
  <si>
    <t>ABB MOTOREDUCTOR 5,5KW. H4701AB/H4705</t>
  </si>
  <si>
    <t>RASPADOR DE LAMINAS TIPO R  L= 1700MM</t>
  </si>
  <si>
    <t>RASPADOR DE LAMINAS TIPO H  L= 1700MM</t>
  </si>
  <si>
    <t>CORREA A. 650MM EP 400/3 4X2. L=51 MTS.</t>
  </si>
  <si>
    <t>RASPADOR DE LAMINAS TIPO P L= 1300MM</t>
  </si>
  <si>
    <t>RASPADOR DE LAMINAS TIPO H L= 1300MM</t>
  </si>
  <si>
    <t>CORREA A. 650MM EP 400/3 4X2. L=34 MTS.</t>
  </si>
  <si>
    <t>RASPADOR DE LAMINAS TIPO P L= 1050MM</t>
  </si>
  <si>
    <t>RASPADOR DE LAMINAS TIPO H L= 1050MM</t>
  </si>
  <si>
    <t>POLIN DE CARGA  DIA. 20/90 MM  160 LARGO</t>
  </si>
  <si>
    <t>POLIN DE RETORNO  DIA. 20/90 MM L:500MM</t>
  </si>
  <si>
    <t>CORREA A. 650MM EP 400/3 4X2. L=120 MTS.</t>
  </si>
  <si>
    <t>CORREA A. 650MM EP 400/3 4X2. L=45 MTS.</t>
  </si>
  <si>
    <t>CORREA A. 400MM EP 400/3 4X2. L=12 MTS</t>
  </si>
  <si>
    <t>POLEA DE COLA   DIA.  286/50   750 L</t>
  </si>
  <si>
    <t>CORREA A. 650MM EP 400/3 4X2. L=68 MTS.</t>
  </si>
  <si>
    <t>CORREA A. 650 MM EP 400/3  4X2. L=38 MTS</t>
  </si>
  <si>
    <t>POLEA MOTRIZ    DIA.  270/50  600 L</t>
  </si>
  <si>
    <t>POLEA DE COLA   DIA.  286/50  600 L</t>
  </si>
  <si>
    <t>POLIN DE CARGA    DIA.  20/89  200 L</t>
  </si>
  <si>
    <t>POLIN DE RETORNO   DIA. 20 89/133X600L</t>
  </si>
  <si>
    <t>CORREA A. 650 MM EP 400/3 4X2.L=40 MTS</t>
  </si>
  <si>
    <t>POLEA MOTRIZ   DIA.  270/50  600 L</t>
  </si>
  <si>
    <t>CORREA A. 400 MM EP 400/3  4X2. L=85 MTS</t>
  </si>
  <si>
    <t>POLEA DE COLA   DIA.  340/60   750 L</t>
  </si>
  <si>
    <t>POLIN DEFLECTOR   DIA.159/40   750 L</t>
  </si>
  <si>
    <t>CINTA CORREAS FONDO TORRE P3. L=30 MTS</t>
  </si>
  <si>
    <t>CORREA A.500 EP 400/3  4 X 2  L=41 MTS.</t>
  </si>
  <si>
    <t>CORREA A. 650 EP 400/3  4X2 L=30 MTS</t>
  </si>
  <si>
    <t>CORREA  A. 650 EP 400/3 4X2 L=80 MTS</t>
  </si>
  <si>
    <t>CORREA  A. 650 EP 400/3 4X2 L= 40 MTS.</t>
  </si>
  <si>
    <t>CORREA A. 500 EP 400/3  4 X 2 L=27MTS.</t>
  </si>
  <si>
    <t>CORREA A. 500 EP 400/3  4X2 L= 48 MTS.</t>
  </si>
  <si>
    <t>CORREA A. 650MM EO 400/3  4X2 L=84 MTS.</t>
  </si>
  <si>
    <t>CINTA CORREAS FONDO TORRE P4. L=35 MTS</t>
  </si>
  <si>
    <t>POLIN GUIA  DIA.  48X100 LARGO 16X90 MM</t>
  </si>
  <si>
    <t>BOM-Solped Bodega</t>
  </si>
  <si>
    <t>PLUMON PERMANEN. PILOT JUMBO COLOR NEGRO</t>
  </si>
  <si>
    <t>PLUMON PERMANEN. PILOT JUMBO COLOR ROJO</t>
  </si>
  <si>
    <t>PLUMON PERMANEN. PILOT JUMBO COLOR VERDE</t>
  </si>
  <si>
    <t>PLUMON PERMANEN. PILOT JUMBO COLOR AZUL</t>
  </si>
  <si>
    <t>Se espera confirmación de Bodega (con VB de Gerente) para activar compra</t>
  </si>
  <si>
    <t>SPRAY ANTICORROSIVO 485ml</t>
  </si>
  <si>
    <t>TORNILLO ROSCALATA 1/2"X 8MM INOX BINDIG</t>
  </si>
  <si>
    <t>SELLO PLASTICO SEM30 C-036 AZUL O BLANCO</t>
  </si>
  <si>
    <t>MASCARA FULL FACE ADVANTAGE 3100  M 3121</t>
  </si>
  <si>
    <t>LIMP CONTACTOS ELECTRICOS LPS EC 397GR</t>
  </si>
  <si>
    <t>FIJACION PARRILLA FRP TIPO CLIP M</t>
  </si>
  <si>
    <t>TRAPOS DE LIMPIEZA, BOLSA DE 1 KG.</t>
  </si>
  <si>
    <t>CASCARA DE NUEZ INCLUYENDO MOLIENDA, PAR</t>
  </si>
  <si>
    <t>CINTA TEFLÓN JOINT SEALANT GOROTEX 5/8</t>
  </si>
  <si>
    <t>BISULFITO DE SODIO LIQUIDO</t>
  </si>
  <si>
    <t>BOLSA PLASTICA 20X35 CM, E=40 MICRONES</t>
  </si>
  <si>
    <t>DISCO DESBASTE Ø 4 1/2" ESP=1/4" MAT SS</t>
  </si>
  <si>
    <t>ESCOBILLON PLASTICO</t>
  </si>
  <si>
    <t>GUANTE CUERO LARGO P-13 REFORZADO</t>
  </si>
  <si>
    <t>BOM</t>
  </si>
  <si>
    <t>Compras BOM</t>
  </si>
  <si>
    <t>Materiales con Solped Bloqueada</t>
  </si>
  <si>
    <t>CLOROFORMO   P.A.</t>
  </si>
  <si>
    <t>HIDROXIDO DE SODIO P.A. EN LENTEJAS</t>
  </si>
  <si>
    <t>DIFENILCARBAZON ART. 3087</t>
  </si>
  <si>
    <t>Nitrato de Plata</t>
  </si>
  <si>
    <t>Reactivo de silice,   P-3112</t>
  </si>
  <si>
    <t>ACIDO SULFURICO P.A.</t>
  </si>
  <si>
    <t>Fenolftaleina</t>
  </si>
  <si>
    <t>Anaranjado de Metilo</t>
  </si>
  <si>
    <t>Celdas colorimetricas DR-890</t>
  </si>
  <si>
    <t>Indicador Mixto</t>
  </si>
  <si>
    <t>CM3</t>
  </si>
  <si>
    <t>ELECTRODO BLUELINE 14pH VIDRIO 120X12MMD</t>
  </si>
  <si>
    <t>Papel Filtro N°1</t>
  </si>
  <si>
    <t>CJ</t>
  </si>
  <si>
    <t>electrodo Karl Fischer</t>
  </si>
  <si>
    <t>D.P.D. REACTIVO PARA CLORO LIBRE. HACH</t>
  </si>
  <si>
    <t>Papel filtro N°131</t>
  </si>
  <si>
    <t>Papel filtro N°232</t>
  </si>
  <si>
    <t>BURETA 25 ML,DIVISION 0.05 ML + -ML, CLA</t>
  </si>
  <si>
    <t>PEPEL INDIC. ROLLO PH1-14 C/ESC. A COLOR</t>
  </si>
  <si>
    <t>TUBO COLORIMETRICO MED: NH3 2/A</t>
  </si>
  <si>
    <t>TERMO PLASTICO P/COMIDA  CAP 0.75L</t>
  </si>
  <si>
    <t>DISPENSADOR DE 2-10ML</t>
  </si>
  <si>
    <t>MERCK BURETA DIGITAL ACOPL. FRASCO 50ML</t>
  </si>
  <si>
    <t>PERNO CAPACHO M10X40 SS 304 C/TUER+GOLIL</t>
  </si>
  <si>
    <t>VEDACION SM B NE 100 PB NETZSCH</t>
  </si>
  <si>
    <t>CUPLA DE PROTECCION NETZSCH</t>
  </si>
  <si>
    <t>UPS TRIFASICA DE 20KVA</t>
  </si>
  <si>
    <t>ACEITE SHELL OMALA S2G 320 20 Lts.</t>
  </si>
  <si>
    <t>FOCO PROYECTOR LED200W 6000K</t>
  </si>
  <si>
    <t>ADAPTADOR 220 V - 16 A  REF : 74395 MARC</t>
  </si>
  <si>
    <t>ESTANDAR REVISIONES DE CAMIONES ET-4</t>
  </si>
  <si>
    <t>MALLA LUZ 4X4MM HILO 2MM CRIBA CS2512E</t>
  </si>
  <si>
    <t>MANGA Ø105X545MM PP 551G/M2 F-8103AB</t>
  </si>
  <si>
    <t>Titrisol Tiocianato de Amonio 0.1N</t>
  </si>
  <si>
    <t>BALLAST ELECTRONICO 2 X 36  WATTS</t>
  </si>
  <si>
    <t>TUBO COLORIMETRICO 20-500 PPM GASES NITR</t>
  </si>
  <si>
    <t>TUBO COLORIMETRICO 2-100 PPM GASES NITRO</t>
  </si>
  <si>
    <t>TUBO COLORIMETRICO 0,2-6 PPM GASES NITR.</t>
  </si>
  <si>
    <t>ACIDO CLORHIDRICO TECNICO</t>
  </si>
  <si>
    <t>SELLO ACEI. TRASEROMOD220U1 NP:STD119002</t>
  </si>
  <si>
    <t>RETEN RODAMIENTO FRONTAL NP:000030009</t>
  </si>
  <si>
    <t>NIPLE Ø 1/2" SS 316 L=4"</t>
  </si>
  <si>
    <t>NIPLE Ø 3/4" SS 316 L=4"</t>
  </si>
  <si>
    <t>ENFRIADORES PARA MUESTRA  PH AIT-46007</t>
  </si>
  <si>
    <t>HEBILLA GALVANIZADA PARA TRINCAR 13MM.</t>
  </si>
  <si>
    <t>PERNO SS 6 X 50 MM C/TUERCA/SEGURO INOX.</t>
  </si>
  <si>
    <t>Criticidad</t>
  </si>
  <si>
    <t>CABLE 5 X 10 AWG MARCA COCESA TIPO EVALE</t>
  </si>
  <si>
    <t>CABLE DE FUERZA 3 X 14 AWG</t>
  </si>
  <si>
    <t>REMACHE POP 3,2X10MM ALUMINIO</t>
  </si>
  <si>
    <t>REMACHE POP 3 X 8 DE ALUMINIO</t>
  </si>
  <si>
    <t>REMACHE POP 4.8 X 12 MM. ALUMINIO</t>
  </si>
  <si>
    <t>MANOMETRO 0-40BAR Ø6" FLG 11/2"X300LB</t>
  </si>
  <si>
    <t>MANOMETRO  0-7 BAR Ø6" FLG 2"X300LB</t>
  </si>
  <si>
    <t>VALVULA GATE 0 3" 150LB RF A.C.</t>
  </si>
  <si>
    <t>BATERIA 12 V, 9 AH PARA BANCO DE BATERIA</t>
  </si>
  <si>
    <t>FLANGE SOCKET 3" X 150, 304L</t>
  </si>
  <si>
    <t>ACEITE HIDRAULICO ESTANDAR 1.0GLS:9637</t>
  </si>
  <si>
    <t>BEARING STAR ETFE-SL REF.:0343-021</t>
  </si>
  <si>
    <t>TRAMPA TERMODINAMICA SW Ø1/2" A.C. TD-52</t>
  </si>
  <si>
    <t>TRANSPALETA MANUAL INOX.</t>
  </si>
  <si>
    <t>PLUG VALVE 2" 150 LB  RF  SS 304</t>
  </si>
  <si>
    <t>CORREA A. 650MM EO 400/3  4X2 L=85 MTS.</t>
  </si>
  <si>
    <t>MOTOBOMBA AGUA CENTRIFUGA 2",500L/MIN</t>
  </si>
  <si>
    <t>CORDEL PERLON 4MM TRENZADO, TODO IZAGE</t>
  </si>
  <si>
    <t>RELE DE SEGURIDAD MSR127TP ALLEN-BRADLEY</t>
  </si>
  <si>
    <t>TORNILLO AUTOPERFORANTE  Ø10 x 1" SS</t>
  </si>
  <si>
    <t>EMPAQUETADURA SP.W DN20"RF#300 321L/GRAF</t>
  </si>
  <si>
    <t>KIT REPARADOR ELASTOMÉRICO UPS-360 500G</t>
  </si>
  <si>
    <t>CORREA CAUCHO A=200MM E=6MM L=20MT H6867</t>
  </si>
  <si>
    <t>HOJA SIERRA 12" 24 DIENTES</t>
  </si>
  <si>
    <t>DISCO STINGRAY ANGULADO GR36 COD 768502</t>
  </si>
  <si>
    <t>DISCO STINGRAY ANGULADO GR120 COD 768507</t>
  </si>
  <si>
    <t>FLANGE SLIP-ON  24" #150 A105 ASME B16.5</t>
  </si>
  <si>
    <t>VALVULA CONO 4" 150 LB. SS</t>
  </si>
  <si>
    <t>EQUIPO CODIFICADOR HAND JET EBS 250</t>
  </si>
  <si>
    <t>JUNTA SS 304L 352X328X3.5MM ESPIROMET</t>
  </si>
  <si>
    <t>VALVE N° PLANO V-0172/2 POS: 29 REF: 542</t>
  </si>
  <si>
    <t>GASKET FOR SIGHT GLASS REF: DIA : 80/60X</t>
  </si>
  <si>
    <t>BOROCILICA GLASS WITH 4 HOLES FOR SIGH G</t>
  </si>
  <si>
    <t>TRAMPA TERMODINAMICA SW Ø3/4" A.C. TD-52</t>
  </si>
  <si>
    <t>DUAL PLATE WAFER CHECK VALVE 3" CLASS 30</t>
  </si>
  <si>
    <t>RODAMIENTO BOLA 6311 2Z-C3 SKF</t>
  </si>
  <si>
    <t>ESPARRAGOS / 2 TUERCAS 1 1/4X175MM A.C.</t>
  </si>
  <si>
    <t>VALVULA DISC BOTTOM 6" X 6" 150 RF</t>
  </si>
  <si>
    <t>REDUCTOR SEW TIPO R87ADS I=11,93 P-6857</t>
  </si>
  <si>
    <t>EJE BNM105 SS 316 POS 1005 P-6857</t>
  </si>
  <si>
    <t>ACOPL ELASTICO D5 A=42MM</t>
  </si>
  <si>
    <t>BATERIA 12 V  33AH</t>
  </si>
  <si>
    <t>MOTORREDUCTOR RX77 DRS132M4</t>
  </si>
  <si>
    <t>SELLO MECANICO M-35 TIPO 59U P-5701B</t>
  </si>
  <si>
    <t>PARRILLA PISO FRP 38X38X25 / 1000x2000MM</t>
  </si>
  <si>
    <t>VALVULA MARIPOSA TIPO LUG AC Ø20"ANSI150</t>
  </si>
  <si>
    <t>EXTRACTOR TUBULAR PORT 450 MM. 220 V</t>
  </si>
  <si>
    <t>EMPAQUETADURA GOMA DOB. TELA 500MMX6,5MM</t>
  </si>
  <si>
    <t>Sello mec multiresorteD186KDS1 Oring43mm</t>
  </si>
  <si>
    <t>DISCO CORTE 4 1/2" X 3/32"</t>
  </si>
  <si>
    <t>DISCO STINGRAY ANGULADO GR80 4 1/2"</t>
  </si>
  <si>
    <t>MANOMETRO  0-7 BAR Ø6" FLG 11/2"X300LB</t>
  </si>
  <si>
    <t>MANOMETRO 0-28BAR Ø6" FLG 11/2"X300LB</t>
  </si>
  <si>
    <t>MANOMETRO 0-28BAR Ø6" FLG 2"X150LB</t>
  </si>
  <si>
    <t>MANOMETRO 0-40BAR Ø6" FLG 2"X150LB</t>
  </si>
  <si>
    <t>TRAMPA VAPOR TERM.A.C. Ø 1/2" SW CLAS300</t>
  </si>
  <si>
    <t>SELLO PLASTICO MINI SLIM BLANCO O AZUL</t>
  </si>
  <si>
    <t>TRAMPA TERMODINAMICA SW Ø1" A.C. TD-52</t>
  </si>
  <si>
    <t>EMPAQUE Ø30"X300LB MAT FG</t>
  </si>
  <si>
    <t>EMPAQUETADURA SP.W DN40" RF#150 304/GRAF</t>
  </si>
  <si>
    <t xml:space="preserve"> TUBO FLUORESCENTE 18 WATT / 54-765</t>
  </si>
  <si>
    <t>TUBO FLUOROPOLIMERO 6MM X20M TH0604N-20</t>
  </si>
  <si>
    <t>DENIER IMPERMEABLE 2 X 100 MTS</t>
  </si>
  <si>
    <t>ANTOX 71E (PASTA DECAPANTE)</t>
  </si>
  <si>
    <t>SELLO MEC. ESTACIONARIO 1.7/8 AISI316</t>
  </si>
  <si>
    <t>ESTANDAR REVISIONES DE CAMIONES ET-2</t>
  </si>
  <si>
    <t>CANDADO BLOQUEO LOTO AMARILLO</t>
  </si>
  <si>
    <t>BOQUILLA 4 GARRAS M10X1 12643 PRESSOL</t>
  </si>
  <si>
    <t>ESLINGA PARA 4 TON., 4 MTS. LARGO</t>
  </si>
  <si>
    <t>ESLINGA DOBLE TELA ANCHO 50MM LARGO 2,0M</t>
  </si>
  <si>
    <t>ESLINGA DOBLE TELA ANCHO 50MM LARGO 1,5M</t>
  </si>
  <si>
    <t>TECLE CADENA 3 TONELADAS 10 MT. LEVANTE</t>
  </si>
  <si>
    <t>ANILLO    210X4MM  PERBUNAN</t>
  </si>
  <si>
    <t>VALVULA POS 024 N° 542513 P-4704AB</t>
  </si>
  <si>
    <t>FLEXIBLE LUBRICACION P/GRASERA T.BUTTON</t>
  </si>
  <si>
    <t>SALIDA RELE MOD.DE PLC OMRON CJ1W-OC211</t>
  </si>
  <si>
    <t>RODAMIENTO BOLA 6311 NSK</t>
  </si>
  <si>
    <t>ACOPL ELASTICO D9</t>
  </si>
  <si>
    <t>Procesador Control Logix 1756-L81E</t>
  </si>
  <si>
    <t>Válvula Diluvio 3" Modelo DV-5A</t>
  </si>
  <si>
    <t>Presostato 300 PSI - POTTER</t>
  </si>
  <si>
    <t xml:space="preserve"> Válvula Mariposa 300psi UL/FM 3"-88,9MM</t>
  </si>
  <si>
    <t>ESPARRAGO DIAM. 3/8 L= 1M SS C/TUERCA</t>
  </si>
  <si>
    <t>TRAILING HYBRID CABLE 690600-000 H-9213</t>
  </si>
  <si>
    <t>GEA PROCESS ENGINEERING CHILE S.A.</t>
  </si>
  <si>
    <t>SCOTCH BRITE 3M  7447</t>
  </si>
  <si>
    <t>LUBRICANTE PARA BUJES Y CADENAS 601 CHES</t>
  </si>
  <si>
    <t>MICA WASHER FOR SIGHT GLASS REF: DIA: 80</t>
  </si>
  <si>
    <t>GLOBE VALVE 1-1/2" VRX0340B BODY BONNE</t>
  </si>
  <si>
    <t>TECLE 2 TON CON CADENA 10 MT.DE ALZAMIEN</t>
  </si>
  <si>
    <t>TECLE PALANCA 3 TONELADAS</t>
  </si>
  <si>
    <t>TECLE PALANCA HSH-A 1,5 TON</t>
  </si>
  <si>
    <t>PERNO HEX. Ø1 1/4"L=120MM HILO COMPLETO</t>
  </si>
  <si>
    <t>FILTRO REGULADOR DE AIRE 1/4"</t>
  </si>
  <si>
    <t>ESLINGA DOBLE TELA ANCHO 50MM LARGO 3MT</t>
  </si>
  <si>
    <t>VM FILTRO AIRE A11516974EA K-5903 /5941"</t>
  </si>
  <si>
    <t>WD-40 LUBRICANTE</t>
  </si>
  <si>
    <t>CILINDRO CALIBRACION NH3 25 PPM 110L</t>
  </si>
  <si>
    <t>CILINDRO CALIBRACION NO2 10 PPM 110L</t>
  </si>
  <si>
    <t>CILINDRO CALIBRACION AIRE CERO 110L</t>
  </si>
  <si>
    <t>CILINDRO CALIBRACION NH3 50 PPM 110L</t>
  </si>
  <si>
    <t>CINTA AISLADORA VINYL 3M 35 ROJA</t>
  </si>
  <si>
    <t>CINTA AISLADORA VINYL 3M 35 AZUL</t>
  </si>
  <si>
    <t>CINTA AISLADORA VINYL 3M 35 AMARILLA</t>
  </si>
  <si>
    <t>PERNO INOX C/TUERCA 3/8" x 1.1/2"</t>
  </si>
  <si>
    <t>TUERCAS INOX. 10 MM.</t>
  </si>
  <si>
    <t>MANGUERA REUFILAN DE 1/2"</t>
  </si>
  <si>
    <t>LIJA AGUA GRANO 100</t>
  </si>
  <si>
    <t>TUERCA Ø 7/8" A.C. UNC</t>
  </si>
  <si>
    <t>GUIA DE MOVIMIENTO INTERNO</t>
  </si>
  <si>
    <t>CINTA AISLADORA VINYL 3M 35 VERDE</t>
  </si>
  <si>
    <t>PERNO TIPO U SS PARA CAÑERIA DE 3/4"</t>
  </si>
  <si>
    <t>ARNES SEGURIDAD KEVLAR COD 278317-3 MSA</t>
  </si>
  <si>
    <t>PERNO B8 1.1/4" X 3.1/2"</t>
  </si>
  <si>
    <t>Malla tamiz 203x50x500µm marca CISA</t>
  </si>
  <si>
    <t>Malla tamiz 203x50x1,00mm marca CISA</t>
  </si>
  <si>
    <t>Malla tamiz 203x50x1,4mm marca CISA</t>
  </si>
  <si>
    <t>Malla tamiz 203x50x2,0mm marca CISA</t>
  </si>
  <si>
    <t>Malla tamiz 203x50x3,35mm marca CISA</t>
  </si>
  <si>
    <t>SPIRAL W. GASKET CG Ø1/2"X150LB FG</t>
  </si>
  <si>
    <t>ENERK Spa</t>
  </si>
  <si>
    <t>ACEITE KLUBER RHT 68 -208LTS</t>
  </si>
  <si>
    <t>LENTE CLARO SELLADO P/OPTICO UVEX 3001</t>
  </si>
  <si>
    <t>FLAT GASKET VESSEL 1.4401 3629X3563X4MM</t>
  </si>
  <si>
    <t>FLAT GASKET FOR VESSEL PARA R-4501</t>
  </si>
  <si>
    <t>PERNO COCHE 10 X 40 MM C/TUERCA GALV</t>
  </si>
  <si>
    <t>ELEMENTO FILTRO NH3 N° 7X390NX</t>
  </si>
  <si>
    <t>IMPRIMANTE EPOX. SIKAFLOOR 161 JGO. 10KG</t>
  </si>
  <si>
    <t>SIKAGUARD ANTIACIDO ROJO JUEGO 6,34 kg</t>
  </si>
  <si>
    <t>Nitrato de mercurio 2 mono hidratado</t>
  </si>
  <si>
    <t>Vaso Karl Fischer</t>
  </si>
  <si>
    <t>COMPUESTO BELZONA 1111</t>
  </si>
  <si>
    <t>PORUÑA POLICARBONATO 1,5 KG. CON MANGO</t>
  </si>
  <si>
    <t>TERMOMETRO DIGITAL TRACEABLE-50°C</t>
  </si>
  <si>
    <t>CARRO PUERTA CORREDERA D-100</t>
  </si>
  <si>
    <t>VALVULA CONO ф 3" 300LB RF A182</t>
  </si>
  <si>
    <t>TEE AC Ø2" SW CLASE=3000 A105 LT0180A</t>
  </si>
  <si>
    <t>Empaquetadura PTFE 1/8”p.flange 3”x150RF</t>
  </si>
  <si>
    <t>VALVULA GLOBO CRIO. A350 1½ #300 RF</t>
  </si>
  <si>
    <t>CAL VIVA</t>
  </si>
  <si>
    <t>SILICONA RTV LOCTITE</t>
  </si>
  <si>
    <t>SKF OBTURADOR TSN 617L POS.5a</t>
  </si>
  <si>
    <t>HOSE CLAMP 700 CM2, XV46001</t>
  </si>
  <si>
    <t>MONTAJE  NAMUR ACTUADOR LINEAL 4747</t>
  </si>
  <si>
    <t>SAMSON LIMIT SWITCH MECHANIC TIPO 4747</t>
  </si>
  <si>
    <t>RODAMIENTO 31313/CL7C SKF</t>
  </si>
  <si>
    <t>NICRIS SUPPLIES SPA</t>
  </si>
  <si>
    <t>APORTE TIG  ER-70S-6 Ø3/32"</t>
  </si>
  <si>
    <t>LUMINARIA LED 45W 6000LM 4K DISANO</t>
  </si>
  <si>
    <t>TUNGSTENO 2% THORIO 3/32", PUNTO ROJO</t>
  </si>
  <si>
    <t>BOTIN V-FLEX V7 BOA N°40</t>
  </si>
  <si>
    <t>MASLOOP</t>
  </si>
  <si>
    <t>CINTA MULTIUSO 3M  DT11 GRIS</t>
  </si>
  <si>
    <t>CINTA NEGRA CERA OUT 110X450</t>
  </si>
  <si>
    <t>ESPARRAGO SS Ø16MM L=1MT</t>
  </si>
  <si>
    <t>PAQUETE DE 9 TUBOS DE HIDROGENO</t>
  </si>
  <si>
    <t>SKF RODAMIENTO MODEL:22211EK-22211EK/C3</t>
  </si>
  <si>
    <t>HUMO ENVASADO LATA TEST (HUMO PARA PRUEB</t>
  </si>
  <si>
    <t>PALA PLASTICA PARA BASURA</t>
  </si>
  <si>
    <t>SPOTCHECK LIIMPIADOR NO CLORADO 16 OZ MA</t>
  </si>
  <si>
    <t>SPOTCHECK PENETRANTE ROJO 16 OZ. MARCA M</t>
  </si>
  <si>
    <t>SPOTCHECK REVELADOR BLANCO 16 OZ MARCA M</t>
  </si>
  <si>
    <t>CINTA REPARADORA CAÑERIA UPS-19603 50MM</t>
  </si>
  <si>
    <t>PLASTICO 70 % AL2O3 REFRACTARIOS PARA RE</t>
  </si>
  <si>
    <t>FILTRO DE COMBUSTIBLE C02736 TAG P-7502</t>
  </si>
  <si>
    <t>FILTRO NACIONAL 20 MICRAS F-4501AB</t>
  </si>
  <si>
    <t>SILLA MIRROR</t>
  </si>
  <si>
    <t>TUBO LED T8 1200MM 6500K 1600LM 16W FRIA</t>
  </si>
  <si>
    <t>ESPARRAGO C/TUERCAYGOLILLA 1/2"X65MM SS</t>
  </si>
  <si>
    <t>EN MRP?</t>
  </si>
  <si>
    <t>SI</t>
  </si>
  <si>
    <t>NO</t>
  </si>
  <si>
    <t>Quiebre stock</t>
  </si>
  <si>
    <t>PAPEL IND. UNIV. PH 1-10 C/ESC. DE COLOR</t>
  </si>
  <si>
    <t>INDICADOR PH EN VARILLAS 4,5-10</t>
  </si>
  <si>
    <t>CODO SW 1"x3000lb 90° AC ASTM A105</t>
  </si>
  <si>
    <t>COMERCIAL SINSEF LTDA.</t>
  </si>
  <si>
    <t>DESCANSO CON RODAMIENTO FYTJ 30 TF</t>
  </si>
  <si>
    <t>COLETOS DE CUERO PARA SOLDADOR</t>
  </si>
  <si>
    <t>JUNTA TEFLON 1.1/2 X 150 LBS.</t>
  </si>
  <si>
    <t>SPIRAL CGI Ø24"X150LB 321/FG321/321</t>
  </si>
  <si>
    <t>EMPAQUE Ø8"X150LB MAT GORETEX</t>
  </si>
  <si>
    <t>FLAT RING GASKET GORE TEX GR 3" 300 BAR</t>
  </si>
  <si>
    <t>SPIRAL CGI Ø 1 1/2"X150 304/PTFE304/304</t>
  </si>
  <si>
    <t>SPIRAL CGI Ø6"X 300LB 304/PTFE304/304</t>
  </si>
  <si>
    <t>SPIRAL CGI Ø2"X150LB 304/FG304/304</t>
  </si>
  <si>
    <t>EMPAQUETADURA TEFLON 1" 300# ESPESOR 1/1</t>
  </si>
  <si>
    <t>EMPAQUETADURA TEFLON 2" 300# ESPESOR 1/1</t>
  </si>
  <si>
    <t>EMPAQUETADURA TEFLON 3" 300# ESPESOR 1/1</t>
  </si>
  <si>
    <t>SPIRAL CGI Ø2"X300LB MAT  304/FG304/304</t>
  </si>
  <si>
    <t>SPIRAL CGI Ø4"X150LB 304/FG304/304</t>
  </si>
  <si>
    <t>SPIRAL CGI Ø8"X150LB 304/FG304/304</t>
  </si>
  <si>
    <t>SPIRAL CGI Ø6"X300LB 304/FG304/304</t>
  </si>
  <si>
    <t>SPIRAL CGI Ø10"X300LB 304/FG304/304</t>
  </si>
  <si>
    <t>SKF MANGUITO FIJACION H-317</t>
  </si>
  <si>
    <t>INDICADOR PH EN VARILLAS 0-14</t>
  </si>
  <si>
    <t>HEBILLA BAND IT DE 1/2"</t>
  </si>
  <si>
    <t>LETRERO ACIDO NITRICO CORROSIVO 8</t>
  </si>
  <si>
    <t>BOTIN V-FLEX V7 BOA N°39</t>
  </si>
  <si>
    <t>BOTIN V-FLEX V19 ANTIESTATICO CAFE N°40</t>
  </si>
  <si>
    <t>BOTIN V-FLEX V5 N°38</t>
  </si>
  <si>
    <t>BOTIN DE SEGURIDAD VFLEX V10 BOA N°42</t>
  </si>
  <si>
    <t>FORMULARIO ANALISIS RIESGOS DEL TRABAJO</t>
  </si>
  <si>
    <t>BOTIN SEGURIDAD EDELBROCK ED-170 N°48</t>
  </si>
  <si>
    <t>JABON MECANICO 1 GALON 3,78L</t>
  </si>
  <si>
    <t>CANDADO BLOQUEO LOTO ROJO ALUMINIO</t>
  </si>
  <si>
    <t>MALLA 240/60 POLIESTER/ PAÑO 100 X 10 MT</t>
  </si>
  <si>
    <t>SKF RODAMIENTO 21313 E POS.4b</t>
  </si>
  <si>
    <t>ADITIVO P/MOTOR ADBLUE</t>
  </si>
  <si>
    <t>LUMINARIA VIAL LED ELE SIGNUS-5 150W DS1</t>
  </si>
  <si>
    <t>VASO LUBRICADOR 120CC CONEXIÓN 1/4”</t>
  </si>
  <si>
    <t>CONJUNTO DE COJINETE,2.911.0476.09</t>
  </si>
  <si>
    <t>ACOPLE STORZ DE 2 1/2 HILO INTERIOR</t>
  </si>
  <si>
    <t>MANGUERA INCENDIO C/STORZ Ø2 1/2"  L=25M</t>
  </si>
  <si>
    <t>ACOPL. STORZ P/MANGUERA 2"</t>
  </si>
  <si>
    <t>GEMELO STORZ C/RAPIDO 2.1/2X2.1/2X2.1/2</t>
  </si>
  <si>
    <t>PITON 2 1/2" C/PALANCA C/STORZ CN 12MM</t>
  </si>
  <si>
    <t>THERMOCOUPLA DOBLE WIKA ORDER CODE 17592</t>
  </si>
  <si>
    <t>ENCHUFE HEMBRA 380V 63ANP. 3F+N+TLEGRAND</t>
  </si>
  <si>
    <t>SPIRAL CGI Ø36"X300LB 321/FG321/321</t>
  </si>
  <si>
    <t>TRNSMISOR T°INFRARROJO TYPE:AMIR7838-11P</t>
  </si>
  <si>
    <t>PARRILLA TIPO RS-5 3000X970MM AC</t>
  </si>
  <si>
    <t>CORDEL DE PERLON 5/8" TRENZADO</t>
  </si>
  <si>
    <t>CINTA BAND IT DE 3/4" ACERO INOX. (ROLLO</t>
  </si>
  <si>
    <t>HEBILLA BAND IT DE 3/4"</t>
  </si>
  <si>
    <t>CINTA BAND IT DE 1/2" ACERO INOX. (ROLLO</t>
  </si>
  <si>
    <t>CABLE BLOQ.UNIV. SAFELEX C506 6PIES ABUS</t>
  </si>
  <si>
    <t>THERMOWELL WITH FLANGE CONNECTION 1/2 L1</t>
  </si>
  <si>
    <t>GOMA ESPONJA,ESPESOR DE 8MM*50CM*65CM</t>
  </si>
  <si>
    <t>VALVULA CONO 8" 150 LB.SS ENCHAQUETADA</t>
  </si>
  <si>
    <t>Andina Gmbh</t>
  </si>
  <si>
    <t>ETIQUETA RESIDUO CLASE 8 CORROSIVO</t>
  </si>
  <si>
    <t>VALVULA CONO 10" 150 LB. SS ENCHAQUETADA</t>
  </si>
  <si>
    <t>ROLLO ALUMINIO LISO 0.6MMX1000X50MTS</t>
  </si>
  <si>
    <t>Sociedad de impresiones Vidal y otr</t>
  </si>
  <si>
    <t>GUANTES VIRUTEX TALLA M-L</t>
  </si>
  <si>
    <t>CORREA A. 650MM EP 400/3 4X2. L=52 MTS.</t>
  </si>
  <si>
    <t>CORREA A. 650 MM EP 400/3  4X2. L=39 MTS</t>
  </si>
  <si>
    <t>CORREA A. 650 EP 400/3  4X2 L=31 MTS</t>
  </si>
  <si>
    <t>CORREA  A. 650 EP 400/3 4X2 L=81 MTS</t>
  </si>
  <si>
    <t>CORREA A. 500 EP 400/3  4X2 L= 53 MTS.</t>
  </si>
  <si>
    <t>CORREA A.800 EP 400/3 4X2 L=28 MTS</t>
  </si>
  <si>
    <t>INTERRUP EMERGENCIA HEM 001 KIEPE EL</t>
  </si>
  <si>
    <t>Termoequipos Spa</t>
  </si>
  <si>
    <t>HUINCHA AISLADORA VINYL SUPER33 NEGRO 3M</t>
  </si>
  <si>
    <t>ENCHUFE MACHO 63AMP 400V  3P+N+T LEGRAND</t>
  </si>
  <si>
    <t>EMPAQUETADURA GOROTEX 2"X150LB</t>
  </si>
  <si>
    <t>MOTOREDUC RX77/II2GD EDRN132M4/3G P-6864</t>
  </si>
  <si>
    <t>RETEN ACEITE Ø 85X100X10 SKF</t>
  </si>
  <si>
    <t>ACETILENO EN TUBOS</t>
  </si>
  <si>
    <t>REFRIGERANTE CC02826 ENV 208L</t>
  </si>
  <si>
    <t>RODAMIENTO RODILLO 22220E SKF</t>
  </si>
  <si>
    <t>BALIZA SOLAR MARINA LED MOD. M650H AMBAR</t>
  </si>
  <si>
    <t>LUMINARIA LED 41W 220V 600X600MM</t>
  </si>
  <si>
    <t>Gabinete plastico portaextintor CO2 10kg</t>
  </si>
  <si>
    <t>ESPARRAGO 5/8" X 90MM ASTM A-182</t>
  </si>
  <si>
    <t xml:space="preserve"> PERNO HEX Ø7/8" L=5"  SS 316 P-5241C</t>
  </si>
  <si>
    <t xml:space="preserve"> PERNO HEX Ø7/8" L=3"  SS 316 P-5241C</t>
  </si>
  <si>
    <t>TUERCA HEX  Ø 7/8" SS316  P-5241C</t>
  </si>
  <si>
    <t>PERNO HEX Ø7/8" L=4 1/2"  SS 316 P-5241C</t>
  </si>
  <si>
    <t>ROTOR DOBLE ALA 130010000+  P-6855 ABC</t>
  </si>
  <si>
    <t>SELLO ROTATORIO CARBURO/SILICIO P-6855 A</t>
  </si>
  <si>
    <t>SELLO ESTACIONARIO CARBUO/SILICIO P-6855</t>
  </si>
  <si>
    <t>KIT LAINAS 27 [117891+] 130U1</t>
  </si>
  <si>
    <t>TAPON ACEITE M20 X 1,5 130U1 P-6855</t>
  </si>
  <si>
    <t>EJE MOTRIZ 130 U1 P 6855 ABCDEF</t>
  </si>
  <si>
    <t>ENGRANAJE EJE IMPULSOR CORTO P 6855ABCDE</t>
  </si>
  <si>
    <t>RETEN SELLO ACEITE 130 U1 P 6855 ABCDEF</t>
  </si>
  <si>
    <t>TUERCA ROTOR P 6855 ABCDEF</t>
  </si>
  <si>
    <t>ARANDELA ENGRANAJE P 6855 ABCDEF</t>
  </si>
  <si>
    <t>ORING EJE FKM P 6855 ABCDEF</t>
  </si>
  <si>
    <t>RESORTE DE ONDA P 6855 ABCDEF</t>
  </si>
  <si>
    <t>EMPAQUE PLANCHA 48"X48" ESP=1/16 P-295</t>
  </si>
  <si>
    <t>EMPAQUETADURA 304/304FG/AC 8"X300# R9102</t>
  </si>
  <si>
    <t>EMPAQUETADURA TEFLON 10" 300# ESPESOR 1/</t>
  </si>
  <si>
    <t>Chaleco salvavidas tipo 2 aut. epsilon</t>
  </si>
  <si>
    <t>CABLE ACERO INOX 304L 1/8"</t>
  </si>
  <si>
    <t>SPIRAL CGI Ø32"X300LB 321/FG321/321</t>
  </si>
  <si>
    <t>Imp. y Com. HASSI LTDA.</t>
  </si>
  <si>
    <t>FORMALDEHIDO 37% P.A</t>
  </si>
  <si>
    <t>FILTRO ABSOLUTO 20μM SUCCION PARKER</t>
  </si>
  <si>
    <t>FILTRO ABSOLUTO 5μM DESCARGA PARKER</t>
  </si>
  <si>
    <t>Puffer SpA</t>
  </si>
  <si>
    <t>ROPEX MODELO 406-400VAC-PART 740603</t>
  </si>
  <si>
    <t>DISPONIBILIDAD</t>
  </si>
  <si>
    <t>Disponibilidad Nueva</t>
  </si>
  <si>
    <t>DPRO SPA</t>
  </si>
  <si>
    <t>Comercial Industrial Dival SPA</t>
  </si>
  <si>
    <t>SERVICIOS RC SPA</t>
  </si>
  <si>
    <t>TRECK S.A.</t>
  </si>
  <si>
    <t>TUBO PLASTICO PUN  Ø1/8"X3/64 U-BL 10BAR</t>
  </si>
  <si>
    <t>CORDEL DE PERLON 5/8" (16mm)</t>
  </si>
  <si>
    <t>Samson Controls S A</t>
  </si>
  <si>
    <t>GOLILLA PLANA INOX 3/8"</t>
  </si>
  <si>
    <t>CANDADO DE 25 MM PARA LOCKER</t>
  </si>
  <si>
    <t>ANILLO JUNTA 152X170X1/16"</t>
  </si>
  <si>
    <t>INGENIERIA DESIMAT LTDA.</t>
  </si>
  <si>
    <t>Linde Gas Chile S.A.</t>
  </si>
  <si>
    <t>Importadora y Comercializadora de</t>
  </si>
  <si>
    <t>Trane De Chile S.a.</t>
  </si>
  <si>
    <t>Maquinaria Industrial Ltda.</t>
  </si>
  <si>
    <t>Cleanova US, INC</t>
  </si>
  <si>
    <t>OBTURADOR TX 313 SKF</t>
  </si>
  <si>
    <t>Soluciones y Representaciones tecni</t>
  </si>
  <si>
    <t>Disponibilidad Criticos (A)</t>
  </si>
  <si>
    <t>Disponibilidad Bodega</t>
  </si>
  <si>
    <t>Wika Chile SPA</t>
  </si>
  <si>
    <t>Proveedores Integrales Prisa S.A.</t>
  </si>
  <si>
    <t>Sam Carbis Solutions Group, LLC</t>
  </si>
  <si>
    <t>EMPAQUE PLANCHA 60"X60" ESP=1/16 P-295</t>
  </si>
  <si>
    <t>BOTIN DEFENDER MONTEGO KDF-500 N-39</t>
  </si>
  <si>
    <t>BOTIN DEFENDER MONTEGO KDF-500 N-40</t>
  </si>
  <si>
    <t>BOTIN DEFENDER MONTEGO KDF-500 N-41</t>
  </si>
  <si>
    <t>BOTIN DEFENDER MONTEGO KDF-500 N-43</t>
  </si>
  <si>
    <t>BOTIN DEFENDER MONTEGO KDF-500 N-44</t>
  </si>
  <si>
    <t>FLAT RING GASKET GRAPHITE 8" 300 BAR REF</t>
  </si>
  <si>
    <t>SKF OBTURADOR SKF TXL-524</t>
  </si>
  <si>
    <t>IMPORTADORA DE MAQUINARIAS TECNICAS</t>
  </si>
  <si>
    <t>CORREA A.650MM EP400/3 4X2 52MT H4702A/B</t>
  </si>
  <si>
    <t>CORREA A.650MM EP400/3 4X2 31MT H-9205</t>
  </si>
  <si>
    <t>CORREA A.650MM EP400/3 4X2 81MT H-9206</t>
  </si>
  <si>
    <t>CORREA A.500MM EP400/3 4X2 53MT H-9209</t>
  </si>
  <si>
    <t>CORREA A.650MM EP400/3 4X2 85MT H-9211</t>
  </si>
  <si>
    <t>Ventilatorenfabrik Oelde Gmbh</t>
  </si>
  <si>
    <t>Ferreteria Amunategui Sa</t>
  </si>
  <si>
    <t>GRATA CIRCULAR INOX 4" REF 4852A55</t>
  </si>
  <si>
    <t>EAT</t>
  </si>
  <si>
    <t>EAX</t>
  </si>
  <si>
    <t>Merck S.A.</t>
  </si>
  <si>
    <t>BUFFER DE SOLUCION PH 4,0</t>
  </si>
  <si>
    <t>BUFFER DE SOLUCION PH 7,0</t>
  </si>
  <si>
    <t>BUFFER DE SOLUCION PH 10,0</t>
  </si>
  <si>
    <t>Reliper S.A</t>
  </si>
  <si>
    <t>Inversiones KPZ SpA</t>
  </si>
  <si>
    <t>ETIQUETA RESIDUO CLASE 3 LIQUIDO INFL.</t>
  </si>
  <si>
    <t>ETIQUETA RESIDUO NO PELIGROSO</t>
  </si>
  <si>
    <t>SIKA CHILE S.A.</t>
  </si>
  <si>
    <t>Luksic Zuanic Sociedad Anonima</t>
  </si>
  <si>
    <t>Dedert International A/S</t>
  </si>
  <si>
    <t>FILTRO METALICO 590X590X90 F-4705 INOX</t>
  </si>
  <si>
    <t>ETIQUETA RESIDUO CLASE 4 SOLIDO INFL.</t>
  </si>
  <si>
    <t>PUENTE ADHERENCIA PARA HORMIGON</t>
  </si>
  <si>
    <t>Documento SOLPED</t>
  </si>
  <si>
    <t>Documento OC</t>
  </si>
  <si>
    <t>Posición</t>
  </si>
  <si>
    <t>Texto breve</t>
  </si>
  <si>
    <t>Documento_Texto</t>
  </si>
  <si>
    <t>MOTOR MLHP 50 EJE CIL 25MM</t>
  </si>
  <si>
    <t>NO TOMAR</t>
  </si>
  <si>
    <t>6000044327 - MOTOR MLHP 50 EJE CIL 25MM</t>
  </si>
  <si>
    <t>MOTOR HID. MLHP 50 EJE CIL 25MM</t>
  </si>
  <si>
    <t>6000043084 - MOTOR HID. MLHP 50 EJE CIL 25MM</t>
  </si>
  <si>
    <t>6000051965 - TRAPOS DE LIMPIEZA, BOLSA DE 1 KG.</t>
  </si>
  <si>
    <t>GAS A GRANEL MEZCLA</t>
  </si>
  <si>
    <t>6000055581 - GAS A GRANEL MEZCLA</t>
  </si>
  <si>
    <t>MANGUERA GOMA PURA 1 1/2" INT. 2" EXT.</t>
  </si>
  <si>
    <t>Cotizando 04.05/ Viendo opciones</t>
  </si>
  <si>
    <t>1002632929 - MANGUERA GOMA PURA 1 1/2" INT. 2" EXT.</t>
  </si>
  <si>
    <t>LINEA DE VIDRIO RO80/0300</t>
  </si>
  <si>
    <t>Cotizando 01.06</t>
  </si>
  <si>
    <t>1002655017 - LINEA DE VIDRIO RO80/0300</t>
  </si>
  <si>
    <t>CUERPO DE VIDRIO TERMOCUPLA THR25/200-1</t>
  </si>
  <si>
    <t>Cotizando 17.06</t>
  </si>
  <si>
    <t>1002669186 - CUERPO DE VIDRIO TERMOCUPLA THR25/200-1</t>
  </si>
  <si>
    <t>CABEZA CONEXION TERMOCUPLA THR25/100-3</t>
  </si>
  <si>
    <t>1002669186 - CABEZA CONEXION TERMOCUPLA THR25/100-3</t>
  </si>
  <si>
    <t>TRANSMISOR TEMPERATURA DN50 ADP191</t>
  </si>
  <si>
    <t>Cotizando 19.06</t>
  </si>
  <si>
    <t>1002671592 - TRANSMISOR TEMPERATURA DN50 ADP191</t>
  </si>
  <si>
    <t>Falta mas Informacion (Cesar)</t>
  </si>
  <si>
    <t>1002673994 - IMPELLER DIAMETRO 1405 CCW POS.1</t>
  </si>
  <si>
    <t>ESCOTILLA AUTOMATICA TIP/TORT</t>
  </si>
  <si>
    <t>Cotizando 06.07</t>
  </si>
  <si>
    <t>1002681319 - ESCOTILLA AUTOMATICA TIP/TORT</t>
  </si>
  <si>
    <t>BATERIA    12   V   165    AMP C/BORNE</t>
  </si>
  <si>
    <t>Falta OK PNNA</t>
  </si>
  <si>
    <t>5001160663 - BATERIA    12   V   165    AMP C/BORNE</t>
  </si>
  <si>
    <t>BATERIA    12    V     90    AMP C/BORNE</t>
  </si>
  <si>
    <t>5001160663 - BATERIA    12    V     90    AMP C/BORNE</t>
  </si>
  <si>
    <t>AMPOLLETA H-7 24V</t>
  </si>
  <si>
    <t>5001160663 - AMPOLLETA H-7 24V</t>
  </si>
  <si>
    <t>Cotizando 09.07</t>
  </si>
  <si>
    <t>1002687241 - CORREA A.650MM EP400/3 4X2 31MT H-9205</t>
  </si>
  <si>
    <t>DISCO LAMINA SNAPPER BLUE LINE 115X22 60</t>
  </si>
  <si>
    <t>Validando 21.07</t>
  </si>
  <si>
    <t>1002680065 - DISCO LAMINA SNAPPER BLUE LINE 115X22 60</t>
  </si>
  <si>
    <t>Repuesto LDV # 0706.26</t>
  </si>
  <si>
    <t>5001160741 - Repuesto LDV # 0706.26</t>
  </si>
  <si>
    <t>Cotizando 15.07</t>
  </si>
  <si>
    <t>1002690629 - THRUST ROLLERS</t>
  </si>
  <si>
    <t>1002690629 - TYRES LLANTA LADO DESCARGA SECADOR</t>
  </si>
  <si>
    <t>1002690629 - TYRE CHAIR  (ZAPATAS) SECADOR POS. 1</t>
  </si>
  <si>
    <t>1002690629 - GRAFITO SECADOR 185 X 150 X 25 MM</t>
  </si>
  <si>
    <t>1002690629 - CONJ. EJE-PIÑON SECADOR PN C2063-RDMD-01</t>
  </si>
  <si>
    <t>1002690589 - TYRE CHAIR  (ZAPATAS) SECADOR POS. 1</t>
  </si>
  <si>
    <t>CUÑA DE POLIURETANO CAMION 45 TON.</t>
  </si>
  <si>
    <t>5001160663 - CUÑA DE POLIURETANO CAMION 45 TON.</t>
  </si>
  <si>
    <t>Compras varias</t>
  </si>
  <si>
    <t>1002689618 - Compras varias</t>
  </si>
  <si>
    <t>Aspiradora portátil dewalt sin bateria</t>
  </si>
  <si>
    <t>1002689618 - Aspiradora portátil dewalt sin bateria</t>
  </si>
  <si>
    <t>Prensa ferrules</t>
  </si>
  <si>
    <t>1002689618 - Prensa ferrules</t>
  </si>
  <si>
    <t>Pulsador rasante verde NA 22mm</t>
  </si>
  <si>
    <t>1002689618 - Pulsador rasante verde NA 22mm</t>
  </si>
  <si>
    <t>Pulsador rasante rojo NC 22mm</t>
  </si>
  <si>
    <t>1002689618 - Pulsador rasante rojo NC 22mm</t>
  </si>
  <si>
    <t>Parada de emergencia NA + NC 22mm</t>
  </si>
  <si>
    <t>1002689618 - Parada de emergencia NA + NC 22mm</t>
  </si>
  <si>
    <t>1002690589 - GRAFITO SECADOR 185 X 150 X 25 MM</t>
  </si>
  <si>
    <t>1002690629 - TYRES LLANTA LADO ALIMENTACION SECADOR</t>
  </si>
  <si>
    <t>Luz Piloto led 22mm 220vac verde</t>
  </si>
  <si>
    <t>1002689618 - Luz Piloto led 22mm 220vac verde</t>
  </si>
  <si>
    <t>Luz Piloto led 22mm 220vac ambar</t>
  </si>
  <si>
    <t>1002689618 - Luz Piloto led 22mm 220vac ambar</t>
  </si>
  <si>
    <t>Capuchon de goma</t>
  </si>
  <si>
    <t>1002689618 - Capuchon de goma</t>
  </si>
  <si>
    <t>Int. aut. trifásico Mitsubishi a riel di</t>
  </si>
  <si>
    <t>1002689618 - Int. aut. trifásico Mitsubishi a riel di</t>
  </si>
  <si>
    <t>Luz Piloto led 22mm 220vac rojo</t>
  </si>
  <si>
    <t>1002689618 - Luz Piloto led 22mm 220vac rojo</t>
  </si>
  <si>
    <t>MALLAS CATALIZADORAS PAN 3</t>
  </si>
  <si>
    <t>Camilo-Categoria</t>
  </si>
  <si>
    <t>1002691595 - MALLAS CATALIZADORAS PAN 3</t>
  </si>
  <si>
    <t>PLANCHA TECHNYL BLANCA 6MMX1000MMX2000MM</t>
  </si>
  <si>
    <t>Cotizando 21.07</t>
  </si>
  <si>
    <t>1002692731 - PLANCHA TECHNYL BLANCA 6MMX1000MMX2000MM</t>
  </si>
  <si>
    <t>SISTEMA DUAL- HIDRAULICO/ELECTRICO/CONTR</t>
  </si>
  <si>
    <t>6000066896 - SISTEMA DUAL- HIDRAULICO/ELECTRICO/CONTR</t>
  </si>
  <si>
    <t>Unidad de giro 12" Corpas RGC1510</t>
  </si>
  <si>
    <t>AC-OC</t>
  </si>
  <si>
    <t>1002696571 - Unidad de giro 12" Corpas RGC1510</t>
  </si>
  <si>
    <t>Kit 4 camaras mas pantalla 10"</t>
  </si>
  <si>
    <t>Cotizando 22.07</t>
  </si>
  <si>
    <t>1002696571 - Kit 4 camaras mas pantalla 10"</t>
  </si>
  <si>
    <t>1002696589 - BATERIA    12    V     90    AMP C/BORNE</t>
  </si>
  <si>
    <t>SENSOR IFM TA2415</t>
  </si>
  <si>
    <t>6000067425 - SENSOR IFM TA2415</t>
  </si>
  <si>
    <t>GRASA MOBIL POLYREX EM 103 ENV 16KG</t>
  </si>
  <si>
    <t>1002455810 - GRASA MOBIL POLYREX EM 103 ENV 16KG</t>
  </si>
  <si>
    <t>CARPA 18 MTX 4 MT X 3,5 MT ALTO</t>
  </si>
  <si>
    <t>OC</t>
  </si>
  <si>
    <t>5001160866 - CARPA 18 MTX 4 MT X 3,5 MT ALTO</t>
  </si>
  <si>
    <t>Cotizar</t>
  </si>
  <si>
    <t>1002696595 - LOCKER COVER CLAMP SERIE:</t>
  </si>
  <si>
    <t>1002696595 - LOCKER TOP COVER POS. 17</t>
  </si>
  <si>
    <t>1002696595 - FIBRA CERAMICA KAOWOOL</t>
  </si>
  <si>
    <t>FLUJÓMETRO IFM SM6100</t>
  </si>
  <si>
    <t>6000067425 - FLUJÓMETRO IFM SM6100</t>
  </si>
  <si>
    <t>BOMBA CENT. VERT. RDV50-20BR SALVATORE</t>
  </si>
  <si>
    <t>1002687821 - BOMBA CENT. VERT. RDV50-20BR SALVATORE</t>
  </si>
  <si>
    <t>INTERCAMBIADOR 3 FILAS TUBO INF E-9203B</t>
  </si>
  <si>
    <t>1002687788 - INTERCAMBIADOR 3 FILAS TUBO INF E-9203B</t>
  </si>
  <si>
    <t>INTERCAMBIADOR 4 FILAS TUBO SUP E-9203A </t>
  </si>
  <si>
    <t>1002687788 - INTERCAMBIADOR 4 FILAS TUBO SUP E-9203A </t>
  </si>
  <si>
    <t>CARPA 16 MTX 4 MT X 3,5 MT ALTO</t>
  </si>
  <si>
    <t>5001160866 - CARPA 16 MTX 4 MT X 3,5 MT ALTO</t>
  </si>
  <si>
    <t>Sensor inductivo Hose Pusher</t>
  </si>
  <si>
    <t>6000067425 - Sensor inductivo Hose Pusher</t>
  </si>
  <si>
    <t>TRANSFORMADOR DANFOSS TYPE NEB1 N°052F00</t>
  </si>
  <si>
    <t xml:space="preserve">SAP ARIBA </t>
  </si>
  <si>
    <t>1002374619 - TRANSFORMADOR DANFOSS TYPE NEB1 N°052F00</t>
  </si>
  <si>
    <t>5/8 TEFLON WASHER</t>
  </si>
  <si>
    <t>PIDIENDO MAS ESPECIFICACION</t>
  </si>
  <si>
    <t>1002205012 - 5/8 TEFLON WASHER</t>
  </si>
  <si>
    <t>Juego de martillo deslizante KUKKO, para</t>
  </si>
  <si>
    <t>1002577582 - Juego de martillo deslizante KUKKO, para</t>
  </si>
  <si>
    <t>Llave para tubos de esquina, 1 pulgada</t>
  </si>
  <si>
    <t>1002577582 - Llave para tubos de esquina, 1 pulgada</t>
  </si>
  <si>
    <t>Llave doble, medidas 55-60 mm</t>
  </si>
  <si>
    <t>1002577582 - Llave doble, medidas 55-60 mm</t>
  </si>
  <si>
    <t>Llave doble, medidas 41-46 mm</t>
  </si>
  <si>
    <t>1002577582 - Llave doble, medidas 41-46 mm</t>
  </si>
  <si>
    <t>Martillo de plomo, 1500 g</t>
  </si>
  <si>
    <t>1002577582 - Martillo de plomo, 1500 g</t>
  </si>
  <si>
    <t>Llave mixta curva (pata gallo), medida 2</t>
  </si>
  <si>
    <t>1002577582 - Llave mixta curva (pata gallo), medida 2</t>
  </si>
  <si>
    <t>Llave mixta curva (pata gallo), medida 6</t>
  </si>
  <si>
    <t>1002577582 - Llave mixta curva (pata gallo), medida 6</t>
  </si>
  <si>
    <t>Llave de carraca mixta, medida 24-27 mm</t>
  </si>
  <si>
    <t>1002577582 - Llave de carraca mixta, medida 24-27 mm</t>
  </si>
  <si>
    <t>Llave doble, medidas 46-50 mm</t>
  </si>
  <si>
    <t>1002577582 - Llave doble, medidas 46-50 mm</t>
  </si>
  <si>
    <t>Llave mixta curva (pata gallo), medida 3</t>
  </si>
  <si>
    <t>1002577582 - Llave mixta curva (pata gallo), medida 3</t>
  </si>
  <si>
    <t>Mandril de aluminio, 30 mm x 200 mm</t>
  </si>
  <si>
    <t>1002577582 - Mandril de aluminio, 30 mm x 200 mm</t>
  </si>
  <si>
    <t>Punzón huevo para correas, 30 mm (Sacabo</t>
  </si>
  <si>
    <t>1002577582 - Punzón huevo para correas, 30 mm (Sacabo</t>
  </si>
  <si>
    <t>Cuña para brocas, tamaño 2</t>
  </si>
  <si>
    <t>ESPERNADO LIBERACION COMPLETA</t>
  </si>
  <si>
    <t>1002577582 - Cuña para brocas, tamaño 2</t>
  </si>
  <si>
    <t>Broca helicoidal para rosca M24x1,5, diá</t>
  </si>
  <si>
    <t>1002577582 - Broca helicoidal para rosca M24x1,5, diá</t>
  </si>
  <si>
    <t>Destornilladore angular</t>
  </si>
  <si>
    <t>1002577582 - Destornilladore angular</t>
  </si>
  <si>
    <t>Rascador plano HM con placa de carburo,</t>
  </si>
  <si>
    <t>1002577582 - Rascador plano HM con placa de carburo,</t>
  </si>
  <si>
    <t>Portaherramientas magnético, 320 mm</t>
  </si>
  <si>
    <t>1002577582 - Portaherramientas magnético, 320 mm</t>
  </si>
  <si>
    <t>Rascador triangular hueco de acero CV, 3</t>
  </si>
  <si>
    <t>1002577582 - Rascador triangular hueco de acero CV, 3</t>
  </si>
  <si>
    <t>Cincel para ranuras, acero CV, 12 x 6 x</t>
  </si>
  <si>
    <t>1002577582 - Cincel para ranuras, acero CV, 12 x 6 x</t>
  </si>
  <si>
    <t>Sacapasadores de acero CV, para pasador</t>
  </si>
  <si>
    <t>1002577582 - Sacapasadores de acero CV, para pasador</t>
  </si>
  <si>
    <t>Rascador triangular de cuchara, acero CV</t>
  </si>
  <si>
    <t>1002577582 - Rascador triangular de cuchara, acero CV</t>
  </si>
  <si>
    <t>BUJE AGITADOR ESTANQUE T-6536 (T-306)</t>
  </si>
  <si>
    <t>1002649214 - BUJE AGITADOR ESTANQUE T-6536 (T-306)</t>
  </si>
  <si>
    <t>TRANSMISOR DIFERENCIAL DE PRESIÓN F8104</t>
  </si>
  <si>
    <t>EVALUANDO GONZALO QUIROZ</t>
  </si>
  <si>
    <t>1002652333 - TRANSMISOR DIFERENCIAL DE PRESIÓN F8104</t>
  </si>
  <si>
    <t>ABLANDADOR AGUA DOBLE CABEZAL AUTOMATICO</t>
  </si>
  <si>
    <t xml:space="preserve">EVALUANDO DANIEL DELGADO </t>
  </si>
  <si>
    <t>1002625505 - ABLANDADOR AGUA DOBLE CABEZAL AUTOMATICO</t>
  </si>
  <si>
    <t>PERNO M4 L=80MM SS316 C/TUERCA</t>
  </si>
  <si>
    <t>1002653539 - PERNO M4 L=80MM SS316 C/TUERCA</t>
  </si>
  <si>
    <t>KIT SELLO F FH432 456 BUNA</t>
  </si>
  <si>
    <t>ESPERNADO OFERTAS</t>
  </si>
  <si>
    <t>1002661015 - KIT SELLO F FH432 456 BUNA</t>
  </si>
  <si>
    <t>AIRE COMPRIMIDO SPRAY 400ML WURTH</t>
  </si>
  <si>
    <t>1002661015 - AIRE COMPRIMIDO SPRAY 400ML WURTH</t>
  </si>
  <si>
    <t>MANOMETRO 0-7 BAR/0-100 PSI CONEX. 1/4</t>
  </si>
  <si>
    <t>SE VUELVE A VALIDAR 09-07</t>
  </si>
  <si>
    <t>1002661013 - MANOMETRO 0-7 BAR/0-100 PSI CONEX. 1/4</t>
  </si>
  <si>
    <t>TERMOMETRO BIMET. 0-120 C  BULBO 100 MM</t>
  </si>
  <si>
    <t>1002661013 - TERMOMETRO BIMET. 0-120 C  BULBO 100 MM</t>
  </si>
  <si>
    <t>TRANSFORMADOR 600/220 V, 50 HZ, 100KVA</t>
  </si>
  <si>
    <t>1002661013 - TRANSFORMADOR 600/220 V, 50 HZ, 100KVA</t>
  </si>
  <si>
    <t>PULSADOR RASANTE ROJO 1NC</t>
  </si>
  <si>
    <t>1002661013 - PULSADOR RASANTE ROJO 1NC</t>
  </si>
  <si>
    <t>FLUJOMETRO GPI 3/4" INOXIDABLE</t>
  </si>
  <si>
    <t>COTIZANDO</t>
  </si>
  <si>
    <t>1002643708 - FLUJOMETRO GPI 3/4" INOXIDABLE</t>
  </si>
  <si>
    <t>FLUJOMETRO GPI 1/2" INOXIDABLE</t>
  </si>
  <si>
    <t>1002643708 - FLUJOMETRO GPI 1/2" INOXIDABLE</t>
  </si>
  <si>
    <t>TRANSMISOR PRESION 143DP-A1SS1P1ZZZH-PT2</t>
  </si>
  <si>
    <t>SE SOLICITO ESPECIFICACION</t>
  </si>
  <si>
    <t>1002646074 - TRANSMISOR PRESION 143DP-A1SS1P1ZZZH-PT2</t>
  </si>
  <si>
    <t>POSICIONADOR SRI-986 BHNS1ZZZNY-V02</t>
  </si>
  <si>
    <t>1002646074 - POSICIONADOR SRI-986 BHNS1ZZZNY-V02</t>
  </si>
  <si>
    <t>TERMINAL ARGOLLA AZUL  REF C-01-509  3M</t>
  </si>
  <si>
    <t>1002646074 - TERMINAL ARGOLLA AZUL  REF C-01-509  3M</t>
  </si>
  <si>
    <t>SWITCH K-TEK MS41.SW.F7.E1.GS1</t>
  </si>
  <si>
    <t>1002646074 - SWITCH K-TEK MS41.SW.F7.E1.GS1</t>
  </si>
  <si>
    <t>Transm.Y sensor de T°-TT-8144 WIKA</t>
  </si>
  <si>
    <t>1002646074 - Transm.Y sensor de T°-TT-8144 WIKA</t>
  </si>
  <si>
    <t>CABLE EXTENSION PRIXIMITOR 3300XL 8MM</t>
  </si>
  <si>
    <t>1002646074 - CABLE EXTENSION PRIXIMITOR 3300XL 8MM</t>
  </si>
  <si>
    <t>CABLE APANTALLADO 2x2x16 AWG</t>
  </si>
  <si>
    <t xml:space="preserve">VALIDANDO </t>
  </si>
  <si>
    <t>1002643256 - CABLE APANTALLADO 2x2x16 AWG</t>
  </si>
  <si>
    <t>TRANSMISOR DE PRESION PT 45011</t>
  </si>
  <si>
    <t>1002643256 - TRANSMISOR DE PRESION PT 45011</t>
  </si>
  <si>
    <t>CALIBRADOR ELECTRICO 719PRO-300G, FLUKE</t>
  </si>
  <si>
    <t>evaluando daniel jofre</t>
  </si>
  <si>
    <t>1002643256 - CALIBRADOR ELECTRICO 719PRO-300G, FLUKE</t>
  </si>
  <si>
    <t>RESISTENCIA CALEFACTOR 230VOLTS / 500 WA</t>
  </si>
  <si>
    <t>1002643256 - RESISTENCIA CALEFACTOR 230VOLTS / 500 WA</t>
  </si>
  <si>
    <t>TELA SINT 19" ESP=1" F-1401</t>
  </si>
  <si>
    <t>VALIANDO 09-07</t>
  </si>
  <si>
    <t>1002643256 - TELA SINT 19" ESP=1" F-1401</t>
  </si>
  <si>
    <t>MOTOR/ REDUCTOR BONFIGLIOLI BN90S4</t>
  </si>
  <si>
    <t>VALIDANDO 09-07</t>
  </si>
  <si>
    <t>1002662152 - MOTOR/ REDUCTOR BONFIGLIOLI BN90S4</t>
  </si>
  <si>
    <t>AC SERVO MOTOR FANUC BIS 12/3000HV</t>
  </si>
  <si>
    <t>1002662152 - AC SERVO MOTOR FANUC BIS 12/3000HV</t>
  </si>
  <si>
    <t>MOTOR PASO A PASO [RS 535-0445] 1.89Nm</t>
  </si>
  <si>
    <t>1002662152 - MOTOR PASO A PASO [RS 535-0445] 1.89Nm</t>
  </si>
  <si>
    <t>TRANSMISOR T° RTT15S-T1SA1QNA TIT-5110</t>
  </si>
  <si>
    <t>1002646074 - TRANSMISOR T° RTT15S-T1SA1QNA TIT-5110</t>
  </si>
  <si>
    <t>1002669280 - MANGUERA INCENDIO C/STORZ Ø2 1/2"  L=25M</t>
  </si>
  <si>
    <t>PERFIL CUADRADO INOX 40 X 40 X 3 MM</t>
  </si>
  <si>
    <t>1002671590 - PERFIL CUADRADO INOX 40 X 40 X 3 MM</t>
  </si>
  <si>
    <t>COTIZANDO DUCASSE</t>
  </si>
  <si>
    <t>1002671083 - POLEA MOTOR DIA. 250MM 3 CANALES</t>
  </si>
  <si>
    <t>1002671083 - POLEA VENTILADOR DIA.160MM 3 CANALES</t>
  </si>
  <si>
    <t>COTIZANDO 07-07</t>
  </si>
  <si>
    <t>1002671083 - TRANSMION ACOPLAMIE. 125 64 ShD-F  POS.7</t>
  </si>
  <si>
    <t>1002671112 - FILTRO ABSOLUTO 20μM SUCCION PARKER</t>
  </si>
  <si>
    <t>1002671112 - FILTRO ABSOLUTO 5μM DESCARGA PARKER</t>
  </si>
  <si>
    <t>ABRAZADERA INOX. ALTA PRESION 3/4"</t>
  </si>
  <si>
    <t>1002671590 - ABRAZADERA INOX. ALTA PRESION 3/4"</t>
  </si>
  <si>
    <t>BUSHING GALVANIZADO  1" X  3/4"</t>
  </si>
  <si>
    <t>1002671590 - BUSHING GALVANIZADO  1" X  3/4"</t>
  </si>
  <si>
    <t>AGUA DESTILADA</t>
  </si>
  <si>
    <t>1002671590 - AGUA DESTILADA</t>
  </si>
  <si>
    <t>SENSOR TRIAXIAL VIBRACION Y TEMP [HF+S]</t>
  </si>
  <si>
    <t>1002671588 - SENSOR TRIAXIAL VIBRACION Y TEMP [HF+S]</t>
  </si>
  <si>
    <t>S3510020 M40Si2 2.1/2" 150-RF</t>
  </si>
  <si>
    <t>COTIZANDO 08-07(SPIRAX SARCO)</t>
  </si>
  <si>
    <t>1002673065 - S3510020 M40Si2 2.1/2" 150-RF</t>
  </si>
  <si>
    <t>TERCIADO MOLDAJE 15 MM</t>
  </si>
  <si>
    <t>1002672910 - TERCIADO MOLDAJE 15 MM</t>
  </si>
  <si>
    <t>PLANCHA TERCIADO MARINO 15 mm</t>
  </si>
  <si>
    <t>1002672910 - PLANCHA TERCIADO MARINO 15 mm</t>
  </si>
  <si>
    <t>1002671219 - SPRAY ANTICORROSIVO 485ml</t>
  </si>
  <si>
    <t>DISCO WAFER CHECK VALVE DN 2" CLASS 150#</t>
  </si>
  <si>
    <t>1002663262 - DISCO WAFER CHECK VALVE DN 2" CLASS 150#</t>
  </si>
  <si>
    <t>COTIZANDO 08-07</t>
  </si>
  <si>
    <t>1002674290 - SKF OBTURADOR DOBLE TSNA  317-G POS.6a</t>
  </si>
  <si>
    <t>1002671598 - CODO SW 1"x3000lb 90° AC ASTM A105</t>
  </si>
  <si>
    <t>5001160050 - FLUJOMETRO GPI 1/2" INOXIDABLE</t>
  </si>
  <si>
    <t>5001160050 - FLUJOMETRO GPI 3/4" INOXIDABLE</t>
  </si>
  <si>
    <t>SOLENOIDE 12 VOLTS</t>
  </si>
  <si>
    <t>COTIZANDO 09-07</t>
  </si>
  <si>
    <t>5001160050 - SOLENOIDE 12 VOLTS</t>
  </si>
  <si>
    <t>TERMINAL OJO 16-14 AWG AZUL</t>
  </si>
  <si>
    <t>5001160050 - TERMINAL OJO 16-14 AWG AZUL</t>
  </si>
  <si>
    <t>5001160050 - HEBILLA BAND IT DE 1/2"</t>
  </si>
  <si>
    <t>BOTON PARADA EMERGENCIA LEGRAND 24458</t>
  </si>
  <si>
    <t>5001160050 - BOTON PARADA EMERGENCIA LEGRAND 24458</t>
  </si>
  <si>
    <t>CINTA AISLADORA VINYL 3M 35 NEGRA</t>
  </si>
  <si>
    <t>5001160050 - CINTA AISLADORA VINYL 3M 35 NEGRA</t>
  </si>
  <si>
    <t>CAÑERIA A-106 ASME B16.25 1”</t>
  </si>
  <si>
    <t>1002671598 - CAÑERIA A-106 ASME B16.25 1”</t>
  </si>
  <si>
    <t>AJUSTE GOMA UNION CAMLOCK DE 2-1/2"</t>
  </si>
  <si>
    <t>5001160050 - AJUSTE GOMA UNION CAMLOCK DE 2-1/2"</t>
  </si>
  <si>
    <t>FAROL LED AMBAR 2.1/2" DIAM.</t>
  </si>
  <si>
    <t>5001160050 - FAROL LED AMBAR 2.1/2" DIAM.</t>
  </si>
  <si>
    <t>CHAVETA P/OREJA ACOPLE CAMLOCK</t>
  </si>
  <si>
    <t>5001160050 - CHAVETA P/OREJA ACOPLE CAMLOCK</t>
  </si>
  <si>
    <t>5001160050 - CINTA BAND IT DE 3/4" ACERO INOX. (ROLLO</t>
  </si>
  <si>
    <t>PT-100 SIMPLE, BULBO 1/4" COD.101243</t>
  </si>
  <si>
    <t>COMERCIAL E INDUSTRIAL SENYTER LIMITADA</t>
  </si>
  <si>
    <t>1002674338 - PT-100 SIMPLE, BULBO 1/4" COD.101243</t>
  </si>
  <si>
    <t>CODO AC 90° Ø4" BW SCH=STD</t>
  </si>
  <si>
    <t>1002673036 - CODO AC 90° Ø4" BW SCH=STD</t>
  </si>
  <si>
    <t>1002674973 - FLANGE SLIP-ON  24" #150 A105 ASME B16.5</t>
  </si>
  <si>
    <t>CINTA TERMOGLASS DE 1/8" X 2" X 30 MT.</t>
  </si>
  <si>
    <t>5001160050 - CINTA TERMOGLASS DE 1/8" X 2" X 30 MT.</t>
  </si>
  <si>
    <t>COTIZANDI 08-07</t>
  </si>
  <si>
    <t>1002674971 - TUBO LED T8 1200MM 6500K 1600LM 16W FRIA</t>
  </si>
  <si>
    <t>CORREA DISTRIBUCION COILER</t>
  </si>
  <si>
    <t>EFAMATIC</t>
  </si>
  <si>
    <t>1002674994 - CORREA DISTRIBUCION COILER</t>
  </si>
  <si>
    <t>BROCHA PLANA 4"</t>
  </si>
  <si>
    <t>1002674994 - BROCHA PLANA 4"</t>
  </si>
  <si>
    <t>TERCIADO MOLDAJE 18 MM.</t>
  </si>
  <si>
    <t>1002674994 - TERCIADO MOLDAJE 18 MM.</t>
  </si>
  <si>
    <t>Silicona Alta Temperatura</t>
  </si>
  <si>
    <t>1002674994 - Silicona Alta Temperatura</t>
  </si>
  <si>
    <t>BROCA CILINDRICA 5/16"</t>
  </si>
  <si>
    <t>1002674994 - BROCA CILINDRICA 5/16"</t>
  </si>
  <si>
    <t>1002674973 - DISCO CORTE SS Ø7" E=1/16"</t>
  </si>
  <si>
    <t>CONJUNTO PIVOTE INOXIDABLE COILER</t>
  </si>
  <si>
    <t>1002663213 - CONJUNTO PIVOTE INOXIDABLE COILER</t>
  </si>
  <si>
    <t>TUERCA HEX. .Ø1" REFORZ. ASTM A194 GR.2H</t>
  </si>
  <si>
    <t>revision por trevor y pedro</t>
  </si>
  <si>
    <t>1002643752 - TUERCA HEX. .Ø1" REFORZ. ASTM A194 GR.2H</t>
  </si>
  <si>
    <t>TUERCA 1 1/4" 8UNC SA-194 B8 SS</t>
  </si>
  <si>
    <t>1002643752 - TUERCA 1 1/4" 8UNC SA-194 B8 SS</t>
  </si>
  <si>
    <t>TUERCA HEXAGONAL M16 SA-194-8 SS</t>
  </si>
  <si>
    <t>1002643752 - TUERCA HEXAGONAL M16 SA-194-8 SS</t>
  </si>
  <si>
    <t>ESPARRAGO 1 1/2"x 9" SA-193 GR.B7</t>
  </si>
  <si>
    <t>1002643752 - ESPARRAGO 1 1/2"x 9" SA-193 GR.B7</t>
  </si>
  <si>
    <t>1002644386 - SKF OBTURADOR . MODEL: TSNA-511-L</t>
  </si>
  <si>
    <t>SOFT START SMC3 85 a 200-480V 150-C85NBD</t>
  </si>
  <si>
    <t>1002674714 - SOFT START SMC3 85 a 200-480V 150-C85NBD</t>
  </si>
  <si>
    <t>Panel HMI  2711P--T10C21D8S</t>
  </si>
  <si>
    <t>1002674757 - Panel HMI  2711P--T10C21D8S</t>
  </si>
  <si>
    <t>CARRETE  RETRACTIL TOMA A TIERRA 30 MTS</t>
  </si>
  <si>
    <t>1002669151 - CARRETE  RETRACTIL TOMA A TIERRA 30 MTS</t>
  </si>
  <si>
    <t>SENSOR NIVEL ULTRASONICO T FM U30</t>
  </si>
  <si>
    <t>1002663220 - SENSOR NIVEL ULTRASONICO T FM U30</t>
  </si>
  <si>
    <t>PLATO DE TECHNYL MAQUINA COILER</t>
  </si>
  <si>
    <t>1002663213 - PLATO DE TECHNYL MAQUINA COILER</t>
  </si>
  <si>
    <t>ESPARRAGO 1 1/4"x7" 8UNC SS SA-193-B8T</t>
  </si>
  <si>
    <t>1002643752 - ESPARRAGO 1 1/4"x7" 8UNC SS SA-193-B8T</t>
  </si>
  <si>
    <t>SOPORTE ALUMINIO PLATO COILER</t>
  </si>
  <si>
    <t>1002663213 - SOPORTE ALUMINIO PLATO COILER</t>
  </si>
  <si>
    <t>PERNO HEXAGONAL 1 1/8"X100MM SA-194 GR2H</t>
  </si>
  <si>
    <t>1002643752 - PERNO HEXAGONAL 1 1/8"X100MM SA-194 GR2H</t>
  </si>
  <si>
    <t>ESPARRAGO 7/8" x 255 mm SA-193/GR. B7</t>
  </si>
  <si>
    <t>1002643752 - ESPARRAGO 7/8" x 255 mm SA-193/GR. B7</t>
  </si>
  <si>
    <t>TUERCA HEXAGONAL 1 1/8" 8UNC AC SA-194</t>
  </si>
  <si>
    <t>1002643752 - TUERCA HEXAGONAL 1 1/8" 8UNC AC SA-194</t>
  </si>
  <si>
    <t>TUERCA HEXAGONAL 5/8"  11UNC SA-194-8</t>
  </si>
  <si>
    <t>1002643752 - TUERCA HEXAGONAL 5/8"  11UNC SA-194-8</t>
  </si>
  <si>
    <t>TUERCA HEXAGONAL 1 7/8" H=D SA-194 GR. 8</t>
  </si>
  <si>
    <t>1002643752 - TUERCA HEXAGONAL 1 7/8" H=D SA-194 GR. 8</t>
  </si>
  <si>
    <t>PERNOS DIA. M-16 x 45 MATERIAL 4.6</t>
  </si>
  <si>
    <t>1002643752 - PERNOS DIA. M-16 x 45 MATERIAL 4.6</t>
  </si>
  <si>
    <t>TUERCA HEXAGONAL M27 SS SA-194-8</t>
  </si>
  <si>
    <t>1002643752 - TUERCA HEXAGONAL M27 SS SA-194-8</t>
  </si>
  <si>
    <t>PERNO HEXAGONAL M16x60mm SA-193 B8T</t>
  </si>
  <si>
    <t>1002643752 - PERNO HEXAGONAL M16x60mm SA-193 B8T</t>
  </si>
  <si>
    <t>PERNO HEXA. 1 1/8"x6 1/4"  8UNC SA193 B7</t>
  </si>
  <si>
    <t>1002643752 - PERNO HEXA. 1 1/8"x6 1/4"  8UNC SA193 B7</t>
  </si>
  <si>
    <t>PERNO HEXAGONAL M12x40mm SS A2-50</t>
  </si>
  <si>
    <t>1002643752 - PERNO HEXAGONAL M12x40mm SS A2-50</t>
  </si>
  <si>
    <t>PERNO HEX. 1 1/8"x170mm 8UNC SA193 GRB7</t>
  </si>
  <si>
    <t>1002643752 - PERNO HEX. 1 1/8"x170mm 8UNC SA193 GRB7</t>
  </si>
  <si>
    <t>ESPARRAGO M10 x 35 mm  A2</t>
  </si>
  <si>
    <t>1002643752 - ESPARRAGO M10 x 35 mm  A2</t>
  </si>
  <si>
    <t>ESPARRAGO 7/8" x 360 mm SA-193/GR. B7T</t>
  </si>
  <si>
    <t>1002643752 - ESPARRAGO 7/8" x 360 mm SA-193/GR. B7T</t>
  </si>
  <si>
    <t>ESPARRAGO 5/8" x 165 mm SA-193 GR. B7</t>
  </si>
  <si>
    <t>1002643752 - ESPARRAGO 5/8" x 165 mm SA-193 GR. B7</t>
  </si>
  <si>
    <t>ESPARRAGO 1 1/4 x 171 mm SA-193 GR. B8T</t>
  </si>
  <si>
    <t>1002643752 - ESPARRAGO 1 1/4 x 171 mm SA-193 GR. B8T</t>
  </si>
  <si>
    <t>ESPARRAGO 1 1/8"x150 mm MAT. SA-193 B8T</t>
  </si>
  <si>
    <t>1002643752 - ESPARRAGO 1 1/8"x150 mm MAT. SA-193 B8T</t>
  </si>
  <si>
    <t>ESPARRAGO 1 1/4" 8UNCx210 mm SA-193 B8T</t>
  </si>
  <si>
    <t>1002643752 - ESPARRAGO 1 1/4" 8UNCx210 mm SA-193 B8T</t>
  </si>
  <si>
    <t>TUERCA HEXAGONAL 5/8" A.C SA-194 GR.2H</t>
  </si>
  <si>
    <t>1002643752 - TUERCA HEXAGONAL 5/8" A.C SA-194 GR.2H</t>
  </si>
  <si>
    <t>TUERCA HEXAGONAL M36 SA-194 GR7</t>
  </si>
  <si>
    <t>1002643752 - TUERCA HEXAGONAL M36 SA-194 GR7</t>
  </si>
  <si>
    <t>TUERCA HEXAGONAL 7/8" A.C SA-194 GR2H</t>
  </si>
  <si>
    <t>1002643752 - TUERCA HEXAGONAL 7/8" A.C SA-194 GR2H</t>
  </si>
  <si>
    <t>ESPARRAGO 1 7/8"x325mm SS SA-193 B8 CL.1</t>
  </si>
  <si>
    <t>1002643752 - ESPARRAGO 1 7/8"x325mm SS SA-193 B8 CL.1</t>
  </si>
  <si>
    <t>ESPARRAGO 5/8" 11UNC x 90 mm SA-193 B8T</t>
  </si>
  <si>
    <t>1002643752 - ESPARRAGO 5/8" 11UNC x 90 mm SA-193 B8T</t>
  </si>
  <si>
    <t>ESPARRAGO 1"x140mm 8UNC SA-193 GR.B7</t>
  </si>
  <si>
    <t>1002643752 - ESPARRAGO 1"x140mm 8UNC SA-193 GR.B7</t>
  </si>
  <si>
    <t>ESPARRAGO 1/2" 13UNC x 60 mm SA-193 B8T</t>
  </si>
  <si>
    <t>1002643752 - ESPARRAGO 1/2" 13UNC x 60 mm SA-193 B8T</t>
  </si>
  <si>
    <t>TUERCA HEXAGONAL 1 1/2" A.C SA-194 GR2H</t>
  </si>
  <si>
    <t>1002643752 - TUERCA HEXAGONAL 1 1/2" A.C SA-194 GR2H</t>
  </si>
  <si>
    <t>PERNO HEXAGONAL M27x80mm SS A2-50</t>
  </si>
  <si>
    <t>1002643752 - PERNO HEXAGONAL M27x80mm SS A2-50</t>
  </si>
  <si>
    <t>PERNO M12X35MM  SA-193 GR. B7</t>
  </si>
  <si>
    <t>1002643752 - PERNO M12X35MM  SA-193 GR. B7</t>
  </si>
  <si>
    <t>TUERCA Ø 1.1/8"  SA 194  GR 2H 4430</t>
  </si>
  <si>
    <t>1002643752 - TUERCA Ø 1.1/8"  SA 194  GR 2H 4430</t>
  </si>
  <si>
    <t>TUERCA HEXAGONAL 3/4"SA-194-8 SS</t>
  </si>
  <si>
    <t>1002643752 - TUERCA HEXAGONAL 3/4"SA-194-8 SS</t>
  </si>
  <si>
    <t>TUERCA 1 1/4" SA-194 2H</t>
  </si>
  <si>
    <t>1002643752 - TUERCA 1 1/4" SA-194 2H</t>
  </si>
  <si>
    <t>Esparrago A-193 GrB7 1 1/4"x8" 2tuercas</t>
  </si>
  <si>
    <t>1002643752 - Esparrago A-193 GrB7 1 1/4"x8" 2tuercas</t>
  </si>
  <si>
    <t>ESPARRAGO 1 1/8" 8UNCx160 mm SA-193 B8T</t>
  </si>
  <si>
    <t>1002643752 - ESPARRAGO 1 1/8" 8UNCx160 mm SA-193 B8T</t>
  </si>
  <si>
    <t>ESPARRAGO 7/8" x 114 mm  SA-193 GR. B8T</t>
  </si>
  <si>
    <t>1002643752 - ESPARRAGO 7/8" x 114 mm  SA-193 GR. B8T</t>
  </si>
  <si>
    <t>TUERCA HEXAGONAL M30 SS SA-194 GR.8</t>
  </si>
  <si>
    <t>1002643752 - TUERCA HEXAGONAL M30 SS SA-194 GR.8</t>
  </si>
  <si>
    <t>TUERCA HEXAGONAL M10  A2 SS</t>
  </si>
  <si>
    <t>1002643752 - TUERCA HEXAGONAL M10  A2 SS</t>
  </si>
  <si>
    <t>STUD BOLTS 7/8" 9 UNCx11 1/2" SA-193 B7</t>
  </si>
  <si>
    <t>1002643752 - STUD BOLTS 7/8" 9 UNCx11 1/2" SA-193 B7</t>
  </si>
  <si>
    <t>PERNO ROSCADO 5/8"x60mm 11UNC SA-193 B8T</t>
  </si>
  <si>
    <t>1002643752 - PERNO ROSCADO 5/8"x60mm 11UNC SA-193 B8T</t>
  </si>
  <si>
    <t>PERNO ROSCADO 3/4"x80 mm 10UNC SA193 B8T</t>
  </si>
  <si>
    <t>1002643752 - PERNO ROSCADO 3/4"x80 mm 10UNC SA193 B8T</t>
  </si>
  <si>
    <t>PERNO ROSCADO 3/4"x110mm 10UNC SA193 B8T</t>
  </si>
  <si>
    <t>1002643752 - PERNO ROSCADO 3/4"x110mm 10UNC SA193 B8T</t>
  </si>
  <si>
    <t>PERNO ROSCADO M27x100mm SA-193-B8T</t>
  </si>
  <si>
    <t>1002643752 - PERNO ROSCADO M27x100mm SA-193-B8T</t>
  </si>
  <si>
    <t>PERNO ROSCADO 5/8"X70mm 11UNC SA-193 B8T</t>
  </si>
  <si>
    <t>1002643752 - PERNO ROSCADO 5/8"X70mm 11UNC SA-193 B8T</t>
  </si>
  <si>
    <t>ESPARRAGO M30x275mm SA-193 GR. B8T</t>
  </si>
  <si>
    <t>1002643752 - ESPARRAGO M30x275mm SA-193 GR. B8T</t>
  </si>
  <si>
    <t>TUERCA HEAXGONAL M12 A2 SS</t>
  </si>
  <si>
    <t>1002643752 - TUERCA HEAXGONAL M12 A2 SS</t>
  </si>
  <si>
    <t>TUERCA HEXAGONAL 1 1/8" 8UNC SA194 B8 SS</t>
  </si>
  <si>
    <t>1002643752 - TUERCA HEXAGONAL 1 1/8" 8UNC SA194 B8 SS</t>
  </si>
  <si>
    <t>STUD BOLTS 7/8" 9 UNC x 10"  SA-193 B7</t>
  </si>
  <si>
    <t>1002643752 - STUD BOLTS 7/8" 9 UNC x 10"  SA-193 B7</t>
  </si>
  <si>
    <t>TUERCAS M12 SA-194 AC TRATADO GR 2H</t>
  </si>
  <si>
    <t>1002643752 - TUERCAS M12 SA-194 AC TRATADO GR 2H</t>
  </si>
  <si>
    <t>TUERCA M16 ACERO GRADO 4.0 ZINCADA</t>
  </si>
  <si>
    <t>1002643752 - TUERCA M16 ACERO GRADO 4.0 ZINCADA</t>
  </si>
  <si>
    <t>ESPARRAGO 1 1/4"x175mm 8UNC SA-193 B8T</t>
  </si>
  <si>
    <t>1002643752 - ESPARRAGO 1 1/4"x175mm 8UNC SA-193 B8T</t>
  </si>
  <si>
    <t>ESPARRAGO 1"x483mm SA-193-GrB7</t>
  </si>
  <si>
    <t>1002643752 - ESPARRAGO 1"x483mm SA-193-GrB7</t>
  </si>
  <si>
    <t>PERNO FIJACION M36x660 mm SA-193 GR.B16</t>
  </si>
  <si>
    <t>1002643752 - PERNO FIJACION M36x660 mm SA-193 GR.B16</t>
  </si>
  <si>
    <t>ESPARRAGO 1"x279mm SA-193-B7</t>
  </si>
  <si>
    <t>1002643752 - ESPARRAGO 1"x279mm SA-193-B7</t>
  </si>
  <si>
    <t>PERNO ROSCADO 1 1/4"x160mm 7UNC SA193B8T</t>
  </si>
  <si>
    <t>1002643752 - PERNO ROSCADO 1 1/4"x160mm 7UNC SA193B8T</t>
  </si>
  <si>
    <t>TUERCA HEXAGONAL 1/2" 13UNC SA-194-8 SS</t>
  </si>
  <si>
    <t>1002643752 - TUERCA HEXAGONAL 1/2" 13UNC SA-194-8 SS</t>
  </si>
  <si>
    <t>TUERCA HEXAGONAL  M27 A2 SS</t>
  </si>
  <si>
    <t>1002643752 - TUERCA HEXAGONAL  M27 A2 SS</t>
  </si>
  <si>
    <t>FUENTE DE PODER WAGO MODELO 787-602, 220</t>
  </si>
  <si>
    <t>1002665016 - FUENTE DE PODER WAGO MODELO 787-602, 220</t>
  </si>
  <si>
    <t>ENCHUFE MACHO VOLANTE 2 * 16 A. + TIERRA</t>
  </si>
  <si>
    <t>1002666061 - ENCHUFE MACHO VOLANTE 2 * 16 A. + TIERRA</t>
  </si>
  <si>
    <t>TEMPORIZADOR NODING 223.096/9</t>
  </si>
  <si>
    <t>1002665016 - TEMPORIZADOR NODING 223.096/9</t>
  </si>
  <si>
    <t>GOLILLAS DIELECTRICAS EN FORMA DE T M16</t>
  </si>
  <si>
    <t>1002668895 - GOLILLAS DIELECTRICAS EN FORMA DE T M16</t>
  </si>
  <si>
    <t>1002676719 - ABB.MOTOR ELÉC. 55KW/750RPM/8POLOS POS.D</t>
  </si>
  <si>
    <t>ESTUCHE BLANDO C345</t>
  </si>
  <si>
    <t>1002676674 - ESTUCHE BLANDO C345</t>
  </si>
  <si>
    <t>Set Destornillador Aislado VDE 7 PIEZAS</t>
  </si>
  <si>
    <t>1002676674 - Set Destornillador Aislado VDE 7 PIEZAS</t>
  </si>
  <si>
    <t>MANOMETRO -1-5 BAR 160MM 1/2NPT RADIAL</t>
  </si>
  <si>
    <t>1002660968 - MANOMETRO -1-5 BAR 160MM 1/2NPT RADIAL</t>
  </si>
  <si>
    <t>GOLILLAS DIELECTRICAS EN FORMA DE T M12</t>
  </si>
  <si>
    <t>1002668895 - GOLILLAS DIELECTRICAS EN FORMA DE T M12</t>
  </si>
  <si>
    <t>RETEN ACEITE CR12456</t>
  </si>
  <si>
    <t>1002675370 - RETEN ACEITE CR12456</t>
  </si>
  <si>
    <t>EJE SS 304 Ø 1.875" EQ-LVA/TFA 226</t>
  </si>
  <si>
    <t>1002675370 - EJE SS 304 Ø 1.875" EQ-LVA/TFA 226</t>
  </si>
  <si>
    <t>KIT, GROUP II LVA GASKETS</t>
  </si>
  <si>
    <t xml:space="preserve">SOLTEX </t>
  </si>
  <si>
    <t>1002675370 - KIT, GROUP II LVA GASKETS</t>
  </si>
  <si>
    <t>VASO LUBRIC 8 OZ 237</t>
  </si>
  <si>
    <t>SOLTEX</t>
  </si>
  <si>
    <t>1002675370 - VASO LUBRIC 8 OZ 237</t>
  </si>
  <si>
    <t>KIT REPARACION D-301 1 7/8" C/ORING</t>
  </si>
  <si>
    <t>1002675370 - KIT REPARACION D-301 1 7/8" C/ORING</t>
  </si>
  <si>
    <t>CONSTANT LEVER OILER  PIECE 237  P-5441</t>
  </si>
  <si>
    <t>1002675370 - CONSTANT LEVER OILER  PIECE 237  P-5441</t>
  </si>
  <si>
    <t>RETAINING RING BRG SR P-5441 A/B</t>
  </si>
  <si>
    <t>1002675370 - RETAINING RING BRG SR P-5441 A/B</t>
  </si>
  <si>
    <t>BEARING LOCKWASHER  N° REF. 230</t>
  </si>
  <si>
    <t>1002675370 - BEARING LOCKWASHER  N° REF. 230</t>
  </si>
  <si>
    <t>TRANSMISOR DE NIVEL FMI51-A1PRDJBC1A 55</t>
  </si>
  <si>
    <t>1002678751 - TRANSMISOR DE NIVEL FMI51-A1PRDJBC1A 55</t>
  </si>
  <si>
    <t>BANCO ELECTROVALVULAS NEUM VP344-5YZ1-A</t>
  </si>
  <si>
    <t>1002679171 - BANCO ELECTROVALVULAS NEUM VP344-5YZ1-A</t>
  </si>
  <si>
    <t>1002679190 - AMPOLLETA H-7 24V</t>
  </si>
  <si>
    <t>TUERCA CS KM10 EQ-LVA/TFA 229</t>
  </si>
  <si>
    <t>1002675370 - TUERCA CS KM10 EQ-LVA/TFA 229</t>
  </si>
  <si>
    <t>OUTBOARD OIL SEAL N°REF. 235</t>
  </si>
  <si>
    <t>1002675370 - OUTBOARD OIL SEAL N°REF. 235</t>
  </si>
  <si>
    <t>RD BOLA 6310C3</t>
  </si>
  <si>
    <t>1002675370 - RD BOLA 6310C3</t>
  </si>
  <si>
    <t>IMPULSOR SS304 EQ-LVA/TFA 206</t>
  </si>
  <si>
    <t>1002675370 - IMPULSOR SS304 EQ-LVA/TFA 206</t>
  </si>
  <si>
    <t>ACOPLE CAMLOCK "E" INOX MACHO  2"</t>
  </si>
  <si>
    <t>1002676646 - ACOPLE CAMLOCK "E" INOX MACHO  2"</t>
  </si>
  <si>
    <t>1002673992 - NIPLE Ø 1/2" SS 316 L=4"</t>
  </si>
  <si>
    <t>1002667096 - SKF RODAMIENTO 21313 E POS.4b</t>
  </si>
  <si>
    <t>1002667096 - CABLE SS 304L Ø10MM</t>
  </si>
  <si>
    <t>1002667096 - SKF DESCANSO RODAMI. SNH 520-617 POS.4</t>
  </si>
  <si>
    <t>1002667096 - SKF SOPORTE RODAMIENTO SNH 520-617 POS.5</t>
  </si>
  <si>
    <t>1002667096 - ANILLO FIJACI. MODEL: 2 FRB-12.5/130</t>
  </si>
  <si>
    <t>1002667096 - TUNGSTENO 2% THORIO 3/32", PUNTO ROJO</t>
  </si>
  <si>
    <t>1002667096 - PERNO INOX 5 X 40 CON TUERCA Y GOLILLAS</t>
  </si>
  <si>
    <t>1002667096 - ESPARRAGO C/TUERCAYGOLILLA 1/2"X65MM SS</t>
  </si>
  <si>
    <t>1002673990 - BALIZA SOLAR MARINA LED MOD. M650H AMBAR</t>
  </si>
  <si>
    <t>1002673992 - CINTA AISLADORA DE GOMA AUTOFUNDENTE 3M</t>
  </si>
  <si>
    <t>1002673992 - CANDADO BLOQUEO ROJO</t>
  </si>
  <si>
    <t>1002673992 - PERNO ANCLAJE INOX. 1/2 X 5.1/2 Y TUERCA</t>
  </si>
  <si>
    <t>1002673992 - PERNO Ø5/8" L=2" SS316 C/TUERCA</t>
  </si>
  <si>
    <t>1002673990 - CINTA AISLADORA VINYL 3M 35 VERDE</t>
  </si>
  <si>
    <t>CANDADO FORJADO 40 MM</t>
  </si>
  <si>
    <t>1002681347 - CANDADO FORJADO 40 MM</t>
  </si>
  <si>
    <t>Estator MONO PUMPS CX072CS1R8/E42B</t>
  </si>
  <si>
    <t>1002681345 - Estator MONO PUMPS CX072CS1R8/E42B</t>
  </si>
  <si>
    <t>MOTOR TRIFASICO 380V 5HP 60HZ 360RPM</t>
  </si>
  <si>
    <t>1002681345 - MOTOR TRIFASICO 380V 5HP 60HZ 360RPM</t>
  </si>
  <si>
    <t>ROTOR SO LN11 2525</t>
  </si>
  <si>
    <t>1002681345 - ROTOR SO LN11 2525</t>
  </si>
  <si>
    <t>Rotor-Flexishaft PUMPS CX072CS1R8/E42B</t>
  </si>
  <si>
    <t>1002681345 - Rotor-Flexishaft PUMPS CX072CS1R8/E42B</t>
  </si>
  <si>
    <t>INTERRUPTOR BTICINO MAGIC 5001 9/12 16A</t>
  </si>
  <si>
    <t>1002674992 - INTERRUPTOR BTICINO MAGIC 5001 9/12 16A</t>
  </si>
  <si>
    <t>1002674992 - AMARRAS PLASTICAS 4,8 X 200 MM</t>
  </si>
  <si>
    <t>CAÑERIA GALVANIZADA A53 HILO 1" NPT</t>
  </si>
  <si>
    <t>1002681347 - CAÑERIA GALVANIZADA A53 HILO 1" NPT</t>
  </si>
  <si>
    <t>1002681347 - BROCHA PLANA 2"</t>
  </si>
  <si>
    <t>1002681347 - ORING CUERPO FKM P 6855 ABCDEF</t>
  </si>
  <si>
    <t>TUBO UHMW 3" 12 MTS ID 68MM OD 75MM</t>
  </si>
  <si>
    <t>1002681347 - TUBO UHMW 3" 12 MTS ID 68MM OD 75MM</t>
  </si>
  <si>
    <t>BATERIA 12V 200 AMP C/BORNE</t>
  </si>
  <si>
    <t>1002681345 - BATERIA 12V 200 AMP C/BORNE</t>
  </si>
  <si>
    <t>PLANCHA 1500X3000X5MM SS 310S E-8134</t>
  </si>
  <si>
    <t>1002398518 - PLANCHA 1500X3000X5MM SS 310S E-8134</t>
  </si>
  <si>
    <t>RUEDA PU GIRATORIA CON FRENO 100MM DIAM.</t>
  </si>
  <si>
    <t>1002681347 - RUEDA PU GIRATORIA CON FRENO 100MM DIAM.</t>
  </si>
  <si>
    <t>BORNE PASO UIK 35MM2 P/RIEL NS32/35 GRIS</t>
  </si>
  <si>
    <t>1002681345 - BORNE PASO UIK 35MM2 P/RIEL NS32/35 GRIS</t>
  </si>
  <si>
    <t>BAHCO 808061 JGO. DESTORNILLADORES 1000V</t>
  </si>
  <si>
    <t>1002681347 - BAHCO 808061 JGO. DESTORNILLADORES 1000V</t>
  </si>
  <si>
    <t>WEG ATEX 7,5 KW 10 HP 2P 2900RPM IE2IP55</t>
  </si>
  <si>
    <t>1002681345 - WEG ATEX 7,5 KW 10 HP 2P 2900RPM IE2IP55</t>
  </si>
  <si>
    <t>FILTRO REGULADOR LUB 1/4" AC20A-02CE-C-B</t>
  </si>
  <si>
    <t>1002681345 - FILTRO REGULADOR LUB 1/4" AC20A-02CE-C-B</t>
  </si>
  <si>
    <t>TUBO FLUORORESINA 8MM TRAN TH0806N-20</t>
  </si>
  <si>
    <t>1002681345 - TUBO FLUORORESINA 8MM TRAN TH0806N-20</t>
  </si>
  <si>
    <t>CAJA ESTANCA 100x100x70mm 7 SALIDAS</t>
  </si>
  <si>
    <t>1002681345 - CAJA ESTANCA 100x100x70mm 7 SALIDAS</t>
  </si>
  <si>
    <t>CANDADO CADENA 08B-1R</t>
  </si>
  <si>
    <t>1002681299 - CANDADO CADENA 08B-1R</t>
  </si>
  <si>
    <t>EQUIPO FLUORESCENTE 2 X 36 APE-MODELO CE</t>
  </si>
  <si>
    <t>1002680721 - EQUIPO FLUORESCENTE 2 X 36 APE-MODELO CE</t>
  </si>
  <si>
    <t>MOTOR 112M 50Hz 1440RPM 5.5HP 380V</t>
  </si>
  <si>
    <t>1002681345 - MOTOR 112M 50Hz 1440RPM 5.5HP 380V</t>
  </si>
  <si>
    <t>LIMPIA CONTACTOS SPRAY</t>
  </si>
  <si>
    <t>1002674992 - LIMPIA CONTACTOS SPRAY</t>
  </si>
  <si>
    <t>1002682088 - CADENA 10 B  SIMPLE</t>
  </si>
  <si>
    <t>JAULA MODULAR CAPACIDAD 40 CILINDRO</t>
  </si>
  <si>
    <t>CONSULTNADO EDGARDO MENA</t>
  </si>
  <si>
    <t>1002664971 - JAULA MODULAR CAPACIDAD 40 CILINDRO</t>
  </si>
  <si>
    <t>LLAVE TORQUE CUADRATE 3/4 200-800 Nm</t>
  </si>
  <si>
    <t>5001160666 - LLAVE TORQUE CUADRATE 3/4 200-800 Nm</t>
  </si>
  <si>
    <t>DESMONTADOR DE CORREAS</t>
  </si>
  <si>
    <t>5001160666 - DESMONTADOR DE CORREAS</t>
  </si>
  <si>
    <t>AMPOLLETA LED PERTIGA 12V-24V</t>
  </si>
  <si>
    <t>1002683928 - AMPOLLETA LED PERTIGA 12V-24V</t>
  </si>
  <si>
    <t>AMPOLLETA 21/5W 24V  2 CONT/DISPAREJO</t>
  </si>
  <si>
    <t>1002683928 - AMPOLLETA 21/5W 24V  2 CONT/DISPAREJO</t>
  </si>
  <si>
    <t>KIT MTTO  GENARDOR LUREYE 250 HRS</t>
  </si>
  <si>
    <t>1002683635 - KIT MTTO  GENARDOR LUREYE 250 HRS</t>
  </si>
  <si>
    <t>LLAVE FILTRO TIPO COPA 130MM</t>
  </si>
  <si>
    <t>5001160666 - LLAVE FILTRO TIPO COPA 130MM</t>
  </si>
  <si>
    <t>1002666229 - SKF RODAMIENTO. MODEL: 22215-EK</t>
  </si>
  <si>
    <t>LLAVE DE FILTRO TIPO COPA 140MM</t>
  </si>
  <si>
    <t>5001160666 - LLAVE DE FILTRO TIPO COPA 140MM</t>
  </si>
  <si>
    <t>JUEGO MACHO 1/4</t>
  </si>
  <si>
    <t>5001160666 - JUEGO MACHO 1/4</t>
  </si>
  <si>
    <t>JEUGO DE LIMAS BASTARDAS 12"</t>
  </si>
  <si>
    <t>5001160666 - JEUGO DE LIMAS BASTARDAS 12"</t>
  </si>
  <si>
    <t>PROYECTOR LED 300W IP65 1.9K-4K [DS1 1%]</t>
  </si>
  <si>
    <t>NO APLICA</t>
  </si>
  <si>
    <t>6000065769 - PROYECTOR LED 300W IP65 1.9K-4K [DS1 1%]</t>
  </si>
  <si>
    <t>LUMINARIA PUBLICA LED 120W IP66 [DS1 1%]</t>
  </si>
  <si>
    <t>6000065769 - LUMINARIA PUBLICA LED 120W IP66 [DS1 1%]</t>
  </si>
  <si>
    <t>PROYECTOR LED 200W IP65 1.9K-4K [DS1 1%]</t>
  </si>
  <si>
    <t>6000065769 - PROYECTOR LED 200W IP65 1.9K-4K [DS1 1%]</t>
  </si>
  <si>
    <t>6000065801 - GAS A GRANEL MEZCLA</t>
  </si>
  <si>
    <t>LLAVE FILTRO TIPO COPA 110 MM</t>
  </si>
  <si>
    <t>5001160666 - LLAVE FILTRO TIPO COPA 110 MM</t>
  </si>
  <si>
    <t>Tablero CCM Casa de Fuerza</t>
  </si>
  <si>
    <t>6000066020 - Tablero CCM Casa de Fuerza</t>
  </si>
  <si>
    <t>1002671085 - SKF RODAMIENTO 22218 CCW/33 POS.6b</t>
  </si>
  <si>
    <t>1002671085 - LIJA AL AGUA NR. 120 FINA</t>
  </si>
  <si>
    <t>1002671085 - SKF DESCANSO RODAMIE. SNH 522-619 POS.4</t>
  </si>
  <si>
    <t>1002671085 - ESLINGA PARA 4 TON., 4 MTS. LARGO</t>
  </si>
  <si>
    <t>1002671085 - PINTURA SPRAY 475 CC COLOR NARANJA</t>
  </si>
  <si>
    <t>1002671085 - SKF MANGUITO FIJACION MODEL: H-311</t>
  </si>
  <si>
    <t>1002671085 - SKF ANILLO FIJACI. MODEL: 2FRB 9.5/100</t>
  </si>
  <si>
    <t>1002671085 - MALLA SS304L 3000X1000 MESH 15X15X3MM</t>
  </si>
  <si>
    <t>1002671085 - ESLINGA DOBLE TELA ANCHO 50MM LARGO 3MT</t>
  </si>
  <si>
    <t>1002671085 - ESLINGA DOBLE TELA ANCHO 50MM LARGO 2,0M</t>
  </si>
  <si>
    <t>1002681353 - ESCOBILLA DE BRONCE CON MANGO</t>
  </si>
  <si>
    <t>1002681353 - DISCO CORTE SS Ø4 1/2" E=3/64"</t>
  </si>
  <si>
    <t>AMPOLLETA 10W  24V 1 CONT/PAREJO</t>
  </si>
  <si>
    <t>1002685764 - AMPOLLETA 10W  24V 1 CONT/PAREJO</t>
  </si>
  <si>
    <t>1002671085 - PERNO INOX 5/8" x 3"  C/TUERCA</t>
  </si>
  <si>
    <t>1002671085 - SKF SOPORTE RODAMIENTO SNH 516-613 POS.4</t>
  </si>
  <si>
    <t>1002671085 - SKF SOPORTE DESCAN. MODEL: SNH-511-609</t>
  </si>
  <si>
    <t>1002671085 - SKF RODAMIENTO 22222  CCW/33 POS.4b</t>
  </si>
  <si>
    <t>1002671085 - SKF RODAMIENTO 21317-E POS.6b</t>
  </si>
  <si>
    <t>KIT MTTO GENARDOR LUREYE 2000 HR</t>
  </si>
  <si>
    <t>1002685588 - KIT MTTO GENARDOR LUREYE 2000 HR</t>
  </si>
  <si>
    <t>Tableros de Fuerza y Auxiliares Casa de</t>
  </si>
  <si>
    <t>6000066038 - Tableros de Fuerza y Auxiliares Casa de</t>
  </si>
  <si>
    <t xml:space="preserve">Cristian </t>
  </si>
  <si>
    <t>1002542940 - Cojinete Empuje KH020-TBK(Cot. 14-02)</t>
  </si>
  <si>
    <t>FLANGE W.N. 3" X 150LB BW SCH10S 304L</t>
  </si>
  <si>
    <t>Cotizando 09.07.2026</t>
  </si>
  <si>
    <t>1002316731 - FLANGE W.N. 3" X 150LB BW SCH10S 304L</t>
  </si>
  <si>
    <t>BUTTERFLY VALVE 24" 150# API STD 609 LUG</t>
  </si>
  <si>
    <t>1002316731 - BUTTERFLY VALVE 24" 150# API STD 609 LUG</t>
  </si>
  <si>
    <t>VALVULA CON FLOTADOR PVC 1/2" NPT</t>
  </si>
  <si>
    <t>Validando 30.06.2026</t>
  </si>
  <si>
    <t>1002619622 - VALVULA CON FLOTADOR PVC 1/2" NPT</t>
  </si>
  <si>
    <t>RETEN 35x54x7xCRW1 V P-5442A</t>
  </si>
  <si>
    <t>Generar OC / SAP ARIBA</t>
  </si>
  <si>
    <t>1002428090 - RETEN 35x54x7xCRW1 V P-5442A</t>
  </si>
  <si>
    <t>Validando 09.07.2026</t>
  </si>
  <si>
    <t>1002631449 - TRANSM.PRESION DIF. CON SELLO REMOTO</t>
  </si>
  <si>
    <t>1002637283 - ELECTRODO BLUELINE 14pH VIDRIO 120X12MMD</t>
  </si>
  <si>
    <t>Cylindrical Sintered MetalPowder Filter</t>
  </si>
  <si>
    <t>No tomar</t>
  </si>
  <si>
    <t>6000059432 - Cylindrical Sintered MetalPowder Filter</t>
  </si>
  <si>
    <t>Colihues 1.5 metros</t>
  </si>
  <si>
    <t>6000058510 - Colihues 1.5 metros</t>
  </si>
  <si>
    <t>INTERRUPTOR NIVEL LIQ X FLOTADOR AREA 74</t>
  </si>
  <si>
    <t>Cotizando 30.06.2026</t>
  </si>
  <si>
    <t>1002638644 - INTERRUPTOR NIVEL LIQ X FLOTADOR AREA 74</t>
  </si>
  <si>
    <t>1002648063 - BOMBA SUMERGIBLE ZENIT MOD: DRENO 200/2/</t>
  </si>
  <si>
    <t>1002648063 - SELLO MONORESORTE 65 MM, MODELO MGI/G60S</t>
  </si>
  <si>
    <t>1002648063 - PITON POLICARBONATO CON ESPIGA DE 1"</t>
  </si>
  <si>
    <t>1002648063 - BOMBA SUMERGIBLE MOD. GQG 6-21 C/TRITUR</t>
  </si>
  <si>
    <t>FLANGE INOX 316L CIEGO 150 RF 2"</t>
  </si>
  <si>
    <t>Cotizando 01.07.2026</t>
  </si>
  <si>
    <t>1002655016 - FLANGE INOX 316L CIEGO 150 RF 2"</t>
  </si>
  <si>
    <t>VALVULA SAUNDERS DE 2" DIAM. TIPO VERT.</t>
  </si>
  <si>
    <t>1002655016 - VALVULA SAUNDERS DE 2" DIAM. TIPO VERT.</t>
  </si>
  <si>
    <t>6000054614 - CLOROFORMO   P.A.</t>
  </si>
  <si>
    <t>RETEN DOBLE LABIO DCP 88,9x69,85x12,7</t>
  </si>
  <si>
    <t>1002655016 - RETEN DOBLE LABIO DCP 88,9x69,85x12,7</t>
  </si>
  <si>
    <t>Cotizando 07.07.2026</t>
  </si>
  <si>
    <t>1002648051 - TUBO COLORIMETRICO MED: NH3 2/A</t>
  </si>
  <si>
    <t>CAJA PAPEL FILTRO WHATMAN GF/A 24MM 1,6μ</t>
  </si>
  <si>
    <t>6000054614 - CAJA PAPEL FILTRO WHATMAN GF/A 24MM 1,6μ</t>
  </si>
  <si>
    <t>BW-160 ANTIINCRUSTANTE</t>
  </si>
  <si>
    <t>Cotizando 12.05.2026</t>
  </si>
  <si>
    <t>1002640119 - BW-160 ANTIINCRUSTANTE</t>
  </si>
  <si>
    <t>CAÑERIA GALVANIZADA A53 HILO 1.1/4" NPT</t>
  </si>
  <si>
    <t>Validando 07.07.2026</t>
  </si>
  <si>
    <t>1002654915 - CAÑERIA GALVANIZADA A53 HILO 1.1/4" NPT</t>
  </si>
  <si>
    <t>TUBING POLIURETANO 6MM AZUL TU0625BU2-20</t>
  </si>
  <si>
    <t>1002657559 - TUBING POLIURETANO 6MM AZUL TU0625BU2-20</t>
  </si>
  <si>
    <t>TUBING POLIURETANO 8MM AZUL TU0825BU2-20</t>
  </si>
  <si>
    <t>1002657559 - TUBING POLIURETANO 8MM AZUL TU0825BU2-20</t>
  </si>
  <si>
    <t>TUBING POLIURETANO 10MM AZUL TU1025BU220</t>
  </si>
  <si>
    <t>1002657559 - TUBING POLIURETANO 10MM AZUL TU1025BU220</t>
  </si>
  <si>
    <t>ACTUADOR NEUMATICO PG PGS-70</t>
  </si>
  <si>
    <t>1002659647 - ACTUADOR NEUMATICO PG PGS-70</t>
  </si>
  <si>
    <t>TUBING POLIURETANO 4MM AZUL TU0425BU2-20</t>
  </si>
  <si>
    <t>1002657559 - TUBING POLIURETANO 4MM AZUL TU0425BU2-20</t>
  </si>
  <si>
    <t>TUBING POLIURETANO 12MM AZUL TU1225BU220</t>
  </si>
  <si>
    <t>1002657559 - TUBING POLIURETANO 12MM AZUL TU1225BU220</t>
  </si>
  <si>
    <t>NIPLE TUERCA GALVANIZADO A197 150 1/4"</t>
  </si>
  <si>
    <t>1002659086 - NIPLE TUERCA GALVANIZADO A197 150 1/4"</t>
  </si>
  <si>
    <t>MANGUERA HIDRAULICA 1" 1.5M C/ACOPLE</t>
  </si>
  <si>
    <t>1002657594 - MANGUERA HIDRAULICA 1" 1.5M C/ACOPLE</t>
  </si>
  <si>
    <t>KIT REPÁRACION BOMBA F432 STD</t>
  </si>
  <si>
    <t>1002661016 - KIT REPÁRACION BOMBA F432 STD</t>
  </si>
  <si>
    <t>CAÑERIA ACERO CARBONO A53 SCH-40 1.1/4"</t>
  </si>
  <si>
    <t>1002661016 - CAÑERIA ACERO CARBONO A53 SCH-40 1.1/4"</t>
  </si>
  <si>
    <t>CAÑERIA ACERO CARBONO A53 SCH-80 1.1/4"</t>
  </si>
  <si>
    <t>1002661016 - CAÑERIA ACERO CARBONO A53 SCH-80 1.1/4"</t>
  </si>
  <si>
    <t>Manometro 0-40 BAR 233.50.160mm 1/2 NPT</t>
  </si>
  <si>
    <t>Validando 25.05.2026</t>
  </si>
  <si>
    <t>1002646074 - Manometro 0-40 BAR 233.50.160mm 1/2 NPT</t>
  </si>
  <si>
    <t>VALVULA COMPUERTA Ø 4" 150LB 304L T-5402</t>
  </si>
  <si>
    <t>1002663456 - VALVULA COMPUERTA Ø 4" 150LB 304L T-5402</t>
  </si>
  <si>
    <t>VALVULA DE CORTE MANUAL 3"X150LB SS 304L</t>
  </si>
  <si>
    <t>1002663456 - VALVULA DE CORTE MANUAL 3"X150LB SS 304L</t>
  </si>
  <si>
    <t>VALVULA CHECK 1/4 PVC</t>
  </si>
  <si>
    <t>1002664013 - VALVULA CHECK 1/4 PVC</t>
  </si>
  <si>
    <t>VALVULA PCV-863 NPS1 EDR 655</t>
  </si>
  <si>
    <t>1002643256 - VALVULA PCV-863 NPS1 EDR 655</t>
  </si>
  <si>
    <t>VALVULA GLOBO ф 1/2" 300LB RF SS</t>
  </si>
  <si>
    <t>1002643256 - VALVULA GLOBO ф 1/2" 300LB RF SS</t>
  </si>
  <si>
    <t>VALVULA GLOBO FLG DN 25 PN 40 INOX. 316</t>
  </si>
  <si>
    <t>1002643256 - VALVULA GLOBO FLG DN 25 PN 40 INOX. 316</t>
  </si>
  <si>
    <t>VALVULA GLOBO FLG DN 25 PN 16 A.C.</t>
  </si>
  <si>
    <t>1002643256 - VALVULA GLOBO FLG DN 25 PN 16 A.C.</t>
  </si>
  <si>
    <t>MANOM. 0-10 BAR T/D61160 C/FLANGE Y DIAF</t>
  </si>
  <si>
    <t>Validando ( alternativa )25.05.2026</t>
  </si>
  <si>
    <t>1002643256 - MANOM. 0-10 BAR T/D61160 C/FLANGE Y DIAF</t>
  </si>
  <si>
    <t>GRASA ALVANIA 3  SHELL</t>
  </si>
  <si>
    <t>Validando 23.06.2026</t>
  </si>
  <si>
    <t>1002643256 - GRASA ALVANIA 3  SHELL</t>
  </si>
  <si>
    <t>1002667097 - Malla tamiz 203x50x500µm marca CISA</t>
  </si>
  <si>
    <t>1002667097 - Malla tamiz 203x50x1,00mm marca CISA</t>
  </si>
  <si>
    <t>1002667097 - Malla tamiz 203x50x2,0mm marca CISA</t>
  </si>
  <si>
    <t>Cotizando 16.06.2026</t>
  </si>
  <si>
    <t>1002663550 - BLADE INFLADO COD 052262-00400A1 U-4801</t>
  </si>
  <si>
    <t>1002663550 - STUD BOLT 3/4"" X 270MM A193 GR.B7 2 NU</t>
  </si>
  <si>
    <t>1002667097 - Cil. 160PPM N20;16PPM NO; Bal.N2;PN3-4</t>
  </si>
  <si>
    <t>1002667097 - Malla tamiz 203x50x850µm marca CISA</t>
  </si>
  <si>
    <t>BOMBA PEDROLLO 2 CP 25/16 B</t>
  </si>
  <si>
    <t>1002640117 - BOMBA PEDROLLO 2 CP 25/16 B</t>
  </si>
  <si>
    <t>1002667097 - Malla tamiz 203x50x3,35mm marca CISA</t>
  </si>
  <si>
    <t>LINTERNA POLYSTINGER C/CARGADOR  76214</t>
  </si>
  <si>
    <t>Cotizando 23.06.2026</t>
  </si>
  <si>
    <t>1002668897 - LINTERNA POLYSTINGER C/CARGADOR  76214</t>
  </si>
  <si>
    <t>1002671116 - JUNTA 1 1/2" TFE-O-SIL RED EACH</t>
  </si>
  <si>
    <t>1002671116 - FLAT RING GASKET GORE TEX GR 4" 150 BAR</t>
  </si>
  <si>
    <t>1002671116 - VALVULA BOLA SS 1/2" OD SWAGELOK</t>
  </si>
  <si>
    <t>1002671116 - GASKET FOR SIGHT GLASS REF: DIA : 80/60X</t>
  </si>
  <si>
    <t>MAN SEALING CORD CREAFLEX 11852345</t>
  </si>
  <si>
    <t>1002668897 - MAN SEALING CORD CREAFLEX 11852345</t>
  </si>
  <si>
    <t>VALVULA MARIPOSA ф 4" 150LB A.C. T/LUG</t>
  </si>
  <si>
    <t>1002663262 - VALVULA MARIPOSA ф 4" 150LB A.C. T/LUG</t>
  </si>
  <si>
    <t>KIT ANALISIS DE FOSFATO</t>
  </si>
  <si>
    <t>Victor</t>
  </si>
  <si>
    <t>1002665102 - KIT ANALISIS DE FOSFATO</t>
  </si>
  <si>
    <t>PLATILON SLEEVE,DIAM. 300MM REF: RYMPL30</t>
  </si>
  <si>
    <t>1002663262 - PLATILON SLEEVE,DIAM. 300MM REF: RYMPL30</t>
  </si>
  <si>
    <t>VALVULA CONO DN 20/PN 10-40</t>
  </si>
  <si>
    <t>1001769038 - VALVULA CONO DN 20/PN 10-40</t>
  </si>
  <si>
    <t>GLOBE VALVE V-Z0321A 1"</t>
  </si>
  <si>
    <t>1002663262 - GLOBE VALVE V-Z0321A 1"</t>
  </si>
  <si>
    <t>GASKET REF: DN 1", PN 150", S=2</t>
  </si>
  <si>
    <t>1002663262 - GASKET REF: DN 1", PN 150", S=2</t>
  </si>
  <si>
    <t>VALVULA GATE Ø1.1/2" 800LB S.S. 304 SW</t>
  </si>
  <si>
    <t>1002663262 - VALVULA GATE Ø1.1/2" 800LB S.S. 304 SW</t>
  </si>
  <si>
    <t>VALVULA GLOBO Ø 1" 300LB RF SS</t>
  </si>
  <si>
    <t>1002663262 - VALVULA GLOBO Ø 1" 300LB RF SS</t>
  </si>
  <si>
    <t>VALVULA GATE ф 3/4" 300LB RF SS</t>
  </si>
  <si>
    <t>1002663262 - VALVULA GATE ф 3/4" 300LB RF SS</t>
  </si>
  <si>
    <t>BUTTERFLY VALVE 24" 150# API STD 609 TYP</t>
  </si>
  <si>
    <t>1002663262 - BUTTERFLY VALVE 24" 150# API STD 609 TYP</t>
  </si>
  <si>
    <t>1002653864 - BOMBA TRASV. LUTZ MOD: NIRO 41 -L.#0151-</t>
  </si>
  <si>
    <t>1002653864 - BBA SUMERGIBLE  2" MOD DW 200/2HP</t>
  </si>
  <si>
    <t>1002674974 - FILTRO CARTUCHO VEOPP 40X5µ</t>
  </si>
  <si>
    <t>MEDIDOR DE AGUA DE 1 1/2"</t>
  </si>
  <si>
    <t>1002674995 - MEDIDOR DE AGUA DE 1 1/2"</t>
  </si>
  <si>
    <t>EMPAQUETADURA TEFLON RIGIDO 150 1"</t>
  </si>
  <si>
    <t>1002674995 - EMPAQUETADURA TEFLON RIGIDO 150 1"</t>
  </si>
  <si>
    <t>VALVULA SEGURIDAD S-6010HGM01-AMO199</t>
  </si>
  <si>
    <t>1002674995 - VALVULA SEGURIDAD S-6010HGM01-AMO199</t>
  </si>
  <si>
    <t>1002674974 - EMPAQUETADURA GOROTEX 2"X150LB</t>
  </si>
  <si>
    <t>1002660930 - GRASA ROCCOL TUFGEAR 100T ENV 18 KG</t>
  </si>
  <si>
    <t>1002674974 - ANILLO SEGUR NL100 316 NETCHZ</t>
  </si>
  <si>
    <t>SIEMENS MOLYKOTE KN324996</t>
  </si>
  <si>
    <t>1002675439 - SIEMENS MOLYKOTE KN324996</t>
  </si>
  <si>
    <t>SIEMENS ADHESIVE KN308957</t>
  </si>
  <si>
    <t>Cotizando 26.06.2026</t>
  </si>
  <si>
    <t>1002675439 - SIEMENS ADHESIVE KN308957</t>
  </si>
  <si>
    <t>SIEMENS ADHESIVE KN392359</t>
  </si>
  <si>
    <t>1002675439 - SIEMENS ADHESIVE KN392359</t>
  </si>
  <si>
    <t>SIEMENS ADHESIVE LV58727-01 M-8101</t>
  </si>
  <si>
    <t>1002675439 - SIEMENS ADHESIVE LV58727-01 M-8101</t>
  </si>
  <si>
    <t xml:space="preserve"> LOCTITE 401 20ML</t>
  </si>
  <si>
    <t>1002675439 -  LOCTITE 401 20ML</t>
  </si>
  <si>
    <t>LOCTITE 243, 50ML</t>
  </si>
  <si>
    <t>1002675439 - LOCTITE 243, 50ML</t>
  </si>
  <si>
    <t>SIEMENS ADHESIVE LV58727-02 M-8101</t>
  </si>
  <si>
    <t>1002675439 - SIEMENS ADHESIVE LV58727-02 M-8101</t>
  </si>
  <si>
    <t>COMPUESTO SELLADO TURBO 50</t>
  </si>
  <si>
    <t>1002675439 - COMPUESTO SELLADO TURBO 50</t>
  </si>
  <si>
    <t>SIEMENS ADHESIVE KN392355</t>
  </si>
  <si>
    <t>1002675439 - SIEMENS ADHESIVE KN392355</t>
  </si>
  <si>
    <t>Laina SS 200X5000MM E=0,10MM</t>
  </si>
  <si>
    <t>1002634694 - Laina SS 200X5000MM E=0,10MM</t>
  </si>
  <si>
    <t>SIEMENS ADHESIVE 5-5548-0008-00</t>
  </si>
  <si>
    <t>1002675439 - SIEMENS ADHESIVE 5-5548-0008-00</t>
  </si>
  <si>
    <t>SIEMENS ADHESIVE 5-5548-0006-00</t>
  </si>
  <si>
    <t>1002675439 - SIEMENS ADHESIVE 5-5548-0006-00</t>
  </si>
  <si>
    <t>MOTOR VTB 90L 4 POLOS FLANGE B5 1,5 KW</t>
  </si>
  <si>
    <t xml:space="preserve">Esperando respuesta de planta </t>
  </si>
  <si>
    <t>1002643752 - MOTOR VTB 90L 4 POLOS FLANGE B5 1,5 KW</t>
  </si>
  <si>
    <t>SPIRAL W GASKET 590 x 528 x170  SA-182-1</t>
  </si>
  <si>
    <t>1002643752 - SPIRAL W GASKET 590 x 528 x170  SA-182-1</t>
  </si>
  <si>
    <t>SPIRAL FLAT GASKET KLINGER3629/3563x4mm</t>
  </si>
  <si>
    <t>1002643752 - SPIRAL FLAT GASKET KLINGER3629/3563x4mm</t>
  </si>
  <si>
    <t>EMPAQUETADURA 2.624/2.664x6.5mm FG 14541</t>
  </si>
  <si>
    <t>1002643752 - EMPAQUETADURA 2.624/2.664x6.5mm FG 14541</t>
  </si>
  <si>
    <t>EMPAQUETADURA 640/64 x2.0mm GYLON</t>
  </si>
  <si>
    <t>1002643752 - EMPAQUETADURA 640/64 x2.0mm GYLON</t>
  </si>
  <si>
    <t>EMPAQUETADURA 700 x 700 x 5 mm GYLON</t>
  </si>
  <si>
    <t>1002643752 - EMPAQUETADURA 700 x 700 x 5 mm GYLON</t>
  </si>
  <si>
    <t>1002671970 - MOTOR VTB 90L 4 POLOS FLANGE B5 1,5 KW</t>
  </si>
  <si>
    <t>PUNTA HART COMPLETA CONECTOR 0375-04-01</t>
  </si>
  <si>
    <t>1002663149 - PUNTA HART COMPLETA CONECTOR 0375-04-01</t>
  </si>
  <si>
    <t>Sealing ring L3MG 90/152 POS 6 P-81</t>
  </si>
  <si>
    <t>1002643392 - Sealing ring L3MG 90/152 POS 6 P-81</t>
  </si>
  <si>
    <t>VÁLVULA GATE 6” CLASE 150 CF8 304L</t>
  </si>
  <si>
    <t>1002672981 - VÁLVULA GATE 6” CLASE 150 CF8 304L</t>
  </si>
  <si>
    <t>VALVULA GLOBO DN 25/PN 160  SS</t>
  </si>
  <si>
    <t>1002660951 - VALVULA GLOBO DN 25/PN 160  SS</t>
  </si>
  <si>
    <t>VALVULA BOLA 1.5" #150 WCB C/LINER PTFE</t>
  </si>
  <si>
    <t>1002671591 - VALVULA BOLA 1.5" #150 WCB C/LINER PTFE</t>
  </si>
  <si>
    <t>MANGUERA DESCARGA VAPOR ROJA 3/4" 18 BAR</t>
  </si>
  <si>
    <t>1002671591 - MANGUERA DESCARGA VAPOR ROJA 3/4" 18 BAR</t>
  </si>
  <si>
    <t>VALVULA CHECK 1" AC.INOXIDABLE CF8M NPT</t>
  </si>
  <si>
    <t>359666-317201</t>
  </si>
  <si>
    <t>1002671591 - VALVULA CHECK 1" AC.INOXIDABLE CF8M NPT</t>
  </si>
  <si>
    <t>1002676646 - CAÑERIA ACERO CARBONO A53 SCH-40 1.1/4"</t>
  </si>
  <si>
    <t>1002676646 - CAÑERIA ACERO CARBONO A53 SCH-80 1.1/4"</t>
  </si>
  <si>
    <t>BOMBA MONO CX072CS1R8/E42B</t>
  </si>
  <si>
    <t>1002681348 - BOMBA MONO CX072CS1R8/E42B</t>
  </si>
  <si>
    <t>CAÑERIA ACERO CARBONO A53 SCH-40 1.1/2"</t>
  </si>
  <si>
    <t>1002681348 - CAÑERIA ACERO CARBONO A53 SCH-40 1.1/2"</t>
  </si>
  <si>
    <t xml:space="preserve">No tomar </t>
  </si>
  <si>
    <t>6000065571 - Colihues 1.5 metros</t>
  </si>
  <si>
    <t>1002682089 - VALVULA GATE Ø 1" 800LB SW A.C.</t>
  </si>
  <si>
    <t>VALVULA GLOBO  Ø 2" 300LB RF SS</t>
  </si>
  <si>
    <t>1002666229 - VALVULA GLOBO  Ø 2" 300LB RF SS</t>
  </si>
  <si>
    <t>VALVULA MARIPOSA T/LUG Ø4"X150LB A51 CF8</t>
  </si>
  <si>
    <t>1002666229 - VALVULA MARIPOSA T/LUG Ø4"X150LB A51 CF8</t>
  </si>
  <si>
    <t>MAXI SACO 1000 KILOS</t>
  </si>
  <si>
    <t>1002660701 - MAXI SACO 1000 KILOS</t>
  </si>
  <si>
    <t>1002600981 - TUBO UHMW 3" 12 MTS ID 68MM OD 75MM</t>
  </si>
  <si>
    <t xml:space="preserve">Diego </t>
  </si>
  <si>
    <t>1002687242 - AGUA OXIGENADA 50%</t>
  </si>
  <si>
    <t>1002687242 - SPRAY INYECTABLE POLIURETANO EP15-VF</t>
  </si>
  <si>
    <t>1002687242 - PINTURA SPRAY 475 CC COLOR AZUL</t>
  </si>
  <si>
    <t>1002673993 - CAÑO LANA MINERAL Ø 3/4" X 50MM L=35"</t>
  </si>
  <si>
    <t>1002687240 - VASO LUBRICADOR 120CC CONEXIÓN 1/4”</t>
  </si>
  <si>
    <t>EMPAQUETADURA GRAF METAL 54X67 2601-01</t>
  </si>
  <si>
    <t>1002660965 - EMPAQUETADURA GRAF METAL 54X67 2601-01</t>
  </si>
  <si>
    <t>1002687240 - VALVULA BOLA 1/2" DE ACERO INOX. 316L</t>
  </si>
  <si>
    <t>PALA PUNTA HUEVO BRONCE ANTICHISPA</t>
  </si>
  <si>
    <t>1002687837 - PALA PUNTA HUEVO BRONCE ANTICHISPA</t>
  </si>
  <si>
    <t>GATE VALVE 4" 800# A-182 SRX0340B</t>
  </si>
  <si>
    <t>1001951866 - GATE VALVE 4" 800# A-182 SRX0340B</t>
  </si>
  <si>
    <t>1001951866 - BUTTERFLY VALVE 24" 150# API STD 609 LUG</t>
  </si>
  <si>
    <t>AGUA SIN GAS 1.5LT</t>
  </si>
  <si>
    <t>1002685587 - AGUA SIN GAS 1.5LT</t>
  </si>
  <si>
    <t>BOMBA MANUAL P. TAMBOR</t>
  </si>
  <si>
    <t>1002686783 - BOMBA MANUAL P. TAMBOR</t>
  </si>
  <si>
    <t>1002686783 - MEDIDOR DE AGUA DE 1 1/2"</t>
  </si>
  <si>
    <t>MEDIDOR DE AGUA DE 3/4 "</t>
  </si>
  <si>
    <t>1002686783 - MEDIDOR DE AGUA DE 3/4 "</t>
  </si>
  <si>
    <t>RECARGA 20 LT</t>
  </si>
  <si>
    <t>1002685587 - RECARGA 20 LT</t>
  </si>
  <si>
    <t>TRIPODE TOPOGRAFICO</t>
  </si>
  <si>
    <t>6000066777 - TRIPODE TOPOGRAFICO</t>
  </si>
  <si>
    <t>1002692726 - BISULFITO DE SODIO LIQUIDO</t>
  </si>
  <si>
    <t>VALVULA DE DIAFRAGMA VERTEDERO NIPPON 3"</t>
  </si>
  <si>
    <t>1002692733 - VALVULA DE DIAFRAGMA VERTEDERO NIPPON 3"</t>
  </si>
  <si>
    <t>1002691210 - Cojinete central KH020-CBK (Cot. 14-02)</t>
  </si>
  <si>
    <t>1002692725 - MICA WASHER FOR SIGHT GLASS REF: DIA: 80</t>
  </si>
  <si>
    <t>LUBRICADOR SIMALUBE C/TERMA EP2-125 ML</t>
  </si>
  <si>
    <t>1002696573 - LUBRICADOR SIMALUBE C/TERMA EP2-125 ML</t>
  </si>
  <si>
    <t>1002696590 - CINTA TERMOGLASS DE 1/8" X 2" X 30 MT.</t>
  </si>
  <si>
    <t>ROLLO PAPEL TERMICO 80x80x13 (BLANCO)</t>
  </si>
  <si>
    <t>6000067321 - ROLLO PAPEL TERMICO 80x80x13 (BLANCO)</t>
  </si>
  <si>
    <t>Cotización conector BNC pruebas Dynasen</t>
  </si>
  <si>
    <t>3500036884 - Cotización conector BNC pruebas Dynasen</t>
  </si>
  <si>
    <t>Óptico Monofocal Fotocromático Volt</t>
  </si>
  <si>
    <t>3500036883 - Óptico Monofocal Fotocromático Volt</t>
  </si>
  <si>
    <t>GABINETES PARA EXTINTORES</t>
  </si>
  <si>
    <t>3500036882 - GABINETES PARA EXTINTORES</t>
  </si>
  <si>
    <t>Barredor Pieza 2 Plano UBEX-D17 Rev.0</t>
  </si>
  <si>
    <t>3500036855 - Barredor Pieza 2 Plano UBEX-D17 Rev.0</t>
  </si>
  <si>
    <t>3500036832 - Óptico Monofocal Fotocromático Volt</t>
  </si>
  <si>
    <t>ESTACION DE LAVADO PORTATIL DE ACERO INO</t>
  </si>
  <si>
    <t>3500036810 - ESTACION DE LAVADO PORTATIL DE ACERO INO</t>
  </si>
  <si>
    <t>3500036809 - ESTACION DE LAVADO PORTATIL DE ACERO INO</t>
  </si>
  <si>
    <t>Gastos de envío</t>
  </si>
  <si>
    <t>3500036808 - Gastos de envío</t>
  </si>
  <si>
    <t>Certificación de jarro</t>
  </si>
  <si>
    <t>3500036808 - Certificación de jarro</t>
  </si>
  <si>
    <t>Certificación de Balanza</t>
  </si>
  <si>
    <t>3500036808 - Certificación de Balanza</t>
  </si>
  <si>
    <t>Jarros aluminio de 1 lt</t>
  </si>
  <si>
    <t>3500036808 - Jarros aluminio de 1 lt</t>
  </si>
  <si>
    <t>Espátulas rasantes mango madera hoja ino</t>
  </si>
  <si>
    <t>3500036808 - Espátulas rasantes mango madera hoja ino</t>
  </si>
  <si>
    <t>Maletines sellados IP65 con esponja prot</t>
  </si>
  <si>
    <t>3500036808 - Maletines sellados IP65 con esponja prot</t>
  </si>
  <si>
    <t>Balanza de sobremesa de 5 Kl graduada a</t>
  </si>
  <si>
    <t>3500036808 - Balanza de sobremesa de 5 Kl graduada a</t>
  </si>
  <si>
    <t>C-BOTIN BATA NEW LANCER CEMENTADO BEIGE</t>
  </si>
  <si>
    <t>3500036807 - C-BOTIN BATA NEW LANCER CEMENTADO BEIGE</t>
  </si>
  <si>
    <t>Licencia de AutoCAD (Caso 142953)</t>
  </si>
  <si>
    <t>3500036806 - Licencia de AutoCAD (Caso 142953)</t>
  </si>
  <si>
    <t>Manga camión fábrica</t>
  </si>
  <si>
    <t>3500036804 - Manga camión fábrica</t>
  </si>
  <si>
    <t>3500036801 - GAS A GRANEL MEZCLA</t>
  </si>
  <si>
    <t>Óptico Multifocal Fotocromático Volt</t>
  </si>
  <si>
    <t>3500036800 - Óptico Multifocal Fotocromático Volt</t>
  </si>
  <si>
    <t>CAMISA TACTEL BLANCA DAMA T-S</t>
  </si>
  <si>
    <t>3500036789 - CAMISA TACTEL BLANCA DAMA T-S</t>
  </si>
  <si>
    <t>CAMISA ANTIACID VERANO GRIS VARON T- XL</t>
  </si>
  <si>
    <t>3500036789 - CAMISA ANTIACID VERANO GRIS VARON T- XL</t>
  </si>
  <si>
    <t>CAMISA ANTIACID VERANO GRIS DAMA T- M</t>
  </si>
  <si>
    <t>3500036789 - CAMISA ANTIACID VERANO GRIS DAMA T- M</t>
  </si>
  <si>
    <t>Coligues de 1,5 m de largo</t>
  </si>
  <si>
    <t>3500036753 - Coligues de 1,5 m de largo</t>
  </si>
  <si>
    <t>PARKA 3 EN 1 RENO MARCA HW. MODELO MUJER</t>
  </si>
  <si>
    <t>3500036752 - PARKA 3 EN 1 RENO MARCA HW. MODELO MUJER</t>
  </si>
  <si>
    <t>PARKA 3 EN 1 RENO MARCA HW. MODELO VARÓN</t>
  </si>
  <si>
    <t>3500036752 - PARKA 3 EN 1 RENO MARCA HW. MODELO VARÓN</t>
  </si>
  <si>
    <t>3500036750 - GAS A GRANEL MEZCLA</t>
  </si>
  <si>
    <t>3500036749 - GAS A GRANEL MEZCLA</t>
  </si>
  <si>
    <t>3500036748 - GAS A GRANEL MEZCLA</t>
  </si>
  <si>
    <t>3500036747 - GAS A GRANEL MEZCLA</t>
  </si>
  <si>
    <t>3500036746 - GAS A GRANEL MEZCLA</t>
  </si>
  <si>
    <t>CANDADO SEGURIDAD MAX/RESIS ODIS 40 mm</t>
  </si>
  <si>
    <t>3500036744 - CANDADO SEGURIDAD MAX/RESIS ODIS 40 mm</t>
  </si>
  <si>
    <t>CAMISA VARON OXFORD BLANCA T-L</t>
  </si>
  <si>
    <t>3500036743 - CAMISA VARON OXFORD BLANCA T-L</t>
  </si>
  <si>
    <t>PARKA CORP. C/POLAR DESMONT. VARON /XL</t>
  </si>
  <si>
    <t>3500036743 - PARKA CORP. C/POLAR DESMONT. VARON /XL</t>
  </si>
  <si>
    <t>GEOLOGO CALOR  EXTRE ROJO HOMBRE T/L</t>
  </si>
  <si>
    <t>3500036743 - GEOLOGO CALOR  EXTRE ROJO HOMBRE T/L</t>
  </si>
  <si>
    <t>CAPUCHON CUBRENUCA VERANO SIN FORRO</t>
  </si>
  <si>
    <t>3500036743 - CAPUCHON CUBRENUCA VERANO SIN FORRO</t>
  </si>
  <si>
    <t>CALCETA HW VERANO</t>
  </si>
  <si>
    <t>3500036743 - CALCETA HW VERANO</t>
  </si>
  <si>
    <t>PANTALON MEZCLILLA VARON /48</t>
  </si>
  <si>
    <t>3500036743 - PANTALON MEZCLILLA VARON /48</t>
  </si>
  <si>
    <t>SOFTSHELL FRIO EXTREMO HOMBRE T/XL</t>
  </si>
  <si>
    <t>3500036743 - SOFTSHELL FRIO EXTREMO HOMBRE T/XL</t>
  </si>
  <si>
    <t>PANTALON CARGOTACTEL ELASTICADO VARON 48</t>
  </si>
  <si>
    <t>3500036743 - PANTALON CARGOTACTEL ELASTICADO VARON 48</t>
  </si>
  <si>
    <t>CAMISA TACTEL GRIS VARON T-L</t>
  </si>
  <si>
    <t>3500036743 - CAMISA TACTEL GRIS VARON T-L</t>
  </si>
  <si>
    <t>PANTALON MEZCLILLA VARON /46</t>
  </si>
  <si>
    <t>3500036742 - PANTALON MEZCLILLA VARON /46</t>
  </si>
  <si>
    <t>GEOLOGO CALOR  EXTRE ROJO HOMBRE T/M</t>
  </si>
  <si>
    <t>3500036742 - GEOLOGO CALOR  EXTRE ROJO HOMBRE T/M</t>
  </si>
  <si>
    <t>3500036742 - CAPUCHON CUBRENUCA VERANO SIN FORRO</t>
  </si>
  <si>
    <t>3500036742 - CALCETA HW VERANO</t>
  </si>
  <si>
    <t>PANTALON CARGO TACTEL BEIGE VARON T-46</t>
  </si>
  <si>
    <t>3500036742 - PANTALON CARGO TACTEL BEIGE VARON T-46</t>
  </si>
  <si>
    <t>CHAQUETA SOFTSHELL VARON T-L</t>
  </si>
  <si>
    <t>3500036742 - CHAQUETA SOFTSHELL VARON T-L</t>
  </si>
  <si>
    <t>PANTALON CARGOTACTEL ELASTICADO VARON 46</t>
  </si>
  <si>
    <t>3500036742 - PANTALON CARGOTACTEL ELASTICADO VARON 46</t>
  </si>
  <si>
    <t>CAMISA TACTEL BEIGE VARON T-M</t>
  </si>
  <si>
    <t>3500036742 - CAMISA TACTEL BEIGE VARON T-M</t>
  </si>
  <si>
    <t>PRIMERA CAPA VARON T-L</t>
  </si>
  <si>
    <t>3500036741 - PRIMERA CAPA VARON T-L</t>
  </si>
  <si>
    <t>PARKA CORP. C/POLAR DESMONT. VARON /L</t>
  </si>
  <si>
    <t>3500036741 - PARKA CORP. C/POLAR DESMONT. VARON /L</t>
  </si>
  <si>
    <t>CORTA VIENTO C/POLAR VARON T-L</t>
  </si>
  <si>
    <t>3500036741 - CORTA VIENTO C/POLAR VARON T-L</t>
  </si>
  <si>
    <t>SOFTSHELL FRIO EXTREMO HOMBRE T/L</t>
  </si>
  <si>
    <t>3500036741 - SOFTSHELL FRIO EXTREMO HOMBRE T/L</t>
  </si>
  <si>
    <t>PANTALON SOFTSHELL VARON T-L</t>
  </si>
  <si>
    <t>3500036741 - PANTALON SOFTSHELL VARON T-L</t>
  </si>
  <si>
    <t>PANTALON CARGO GABARDINA GRIS VARON T-46</t>
  </si>
  <si>
    <t>3500036741 - PANTALON CARGO GABARDINA GRIS VARON T-46</t>
  </si>
  <si>
    <t>POLERA PIQUE M/L GRIS VARON /L</t>
  </si>
  <si>
    <t>3500036741 - POLERA PIQUE M/L GRIS VARON /L</t>
  </si>
  <si>
    <t>CAMISA VARON OXFORD CELESTE T-M</t>
  </si>
  <si>
    <t>3500036741 - CAMISA VARON OXFORD CELESTE T-M</t>
  </si>
  <si>
    <t>CUELLO POLAR S/ LOGO</t>
  </si>
  <si>
    <t>3500036741 - CUELLO POLAR S/ LOGO</t>
  </si>
  <si>
    <t>BALACLAVA HW NO WIND</t>
  </si>
  <si>
    <t>3500036741 - BALACLAVA HW NO WIND</t>
  </si>
  <si>
    <t>3500036741 - CALCETA HW VERANO</t>
  </si>
  <si>
    <t>CALCETA HW INVIERNO</t>
  </si>
  <si>
    <t>3500036741 - CALCETA HW INVIERNO</t>
  </si>
  <si>
    <t>3500036741 - GEOLOGO CALOR  EXTRE ROJO HOMBRE T/L</t>
  </si>
  <si>
    <t>PRIMERA CAPA FRIO EXTREMO HOMBRE T/L</t>
  </si>
  <si>
    <t>3500036741 - PRIMERA CAPA FRIO EXTREMO HOMBRE T/L</t>
  </si>
  <si>
    <t>PRIMERA CAPA MICROPOLAR NEGRO VARON /L</t>
  </si>
  <si>
    <t>3500036741 - PRIMERA CAPA MICROPOLAR NEGRO VARON /L</t>
  </si>
  <si>
    <t>CAMISA TACTEL BEIGE VARON T-L</t>
  </si>
  <si>
    <t>3500036741 - CAMISA TACTEL BEIGE VARON T-L</t>
  </si>
  <si>
    <t>3500036740 - CAPUCHON CUBRENUCA VERANO SIN FORRO</t>
  </si>
  <si>
    <t>PRIMERA CAPA FRIO EXTREMO HOMBRE T/XL</t>
  </si>
  <si>
    <t>3500036740 - PRIMERA CAPA FRIO EXTREMO HOMBRE T/XL</t>
  </si>
  <si>
    <t>PARKA FRIO EXTREMO VARON /XXL</t>
  </si>
  <si>
    <t>3500036740 - PARKA FRIO EXTREMO VARON /XXL</t>
  </si>
  <si>
    <t>3500036740 - SOFTSHELL FRIO EXTREMO HOMBRE T/XL</t>
  </si>
  <si>
    <t>CHAQUETA SOFTSHELL VARON T-XL</t>
  </si>
  <si>
    <t>3500036740 - CHAQUETA SOFTSHELL VARON T-XL</t>
  </si>
  <si>
    <t>PANTALON BM OUTDOOR HOMBRE T-52</t>
  </si>
  <si>
    <t>3500036740 - PANTALON BM OUTDOOR HOMBRE T-52</t>
  </si>
  <si>
    <t>CAMISA TACTEL GRIS VARON T-XL</t>
  </si>
  <si>
    <t>3500036740 - CAMISA TACTEL GRIS VARON T-XL</t>
  </si>
  <si>
    <t>GORRO DE POLAR CORPORATIVO</t>
  </si>
  <si>
    <t>3500036740 - GORRO DE POLAR CORPORATIVO</t>
  </si>
  <si>
    <t>3500036740 - BALACLAVA HW NO WIND</t>
  </si>
  <si>
    <t>3500036740 - CALCETA HW INVIERNO</t>
  </si>
  <si>
    <t>PANTALON SOFTSHELL VARON T-XL</t>
  </si>
  <si>
    <t>3500036740 - PANTALON SOFTSHELL VARON T-XL</t>
  </si>
  <si>
    <t>CAMISA VARON OXFORD BLANCA T-M</t>
  </si>
  <si>
    <t>3500036739 - CAMISA VARON OXFORD BLANCA T-M</t>
  </si>
  <si>
    <t>3500036739 - BALACLAVA HW NO WIND</t>
  </si>
  <si>
    <t>3500036739 - CALCETA HW VERANO</t>
  </si>
  <si>
    <t>3500036739 - CALCETA HW INVIERNO</t>
  </si>
  <si>
    <t>CORTA VIENTO C/POLAR VARON T-M</t>
  </si>
  <si>
    <t>3500036739 - CORTA VIENTO C/POLAR VARON T-M</t>
  </si>
  <si>
    <t>SOFTSHELL FRIO EXTREMO HOMBRE T/M</t>
  </si>
  <si>
    <t>3500036739 - SOFTSHELL FRIO EXTREMO HOMBRE T/M</t>
  </si>
  <si>
    <t>CHAQUETA SOFTSHELL VARON T-M</t>
  </si>
  <si>
    <t>3500036739 - CHAQUETA SOFTSHELL VARON T-M</t>
  </si>
  <si>
    <t>POLERA PIQUE M/L GRIS VARON /M</t>
  </si>
  <si>
    <t>3500036739 - POLERA PIQUE M/L GRIS VARON /M</t>
  </si>
  <si>
    <t>PANTALON SOFTSHELL VARON T-M</t>
  </si>
  <si>
    <t>3500036739 - PANTALON SOFTSHELL VARON T-M</t>
  </si>
  <si>
    <t>3500036739 - CAMISA TACTEL BEIGE VARON T-M</t>
  </si>
  <si>
    <t>licencia autocad LT (Caso licencia autoc</t>
  </si>
  <si>
    <t>3500036738 - licencia autocad LT (Caso licencia autoc</t>
  </si>
  <si>
    <t>CUELLO POLAR C/ LOGO</t>
  </si>
  <si>
    <t>3500036737 - CUELLO POLAR C/ LOGO</t>
  </si>
  <si>
    <t>3500036737 - CALCETA HW INVIERNO</t>
  </si>
  <si>
    <t>GEOLOGO CALOR  EXTRE ROJO MUJER T/L</t>
  </si>
  <si>
    <t>3500036737 - GEOLOGO CALOR  EXTRE ROJO MUJER T/L</t>
  </si>
  <si>
    <t>PRIMERA CAPA MUJER T-XL</t>
  </si>
  <si>
    <t>3500036737 - PRIMERA CAPA MUJER T-XL</t>
  </si>
  <si>
    <t>CORTA VIENTO C/POLAR DAMA T-XL</t>
  </si>
  <si>
    <t>3500036737 - CORTA VIENTO C/POLAR DAMA T-XL</t>
  </si>
  <si>
    <t>PANTALON MEZCLILLA DAMA /44</t>
  </si>
  <si>
    <t>3500036737 - PANTALON MEZCLILLA DAMA /44</t>
  </si>
  <si>
    <t>CAMISA TACTEL GRIS DAMA T-XL</t>
  </si>
  <si>
    <t>3500036737 - CAMISA TACTEL GRIS DAMA T-XL</t>
  </si>
  <si>
    <t>3500036685 - GAS A GRANEL MEZCLA</t>
  </si>
  <si>
    <t>GUANTE ANSELL HYFLEX LITE 11-801 N°10</t>
  </si>
  <si>
    <t>3500036684 - GUANTE ANSELL HYFLEX LITE 11-801 N°10</t>
  </si>
  <si>
    <t>GUANTE ANSELL NEOPRENE® 29-865 TALLA 7</t>
  </si>
  <si>
    <t>3500036684 - GUANTE ANSELL NEOPRENE® 29-865 TALLA 7</t>
  </si>
  <si>
    <t>GUANTE ANSELL NEOPRENE® 29-865 TALLA 10</t>
  </si>
  <si>
    <t>3500036684 - GUANTE ANSELL NEOPRENE® 29-865 TALLA 10</t>
  </si>
  <si>
    <t>GUANTE ANSELL NEOPRENE® 29-865 TALLA 9</t>
  </si>
  <si>
    <t>3500036684 - GUANTE ANSELL NEOPRENE® 29-865 TALLA 9</t>
  </si>
  <si>
    <t>GUANTE CABRITILLA CON FORRO T.L</t>
  </si>
  <si>
    <t>3500036684 - GUANTE CABRITILLA CON FORRO T.L</t>
  </si>
  <si>
    <t>GUANTE ANSELL HYFLEX LITE 11-801 N°8</t>
  </si>
  <si>
    <t>3500036684 - GUANTE ANSELL HYFLEX LITE 11-801 N°8</t>
  </si>
  <si>
    <t>3500036684 - GUANTE ANSELL HYFLEX LITE 11-800 N°9</t>
  </si>
  <si>
    <t>Presostato 1 pulgada</t>
  </si>
  <si>
    <t>3500036679 - Presostato 1 pulgada</t>
  </si>
  <si>
    <t>VIGA BMH2000 ACOND.</t>
  </si>
  <si>
    <t>3500036678 - VIGA BMH2000 ACOND.</t>
  </si>
  <si>
    <t>BOTA 082 ACERO HIDROFUGADO CAFÉ FORRO CU</t>
  </si>
  <si>
    <t>3500036677 - BOTA 082 ACERO HIDROFUGADO CAFÉ FORRO CU</t>
  </si>
  <si>
    <t>BITACORAS PARA EQUIPOS DE FAENA EL SALVA</t>
  </si>
  <si>
    <t>3500036676 - BITACORAS PARA EQUIPOS DE FAENA EL SALVA</t>
  </si>
  <si>
    <t>TARJETAS ADHESIVAS PARA EXTINTORES DE FA</t>
  </si>
  <si>
    <t>3500036675 - TARJETAS ADHESIVAS PARA EXTINTORES DE FA</t>
  </si>
  <si>
    <t>3500036672 - CUELLO POLAR C/ LOGO</t>
  </si>
  <si>
    <t>3500036672 - CALCETA HW INVIERNO</t>
  </si>
  <si>
    <t>OVEROL GABARDINA ROJO- GRIS VARON /S</t>
  </si>
  <si>
    <t>3500036672 - OVEROL GABARDINA ROJO- GRIS VARON /S</t>
  </si>
  <si>
    <t>GEOLOGO CALOR  EXTRE ROJO HOMBRE T/S</t>
  </si>
  <si>
    <t>3500036672 - GEOLOGO CALOR  EXTRE ROJO HOMBRE T/S</t>
  </si>
  <si>
    <t>PRIMERA CAPA VARON T-M</t>
  </si>
  <si>
    <t>3500036672 - PRIMERA CAPA VARON T-M</t>
  </si>
  <si>
    <t>PARKA CORP. C/POLAR DESMONT. VARON /S</t>
  </si>
  <si>
    <t>3500036672 - PARKA CORP. C/POLAR DESMONT. VARON /S</t>
  </si>
  <si>
    <t>PANTALON MEZCLILLA VARON /40</t>
  </si>
  <si>
    <t>3500036672 - PANTALON MEZCLILLA VARON /40</t>
  </si>
  <si>
    <t>CAMISA TACTEL GRIS VARON T-S</t>
  </si>
  <si>
    <t>3500036672 - CAMISA TACTEL GRIS VARON T-S</t>
  </si>
  <si>
    <t>3500036665 - CUELLO POLAR C/ LOGO</t>
  </si>
  <si>
    <t>POLAR VARON C/MANGA BICOLOR T/XL</t>
  </si>
  <si>
    <t>3500036665 - POLAR VARON C/MANGA BICOLOR T/XL</t>
  </si>
  <si>
    <t>PRIMERA CAPA MICROPOLAR NEGRO VARON /XL</t>
  </si>
  <si>
    <t>3500036665 - PRIMERA CAPA MICROPOLAR NEGRO VARON /XL</t>
  </si>
  <si>
    <t>CHALECO GEOLOGO AMARILLO-NEGRO VARON XXL</t>
  </si>
  <si>
    <t>3500036665 - CHALECO GEOLOGO AMARILLO-NEGRO VARON XXL</t>
  </si>
  <si>
    <t>PANTALON MEZCLILLA VARON /50</t>
  </si>
  <si>
    <t>3500036665 - PANTALON MEZCLILLA VARON /50</t>
  </si>
  <si>
    <t>3500036665 - CAMISA TACTEL GRIS VARON T-XL</t>
  </si>
  <si>
    <t>POLAR VARON C/MANGA BICOLOR T/L</t>
  </si>
  <si>
    <t>3500036664 - POLAR VARON C/MANGA BICOLOR T/L</t>
  </si>
  <si>
    <t>PANTALON MEZCLILLA VARON /44</t>
  </si>
  <si>
    <t>3500036664 - PANTALON MEZCLILLA VARON /44</t>
  </si>
  <si>
    <t>CHALECO GEOLOGO AMARILLO-NEGRO VARON /M</t>
  </si>
  <si>
    <t>3500036664 - CHALECO GEOLOGO AMARILLO-NEGRO VARON /M</t>
  </si>
  <si>
    <t>3500036664 - CAMISA TACTEL GRIS VARON T-L</t>
  </si>
  <si>
    <t>3500036663 - CUELLO POLAR C/ LOGO</t>
  </si>
  <si>
    <t>POLAR DAMA C/MANGA BICOLOR T/L</t>
  </si>
  <si>
    <t>3500036663 - POLAR DAMA C/MANGA BICOLOR T/L</t>
  </si>
  <si>
    <t>PRIMERA CAPA MICROPOLAR NEGRO DAMA /M</t>
  </si>
  <si>
    <t>3500036663 - PRIMERA CAPA MICROPOLAR NEGRO DAMA /M</t>
  </si>
  <si>
    <t>CHALECO GEOLOGO AMARILLO-NEGRO DAMA /M</t>
  </si>
  <si>
    <t>3500036663 - CHALECO GEOLOGO AMARILLO-NEGRO DAMA /M</t>
  </si>
  <si>
    <t>PANTALON MEZCLILLA DAMA /42</t>
  </si>
  <si>
    <t>3500036663 - PANTALON MEZCLILLA DAMA /42</t>
  </si>
  <si>
    <t>CAMISA TACTEL GRIS DAMA T-L</t>
  </si>
  <si>
    <t>3500036663 - CAMISA TACTEL GRIS DAMA T-L</t>
  </si>
  <si>
    <t>CAMISA TACTEL BEIGE DAMA T-L</t>
  </si>
  <si>
    <t>3500036663 - CAMISA TACTEL BEIGE DAMA T-L</t>
  </si>
  <si>
    <t>CAMISA DAMA OXFORD CELESTE T-L</t>
  </si>
  <si>
    <t>3500036663 - CAMISA DAMA OXFORD CELESTE T-L</t>
  </si>
  <si>
    <t>3500036662 - BOTIN SEGURIDAD EDELBROCK ED-106 N°45</t>
  </si>
  <si>
    <t>CHALECO GEOLOGO VARON ROJO /XXL</t>
  </si>
  <si>
    <t>3500036661 - CHALECO GEOLOGO VARON ROJO /XXL</t>
  </si>
  <si>
    <t>POLAR VARON C/MANGA BICOLOR T/XXL</t>
  </si>
  <si>
    <t>3500036661 - POLAR VARON C/MANGA BICOLOR T/XXL</t>
  </si>
  <si>
    <t>3500036661 - PANTALON MEZCLILLA VARON /48</t>
  </si>
  <si>
    <t>CAMISA TACTEL BEIGE VARON T-XXL</t>
  </si>
  <si>
    <t>3500036661 - CAMISA TACTEL BEIGE VARON T-XXL</t>
  </si>
  <si>
    <t>3500036660 - BOTIN SEGURIDAD EDELBROCK ED-106 N°43</t>
  </si>
  <si>
    <t>3500036660 - BOTIN SEGURIDAD EDELBROCK ED-106 N°41</t>
  </si>
  <si>
    <t>3500036660 - BOTIN SEGURIDAD EDELBROCK ED-106 N°40</t>
  </si>
  <si>
    <t>3500036660 - BOTIN SEGURIDAD EDELBROCK ED-106 N°42</t>
  </si>
  <si>
    <t>3500036659 - BOTIN SEGURIDAD EDELBROCK ED-106 N°42</t>
  </si>
  <si>
    <t>GEOLOGO CALOR  EXTRE ROJO HOMBRE T/XL</t>
  </si>
  <si>
    <t>3500036658 - GEOLOGO CALOR  EXTRE ROJO HOMBRE T/XL</t>
  </si>
  <si>
    <t>3500036658 - POLAR VARON C/MANGA BICOLOR T/XL</t>
  </si>
  <si>
    <t>3500036658 - PANTALON MEZCLILLA VARON /48</t>
  </si>
  <si>
    <t>CAMISA TACTEL BEIGE VARON T-XL</t>
  </si>
  <si>
    <t>3500036658 - CAMISA TACTEL BEIGE VARON T-XL</t>
  </si>
  <si>
    <t>PARKA TÉRMICA ANDESLAND NEGRO HOM L</t>
  </si>
  <si>
    <t>3500036657 - PARKA TÉRMICA ANDESLAND NEGRO HOM L</t>
  </si>
  <si>
    <t>BOLSO PORTA APD</t>
  </si>
  <si>
    <t>3500036656 - BOLSO PORTA APD</t>
  </si>
  <si>
    <t>CADENAS PLASTICAS 8 mm 25MTS</t>
  </si>
  <si>
    <t>3500036656 - CADENAS PLASTICAS 8 mm 25MTS</t>
  </si>
  <si>
    <t>CAJA PORTA LLAVE CON CLAVE</t>
  </si>
  <si>
    <t>3500036656 - CAJA PORTA LLAVE CON CLAVE</t>
  </si>
  <si>
    <t>MEGAFONO SIRENA</t>
  </si>
  <si>
    <t>3500036656 - MEGAFONO SIRENA</t>
  </si>
  <si>
    <t>MANGAS PVC CAMION FABRICA</t>
  </si>
  <si>
    <t>3500036656 - MANGAS PVC CAMION FABRICA</t>
  </si>
  <si>
    <t>MALLA ENVASE RACHEL HUESILLOS</t>
  </si>
  <si>
    <t>3500036656 - MALLA ENVASE RACHEL HUESILLOS</t>
  </si>
  <si>
    <t>TUBOS DE PVC IMPLEMENTO DE TAPADO</t>
  </si>
  <si>
    <t>3500036656 - TUBOS DE PVC IMPLEMENTO DE TAPADO</t>
  </si>
  <si>
    <t>Botin Seg.Edelbrock Xtra Bounce Brown ta</t>
  </si>
  <si>
    <t>3500036655 - Botin Seg.Edelbrock Xtra Bounce Brown ta</t>
  </si>
  <si>
    <t>Steelpro Lente Top Gun óptico gris AF Ul</t>
  </si>
  <si>
    <t>3500036654 - Steelpro Lente Top Gun óptico gris AF Ul</t>
  </si>
  <si>
    <t>POLAINAS FRIO EXTREMO</t>
  </si>
  <si>
    <t>3500036640 - POLAINAS FRIO EXTREMO</t>
  </si>
  <si>
    <t>3500036640 - CHALECO GEOLOGO AMARILLO-NEGRO VARON /M</t>
  </si>
  <si>
    <t>PRIMERA CAPA FRIO EXTREMO HOMBRE T/M</t>
  </si>
  <si>
    <t>3500036640 - PRIMERA CAPA FRIO EXTREMO HOMBRE T/M</t>
  </si>
  <si>
    <t>PRIMERA CAPA MICROPOLAR NEGRO VARON /M</t>
  </si>
  <si>
    <t>3500036640 - PRIMERA CAPA MICROPOLAR NEGRO VARON /M</t>
  </si>
  <si>
    <t>3500036640 - PARKA CORP. C/POLAR DESMONT. VARON /S</t>
  </si>
  <si>
    <t>PARKA FRIO EXTREMO VARON /S</t>
  </si>
  <si>
    <t>3500036640 - PARKA FRIO EXTREMO VARON /S</t>
  </si>
  <si>
    <t>PANTALON SOFTSHELL VARON T-S</t>
  </si>
  <si>
    <t>3500036640 - PANTALON SOFTSHELL VARON T-S</t>
  </si>
  <si>
    <t>3500036640 - PANTALON MEZCLILLA VARON /40</t>
  </si>
  <si>
    <t>3500036640 - CUELLO POLAR C/ LOGO</t>
  </si>
  <si>
    <t>3500036640 - BALACLAVA HW NO WIND</t>
  </si>
  <si>
    <t>3500036640 - CALCETA HW INVIERNO</t>
  </si>
  <si>
    <t>CAMISA TACTEL BEIGE VARON T-S</t>
  </si>
  <si>
    <t>3500036640 - CAMISA TACTEL BEIGE VARON T-S</t>
  </si>
  <si>
    <t>CHECKLIST VEHICULOS SALARES NORTE_TAPAPO</t>
  </si>
  <si>
    <t>3500036637 - CHECKLIST VEHICULOS SALARES NORTE_TAPAPO</t>
  </si>
  <si>
    <t>CHECKLIST VEHICULOS SALARES NORTE_CAMION</t>
  </si>
  <si>
    <t>3500036637 - CHECKLIST VEHICULOS SALARES NORTE_CAMION</t>
  </si>
  <si>
    <t>CHECKLIST VEHICULOS SALARES NORTE_FABRIC</t>
  </si>
  <si>
    <t>3500036636 - CHECKLIST VEHICULOS SALARES NORTE_FABRIC</t>
  </si>
  <si>
    <t>CHECKLIST VEHICULOS SALARES NORTE</t>
  </si>
  <si>
    <t>3500036636 - CHECKLIST VEHICULOS SALARES NORTE</t>
  </si>
  <si>
    <t>Gasto por compra del insumo</t>
  </si>
  <si>
    <t>3500036635 - Gasto por compra del insumo</t>
  </si>
  <si>
    <t>compra de cilindro y placa para el uso d</t>
  </si>
  <si>
    <t>3500036635 - compra de cilindro y placa para el uso d</t>
  </si>
  <si>
    <t>CORTA VIENTO C/POLAR DAMA T-L</t>
  </si>
  <si>
    <t>3500036624 - CORTA VIENTO C/POLAR DAMA T-L</t>
  </si>
  <si>
    <t>PANTALON GABARDINA DAMA BEIGE /42</t>
  </si>
  <si>
    <t>3500036624 - PANTALON GABARDINA DAMA BEIGE /42</t>
  </si>
  <si>
    <t>CHALECO GEOLOGO AMARILLO-NEGRO DAMA /L</t>
  </si>
  <si>
    <t>3500036624 - CHALECO GEOLOGO AMARILLO-NEGRO DAMA /L</t>
  </si>
  <si>
    <t>3500036624 - CAMISA DAMA OXFORD CELESTE T-L</t>
  </si>
  <si>
    <t>Regalo Ampliado Administradores</t>
  </si>
  <si>
    <t>3500036614 - Regalo Ampliado Administradores</t>
  </si>
  <si>
    <t>gastos traslado ,transporte y gestión.</t>
  </si>
  <si>
    <t>3500036609 - gastos traslado ,transporte y gestión.</t>
  </si>
  <si>
    <t>Vbox modulo remoto de conexión . Se envi</t>
  </si>
  <si>
    <t>3500036609 - Vbox modulo remoto de conexión . Se envi</t>
  </si>
  <si>
    <t>10 tambores de aceite hidráulico FAW46.</t>
  </si>
  <si>
    <t>3500036609 - 10 tambores de aceite hidráulico FAW46.</t>
  </si>
  <si>
    <t>Kit Orings mas tapa de venteo.</t>
  </si>
  <si>
    <t>3500036609 - Kit Orings mas tapa de venteo.</t>
  </si>
  <si>
    <t>Filtro de succión y descarga unidad hi</t>
  </si>
  <si>
    <t>3500036609 - Filtro de succión y descarga unidad hi</t>
  </si>
  <si>
    <t>Compra repuestos para reactor SIA. Estos</t>
  </si>
  <si>
    <t>3500036609 - Compra repuestos para reactor SIA. Estos</t>
  </si>
  <si>
    <t>PROTECTOR LABIAL BLISTEC 50 SPF</t>
  </si>
  <si>
    <t>3500036608 - PROTECTOR LABIAL BLISTEC 50 SPF</t>
  </si>
  <si>
    <t>3500036608 - GUANTE CABRITILLA CON FORRO T.L</t>
  </si>
  <si>
    <t>3500036608 - GUANTE ANSELL HYFLEX LITE 11-800 N°8</t>
  </si>
  <si>
    <t>3500036608 - GUANTE ANSELL HYFLEX LITE 11-800 N°9</t>
  </si>
  <si>
    <t>3500036604 - BUZO DESECHABLE PAPEL T-L TYVEK</t>
  </si>
  <si>
    <t>3500036591 - CAMISA TACTEL GRIS VARON T-L</t>
  </si>
  <si>
    <t>CAMISA VARON OXFORD CELESTE T-L</t>
  </si>
  <si>
    <t>3500036591 - CAMISA VARON OXFORD CELESTE T-L</t>
  </si>
  <si>
    <t>3500036591 - CAMISA VARON OXFORD BLANCA T-L</t>
  </si>
  <si>
    <t>3500036591 - CALCETA HW INVIERNO</t>
  </si>
  <si>
    <t>PANTALON BM OUTDOOR HOMBRE T-46</t>
  </si>
  <si>
    <t>3500036591 - PANTALON BM OUTDOOR HOMBRE T-46</t>
  </si>
  <si>
    <t>3500036591 - PANTALON CARGO TACTEL BEIGE VARON T-46</t>
  </si>
  <si>
    <t>3500036591 - CALCETA HW VERANO</t>
  </si>
  <si>
    <t>3500036591 - POLERA PIQUE M/L GRIS VARON /L</t>
  </si>
  <si>
    <t>3500036591 - CORTA VIENTO C/POLAR VARON T-L</t>
  </si>
  <si>
    <t>3500036591 - CUELLO POLAR C/ LOGO</t>
  </si>
  <si>
    <t>3500036591 - GEOLOGO CALOR  EXTRE ROJO HOMBRE T/L</t>
  </si>
  <si>
    <t>PRIMERA CAPA VARON T-XL</t>
  </si>
  <si>
    <t>3500036591 - PRIMERA CAPA VARON T-XL</t>
  </si>
  <si>
    <t>POLERA PIQUE VARON M/LARGA AZUL T-L</t>
  </si>
  <si>
    <t>3500036591 - POLERA PIQUE VARON M/LARGA AZUL T-L</t>
  </si>
  <si>
    <t>CANDADOS DE 40MM</t>
  </si>
  <si>
    <t>3500036584 - CANDADOS DE 40MM</t>
  </si>
  <si>
    <t>CANDADOS DE 30MM</t>
  </si>
  <si>
    <t>3500036583 - CANDADOS DE 30MM</t>
  </si>
  <si>
    <t>CONSTRUCCION DE ESTANQUE Y ENSAMBLE ESTR</t>
  </si>
  <si>
    <t>3500036582 - CONSTRUCCION DE ESTANQUE Y ENSAMBLE ESTR</t>
  </si>
  <si>
    <t>ROTOR NTP035DT40 / 4667237</t>
  </si>
  <si>
    <t>3500036576 - ROTOR NTP035DT40 / 4667237</t>
  </si>
  <si>
    <t>ESTATOR NTP035DT40 / 4667241</t>
  </si>
  <si>
    <t>3500036576 - ESTATOR NTP035DT40 / 4667241</t>
  </si>
  <si>
    <t>BOMBA NETZSCH MODELO NWI035DT40</t>
  </si>
  <si>
    <t>3500036576 - BOMBA NETZSCH MODELO NWI035DT40</t>
  </si>
  <si>
    <t>PARKAS (PRODUCTOS YA ENTREGADOS POR PROV</t>
  </si>
  <si>
    <t>3500036575 - PARKAS (PRODUCTOS YA ENTREGADOS POR PROV</t>
  </si>
  <si>
    <t>TUBOS DE PVC PARA TAPADO DE POZOS 40mm C</t>
  </si>
  <si>
    <t>3500036574 - TUBOS DE PVC PARA TAPADO DE POZOS 40mm C</t>
  </si>
  <si>
    <t>3500036573 - TUBOS DE PVC PARA TAPADO DE POZOS 40mm C</t>
  </si>
  <si>
    <t>3500036572 - Óptico Monofocal Fotocromático Volt</t>
  </si>
  <si>
    <t>3500036571 - Óptico Monofocal Fotocromático Volt</t>
  </si>
  <si>
    <t>LLAVEROS PVC RELIEVE, DISEÑO MAXISACO, P</t>
  </si>
  <si>
    <t>3500036570 - LLAVEROS PVC RELIEVE, DISEÑO MAXISACO, P</t>
  </si>
  <si>
    <t>3500036566 - POLAR DAMA C/MANGA BICOLOR T/L</t>
  </si>
  <si>
    <t>PARKA FRIO EXTREMO MUJER /L</t>
  </si>
  <si>
    <t>3500036566 - PARKA FRIO EXTREMO MUJER /L</t>
  </si>
  <si>
    <t>PANTALON FRIO EXTREMO VARON /L</t>
  </si>
  <si>
    <t>3500036566 - PANTALON FRIO EXTREMO VARON /L</t>
  </si>
  <si>
    <t>PANTALON FRIO EXTREMO MUJER /XL</t>
  </si>
  <si>
    <t>3500036566 - PANTALON FRIO EXTREMO MUJER /XL</t>
  </si>
  <si>
    <t>PARKA FRIO EXTREMO VARON /XL</t>
  </si>
  <si>
    <t>3500036566 - PARKA FRIO EXTREMO VARON /XL</t>
  </si>
  <si>
    <t>3500036564 - CALCETA HW INVIERNO</t>
  </si>
  <si>
    <t>BANDANA CORPORATIVA</t>
  </si>
  <si>
    <t>3500036564 - BANDANA CORPORATIVA</t>
  </si>
  <si>
    <t>3500036564 - CUELLO POLAR C/ LOGO</t>
  </si>
  <si>
    <t>3500036564 - GORRO DE POLAR CORPORATIVO</t>
  </si>
  <si>
    <t>PRIMERA CAPA ELASTICADA VARON /M</t>
  </si>
  <si>
    <t>3500036564 - PRIMERA CAPA ELASTICADA VARON /M</t>
  </si>
  <si>
    <t>CORTA VIENTO C/POLAR VARON T-S</t>
  </si>
  <si>
    <t>3500036564 - CORTA VIENTO C/POLAR VARON T-S</t>
  </si>
  <si>
    <t>PANTALON MEZCLILLA VARON /42</t>
  </si>
  <si>
    <t>3500036564 - PANTALON MEZCLILLA VARON /42</t>
  </si>
  <si>
    <t>CHALECO GEOLOGO AMARILLO-NEGRO VARON /S</t>
  </si>
  <si>
    <t>3500036564 - CHALECO GEOLOGO AMARILLO-NEGRO VARON /S</t>
  </si>
  <si>
    <t>CAMISA VARON OXFORD CELESTE T-S</t>
  </si>
  <si>
    <t>3500036564 - CAMISA VARON OXFORD CELESTE T-S</t>
  </si>
  <si>
    <t>3500036563 - CALCETA HW INVIERNO</t>
  </si>
  <si>
    <t>3500036563 - PRIMERA CAPA ELASTICADA VARON /M</t>
  </si>
  <si>
    <t>3500036563 - BANDANA CORPORATIVA</t>
  </si>
  <si>
    <t>3500036563 - CUELLO POLAR C/ LOGO</t>
  </si>
  <si>
    <t>3500036563 - GORRO DE POLAR CORPORATIVO</t>
  </si>
  <si>
    <t>CORTAVIENTO C/POLAR DESMONTABLE VARON/S</t>
  </si>
  <si>
    <t>3500036563 - CORTAVIENTO C/POLAR DESMONTABLE VARON/S</t>
  </si>
  <si>
    <t>3500036563 - PANTALON MEZCLILLA VARON /46</t>
  </si>
  <si>
    <t>3500036563 - CHALECO GEOLOGO AMARILLO-NEGRO VARON /S</t>
  </si>
  <si>
    <t>3500036563 - CAMISA VARON OXFORD CELESTE T-M</t>
  </si>
  <si>
    <t>FILTRO DE POLVO LC60-80 HT</t>
  </si>
  <si>
    <t>3500036562 - FILTRO DE POLVO LC60-80 HT</t>
  </si>
  <si>
    <t>BOTAS V-FLEX V-33 N°36</t>
  </si>
  <si>
    <t>3500036561 - BOTAS V-FLEX V-33 N°36</t>
  </si>
  <si>
    <t>BOTA V-FLEX V-33 N°42</t>
  </si>
  <si>
    <t>3500036561 - BOTA V-FLEX V-33 N°42</t>
  </si>
  <si>
    <t>BOTA V-FLEX V-33 N°41</t>
  </si>
  <si>
    <t>3500036561 - BOTA V-FLEX V-33 N°41</t>
  </si>
  <si>
    <t>BOTA V-FLEX V-33 N°45</t>
  </si>
  <si>
    <t>3500036561 - BOTA V-FLEX V-33 N°45</t>
  </si>
  <si>
    <t>PROTECTOR LABIAL BANABOAT 4,25GR FPS50</t>
  </si>
  <si>
    <t>Esperando respuesta</t>
  </si>
  <si>
    <t>3500036543 - PROTECTOR LABIAL BANABOAT 4,25GR FPS50</t>
  </si>
  <si>
    <t>PROTECTOR LABIAL</t>
  </si>
  <si>
    <t>3500036513 - PROTECTOR LABIAL</t>
  </si>
  <si>
    <t>CAMISA TACTEL GRIS DAMA T-S</t>
  </si>
  <si>
    <t>3500036512 - CAMISA TACTEL GRIS DAMA T-S</t>
  </si>
  <si>
    <t>PANTALON MEZCLILLA DAMA /36</t>
  </si>
  <si>
    <t>3500036512 - PANTALON MEZCLILLA DAMA /36</t>
  </si>
  <si>
    <t>3500036512 - CALCETA HW INVIERNO</t>
  </si>
  <si>
    <t>CHALECO GEOLOGO AMARILLO-NEGRO DAMA /S</t>
  </si>
  <si>
    <t>3500036512 - CHALECO GEOLOGO AMARILLO-NEGRO DAMA /S</t>
  </si>
  <si>
    <t>PRIMERA CAPA MUJER T-S</t>
  </si>
  <si>
    <t>3500036512 - PRIMERA CAPA MUJER T-S</t>
  </si>
  <si>
    <t>PARKA TÉRMICA ANDESLAND NEGRO MUJER S</t>
  </si>
  <si>
    <t>3500036512 - PARKA TÉRMICA ANDESLAND NEGRO MUJER S</t>
  </si>
  <si>
    <t>3500036512 - CUELLO POLAR S/ LOGO</t>
  </si>
  <si>
    <t>COMPRA SILLAS ESCRITORIO</t>
  </si>
  <si>
    <t>3500036477 - COMPRA SILLAS ESCRITORIO</t>
  </si>
  <si>
    <t>Modulos para captura temperatura dewesof</t>
  </si>
  <si>
    <t>ENTREGAN EN FECHA</t>
  </si>
  <si>
    <t>3500036476 - Modulos para captura temperatura dewesof</t>
  </si>
  <si>
    <t>3500036472 - BOTIN SEGURIDAD EDELBROCK ED-106 N°43</t>
  </si>
  <si>
    <t>3500036472 - GUANTE ANSELL HYFLEX LITE 11-800 N°10</t>
  </si>
  <si>
    <t>3500036472 - GUANTE ANSELL HYFLEX LITE 11-800 N°9</t>
  </si>
  <si>
    <t>3500036472 - GUANTE ANSELL HYFLEX LITE 11-800 N°8</t>
  </si>
  <si>
    <t>CAMISAS EXORD CELESTE XXL/3, L/1</t>
  </si>
  <si>
    <t>3500036469 - CAMISAS EXORD CELESTE XXL/3, L/1</t>
  </si>
  <si>
    <t>C-BOTIN CHELSEA EVOLUTION MID 78331-992</t>
  </si>
  <si>
    <t>3500036468 - C-BOTIN CHELSEA EVOLUTION MID 78331-992</t>
  </si>
  <si>
    <t>ZAPATOS FOXMIN TALLA42</t>
  </si>
  <si>
    <t>3500036466 - ZAPATOS FOXMIN TALLA42</t>
  </si>
  <si>
    <t>MUG MAIPO CON LOGO</t>
  </si>
  <si>
    <t>ENTREGAN 24/07</t>
  </si>
  <si>
    <t>3500036465 - MUG MAIPO CON LOGO</t>
  </si>
  <si>
    <t>Bolsas con lapices + logo enaex</t>
  </si>
  <si>
    <t xml:space="preserve">ENTREGADO </t>
  </si>
  <si>
    <t>3500036463 - Bolsas con lapices + logo enaex</t>
  </si>
  <si>
    <t>POLAR DELTA PRO. MARCA HW NEGRO. - Coti</t>
  </si>
  <si>
    <t>3500036462 - POLAR DELTA PRO. MARCA HW NEGRO. - Coti</t>
  </si>
  <si>
    <t>3500036460 - Óptico Monofocal Fotocromático Volt</t>
  </si>
  <si>
    <t>CAMISA TACTEL GRIS DAMA T-M</t>
  </si>
  <si>
    <t>3500036396 - CAMISA TACTEL GRIS DAMA T-M</t>
  </si>
  <si>
    <t>CAMISA DAMA OXFORD BLANCA T-L</t>
  </si>
  <si>
    <t>3500036396 - CAMISA DAMA OXFORD BLANCA T-L</t>
  </si>
  <si>
    <t>CAMISA DAMA OXFORD BLANCA T-M</t>
  </si>
  <si>
    <t>3500036396 - CAMISA DAMA OXFORD BLANCA T-M</t>
  </si>
  <si>
    <t>3500036396 - CAMISA VARON OXFORD BLANCA T-L</t>
  </si>
  <si>
    <t>3500036396 - CAMISA VARON OXFORD BLANCA T-M</t>
  </si>
  <si>
    <t>3500036395 - CASCO SEG. TOP/GARD BLANCO C/ARNES</t>
  </si>
  <si>
    <t>3500036394 - BOTIN SEGURIDAD EDELBROCK ED-106 N°38</t>
  </si>
  <si>
    <t>3500036393 - CAMISA VARON OXFORD BLANCA T-M</t>
  </si>
  <si>
    <t>GUANTE ATOX CUT FULL NITRIL H5101 T-10</t>
  </si>
  <si>
    <t>3500036391 - GUANTE ATOX CUT FULL NITRIL H5101 T-10</t>
  </si>
  <si>
    <t>GUANTE ATOX CUT FULL NITRIL H5101 T-9</t>
  </si>
  <si>
    <t>3500036391 - GUANTE ATOX CUT FULL NITRIL H5101 T-9</t>
  </si>
  <si>
    <t>GUANTE ATOX CUT FULL NITRIL H5101 T-8</t>
  </si>
  <si>
    <t>3500036391 - GUANTE ATOX CUT FULL NITRIL H5101 T-8</t>
  </si>
  <si>
    <t>Flujometro para aire comprimido - SD1501</t>
  </si>
  <si>
    <t>3500036390 - Flujometro para aire comprimido - SD1501</t>
  </si>
  <si>
    <t>4 tambores de propilenglicol 215 kilos c</t>
  </si>
  <si>
    <t>3500036389 - 4 tambores de propilenglicol 215 kilos c</t>
  </si>
  <si>
    <t>BOTA MINERA DEFENDER DF740 N° 41</t>
  </si>
  <si>
    <t>3500036388 - BOTA MINERA DEFENDER DF740 N° 41</t>
  </si>
  <si>
    <t>BOTA MINERA DEFENDER DF740 N° 40</t>
  </si>
  <si>
    <t>3500036388 - BOTA MINERA DEFENDER DF740 N° 40</t>
  </si>
  <si>
    <t>BOTA MINERA DEFENDER DF740 N° 42</t>
  </si>
  <si>
    <t>3500036387 - BOTA MINERA DEFENDER DF740 N° 42</t>
  </si>
  <si>
    <t>BOTA MINERA DEFENDER DF740 N° 43</t>
  </si>
  <si>
    <t>3500036387 - BOTA MINERA DEFENDER DF740 N° 43</t>
  </si>
  <si>
    <t>BOTA MINERA DEFENDER DF740 N° 44</t>
  </si>
  <si>
    <t>3500036387 - BOTA MINERA DEFENDER DF740 N° 44</t>
  </si>
  <si>
    <t>TARJETA DEPARTAMENTAL DE BLOQUEO SET DE</t>
  </si>
  <si>
    <t>3500036386 - TARJETA DEPARTAMENTAL DE BLOQUEO SET DE</t>
  </si>
  <si>
    <t>LENTES DE SEGURIDAD OSCUROS SOLUS 1000</t>
  </si>
  <si>
    <t>3500036385 - LENTES DE SEGURIDAD OSCUROS SOLUS 1000</t>
  </si>
  <si>
    <t>LENTES DE SEGURIDAD CLAROS- SOLUS 1000</t>
  </si>
  <si>
    <t>3500036385 - LENTES DE SEGURIDAD CLAROS- SOLUS 1000</t>
  </si>
  <si>
    <t>Fono Peltor H 510 P3 3M</t>
  </si>
  <si>
    <t>3500036382 - Fono Peltor H 510 P3 3M</t>
  </si>
  <si>
    <t>Lente, 3M SF401SGAF-BLU SELLADO Claro</t>
  </si>
  <si>
    <t>3500036382 - Lente, 3M SF401SGAF-BLU SELLADO Claro</t>
  </si>
  <si>
    <t>Lente, 3M SF402SGAF-BLU SELLADO Oscuro</t>
  </si>
  <si>
    <t>3500036382 - Lente, 3M SF402SGAF-BLU SELLADO Oscuro</t>
  </si>
  <si>
    <t>CINTURON MINERO P/AUTORESCATADOR</t>
  </si>
  <si>
    <t>3500036382 - CINTURON MINERO P/AUTORESCATADOR</t>
  </si>
  <si>
    <t>CARTUCHO FILTRO 3M D80923</t>
  </si>
  <si>
    <t>3500036382 - CARTUCHO FILTRO 3M D80923</t>
  </si>
  <si>
    <t>RESPIRADOR 3M SECURE CLICK HF-800 T-L</t>
  </si>
  <si>
    <t>3500036382 - RESPIRADOR 3M SECURE CLICK HF-800 T-L</t>
  </si>
  <si>
    <t>RESPIRADOR 3M SECURE CLICK HF-800 T-M</t>
  </si>
  <si>
    <t>3500036382 - RESPIRADOR 3M SECURE CLICK HF-800 T-M</t>
  </si>
  <si>
    <t>3500036379 - Óptico Monofocal Fotocromático Volt</t>
  </si>
  <si>
    <t>3500036378 - Óptico Monofocal Fotocromático Volt</t>
  </si>
  <si>
    <t>Kit herramienta para TI</t>
  </si>
  <si>
    <t>3500036377 - Kit herramienta para TI</t>
  </si>
  <si>
    <t>CHAQUETA 2XL POWDER</t>
  </si>
  <si>
    <t>3500036373 - CHAQUETA 2XL POWDER</t>
  </si>
  <si>
    <t>compra para desarrollo subterránea .Es u</t>
  </si>
  <si>
    <t>ENTREGAN 14/08</t>
  </si>
  <si>
    <t>3500036371 - compra para desarrollo subterránea .Es u</t>
  </si>
  <si>
    <t>ENTREGAN 17/07</t>
  </si>
  <si>
    <t>3500036363 - PROYECTOR LED 200W IP65 1.9K-4K [DS1 1%]</t>
  </si>
  <si>
    <t>3500036363 - LUMINARIA PUBLICA LED 120W IP66 [DS1 1%]</t>
  </si>
  <si>
    <t>3500036363 - PROYECTOR LED 300W IP65 1.9K-4K [DS1 1%]</t>
  </si>
  <si>
    <t>3500036358 - TRAPOS DE LIMPIEZA, BOLSA DE 1 KG.</t>
  </si>
  <si>
    <t>LÁMPARA MINERA INALÁMBRICA KL 6000 STEEL</t>
  </si>
  <si>
    <t>3500036357 - LÁMPARA MINERA INALÁMBRICA KL 6000 STEEL</t>
  </si>
  <si>
    <t>3500036357 - BOTIN SEGURIDAD EDELBROCK ED-106 N°42</t>
  </si>
  <si>
    <t>Antena de fibra 7,8dbd Motorola TRAM1491</t>
  </si>
  <si>
    <t>3500036356 - Antena de fibra 7,8dbd Motorola TRAM1491</t>
  </si>
  <si>
    <t>Conector Motorola Mini UHF (10unidades)</t>
  </si>
  <si>
    <t>3500036356 - Conector Motorola Mini UHF (10unidades)</t>
  </si>
  <si>
    <t>Fuente de poder Motorola SEC-1212CE</t>
  </si>
  <si>
    <t>3500036356 - Fuente de poder Motorola SEC-1212CE</t>
  </si>
  <si>
    <t>3500036354 - BOTIN SEGURIDAD EDELBROCK ED-106 N°41</t>
  </si>
  <si>
    <t>3500036354 - BOTIN SEGURIDAD EDELBROCK ED-106 N°42</t>
  </si>
  <si>
    <t>3500036354 - BOTIN SEGURIDAD EDELBROCK ED-106 N°40</t>
  </si>
  <si>
    <t>3500036353 - BOTA MINERA DEFENDER DF740 N° 42</t>
  </si>
  <si>
    <t>3500036352 - PANTALON MEZCLILLA VARON /44</t>
  </si>
  <si>
    <t>3500036352 - PANTALON MEZCLILLA VARON /42</t>
  </si>
  <si>
    <t>CORTAVIENTO C/POLAR DESMONTABLE VARON/M</t>
  </si>
  <si>
    <t>3500036352 - CORTAVIENTO C/POLAR DESMONTABLE VARON/M</t>
  </si>
  <si>
    <t>3500036352 - GEOLOGO CALOR  EXTRE ROJO HOMBRE T/M</t>
  </si>
  <si>
    <t>3500036352 - POLERA PIQUE M/L GRIS VARON /M</t>
  </si>
  <si>
    <t>Radio Motorola Portatil DEP250 Digital</t>
  </si>
  <si>
    <t>3500036349 - Radio Motorola Portatil DEP250 Digital</t>
  </si>
  <si>
    <t>Poleron Micro Polar Premium Negro T/L</t>
  </si>
  <si>
    <t>3500036333 - Poleron Micro Polar Premium Negro T/L</t>
  </si>
  <si>
    <t>Camisa Santorini Hombre Beige T/L</t>
  </si>
  <si>
    <t>3500036333 - Camisa Santorini Hombre Beige T/L</t>
  </si>
  <si>
    <t>Camisa Santorini Hombre Azul T/L</t>
  </si>
  <si>
    <t>3500036333 - Camisa Santorini Hombre Azul T/L</t>
  </si>
  <si>
    <t>Pantalon Ollague Hombre T/46</t>
  </si>
  <si>
    <t>3500036333 - Pantalon Ollague Hombre T/46</t>
  </si>
  <si>
    <t>Polerón Micro polar Premium Negro Hombre</t>
  </si>
  <si>
    <t>3500036333 - Polerón Micro polar Premium Negro Hombre</t>
  </si>
  <si>
    <t>Camisa Algodón Demin Hombre Azul Medio T</t>
  </si>
  <si>
    <t>3500036333 - Camisa Algodón Demin Hombre Azul Medio T</t>
  </si>
  <si>
    <t>Camisa Santorini Hombre Beige T/M</t>
  </si>
  <si>
    <t>3500036333 - Camisa Santorini Hombre Beige T/M</t>
  </si>
  <si>
    <t>Camisa Santorini Hombre Azul T/M</t>
  </si>
  <si>
    <t>3500036333 - Camisa Santorini Hombre Azul T/M</t>
  </si>
  <si>
    <t>BARRERAS PALASTICAS 2X1 MT ROJAS</t>
  </si>
  <si>
    <t>3500036331 - BARRERAS PALASTICAS 2X1 MT ROJAS</t>
  </si>
  <si>
    <t>Gravilla</t>
  </si>
  <si>
    <t>ESPERANDO RECEPCION, ROLANDO</t>
  </si>
  <si>
    <t>3500036330 - Gravilla</t>
  </si>
  <si>
    <t>Televisor smart tv 55 pulgadas</t>
  </si>
  <si>
    <t>3500036329 - Televisor smart tv 55 pulgadas</t>
  </si>
  <si>
    <t>Control para portón</t>
  </si>
  <si>
    <t>3500036328 - Control para portón</t>
  </si>
  <si>
    <t>Estante Metálico Rack 200x200x60cm 800kg</t>
  </si>
  <si>
    <t>3500036327 - Estante Metálico Rack 200x200x60cm 800kg</t>
  </si>
  <si>
    <t>ARNES RECUBIERTO 4 ARGOLLAS TALLA L- AND</t>
  </si>
  <si>
    <t>3500036326 - ARNES RECUBIERTO 4 ARGOLLAS TALLA L- AND</t>
  </si>
  <si>
    <t>Cartucho MIX 550 mm alto tipo A ASE</t>
  </si>
  <si>
    <t>3500036325 - Cartucho MIX 550 mm alto tipo A ASE</t>
  </si>
  <si>
    <t>BOTA BEKINA STEPLITE X VERDE C/PUNTA N°4</t>
  </si>
  <si>
    <t>3500036324 - BOTA BEKINA STEPLITE X VERDE C/PUNTA N°4</t>
  </si>
  <si>
    <t>AUTORRESCATADOR MSA CO W-65 Nº 1090-703</t>
  </si>
  <si>
    <t>3500036323 - AUTORRESCATADOR MSA CO W-65 Nº 1090-703</t>
  </si>
  <si>
    <t>Compra de termometros y buffer HANNA</t>
  </si>
  <si>
    <t>3500036322 - Compra de termometros y buffer HANNA</t>
  </si>
  <si>
    <t>MASCARA MEDIO ROSTRO 3M HF-803SD T-L</t>
  </si>
  <si>
    <t>3500036321 - MASCARA MEDIO ROSTRO 3M HF-803SD T-L</t>
  </si>
  <si>
    <t>MASCARA MEDIO ROSTRO 3M HF-802SD T-M</t>
  </si>
  <si>
    <t>3500036321 - MASCARA MEDIO ROSTRO 3M HF-802SD T-M</t>
  </si>
  <si>
    <t>Radio Motorola Portatil MTP3550 TETRA</t>
  </si>
  <si>
    <t>3500036320 - Radio Motorola Portatil MTP3550 TETRA</t>
  </si>
  <si>
    <t>Radio Motorola Movil MTM5400 TETRA</t>
  </si>
  <si>
    <t>3500036320 - Radio Motorola Movil MTM5400 TETRA</t>
  </si>
  <si>
    <t>FILTRO 3M D90093C P100 C/CARBON ACTIVO</t>
  </si>
  <si>
    <t>ENTREGAN 20/07</t>
  </si>
  <si>
    <t>3500036319 - FILTRO 3M D90093C P100 C/CARBON ACTIVO</t>
  </si>
  <si>
    <t>MASCARA MEDIO ROSTRO 3M HF-801SD T-S</t>
  </si>
  <si>
    <t>3500036319 - MASCARA MEDIO ROSTRO 3M HF-801SD T-S</t>
  </si>
  <si>
    <t>PROTECTOR SOLAR BANABOAT POMO 118ML FPS5</t>
  </si>
  <si>
    <t>3500036312 - PROTECTOR SOLAR BANABOAT POMO 118ML FPS5</t>
  </si>
  <si>
    <t>ZAPATO CLIMBER TALLA 43</t>
  </si>
  <si>
    <t>3500036310 - ZAPATO CLIMBER TALLA 43</t>
  </si>
  <si>
    <t>ZAPATO NORSEG CAMBRIDGE N°39</t>
  </si>
  <si>
    <t>3500036306 - ZAPATO NORSEG CAMBRIDGE N°39</t>
  </si>
  <si>
    <t>ZAPATO NORSEG CAMBRIDGE N°38</t>
  </si>
  <si>
    <t>3500036306 - ZAPATO NORSEG CAMBRIDGE N°38</t>
  </si>
  <si>
    <t>BOTIN BATA BICKZ ACCES 804-3101 N° 40</t>
  </si>
  <si>
    <t>3500036306 - BOTIN BATA BICKZ ACCES 804-3101 N° 40</t>
  </si>
  <si>
    <t>BOTIN BATA BICKZ ACCES 804-3101 N° 41</t>
  </si>
  <si>
    <t>3500036306 - BOTIN BATA BICKZ ACCES 804-3101 N° 41</t>
  </si>
  <si>
    <t>BOTA TEMPEST PROFLEX 110 N°45 CAÑA ALTA</t>
  </si>
  <si>
    <t>ENTREGAN 30/07</t>
  </si>
  <si>
    <t>3500036305 - BOTA TEMPEST PROFLEX 110 N°45 CAÑA ALTA</t>
  </si>
  <si>
    <t>BOTA TEMPEST PROFLEX 110 N°44 CAÑA ALTA</t>
  </si>
  <si>
    <t>3500036305 - BOTA TEMPEST PROFLEX 110 N°44 CAÑA ALTA</t>
  </si>
  <si>
    <t>BOTA TEMPEST PROFLEX 110 N° 43 CAÑA ALTA</t>
  </si>
  <si>
    <t>3500036305 - BOTA TEMPEST PROFLEX 110 N° 43 CAÑA ALTA</t>
  </si>
  <si>
    <t>BOTA TEMPEST PROFLEX 110 N° 42 CAÑA ALTA</t>
  </si>
  <si>
    <t>3500036305 - BOTA TEMPEST PROFLEX 110 N° 42 CAÑA ALTA</t>
  </si>
  <si>
    <t>BOTA TEMPEST PROFLEX 110 N° 41 CAÑA ALTA</t>
  </si>
  <si>
    <t>3500036305 - BOTA TEMPEST PROFLEX 110 N° 41 CAÑA ALTA</t>
  </si>
  <si>
    <t>BOTA TEMPEST PROFLEX 110 N° 40 CAÑA ALTA</t>
  </si>
  <si>
    <t>3500036305 - BOTA TEMPEST PROFLEX 110 N° 40 CAÑA ALTA</t>
  </si>
  <si>
    <t>BOTA TEMPEST PROFLEX 110 N°39 CAÑA ALTA</t>
  </si>
  <si>
    <t>3500036305 - BOTA TEMPEST PROFLEX 110 N°39 CAÑA ALTA</t>
  </si>
  <si>
    <t>BOTA TEMPEST PROFLEX 110 N°38 CAÑA ALTA</t>
  </si>
  <si>
    <t>3500036305 - BOTA TEMPEST PROFLEX 110 N°38 CAÑA ALTA</t>
  </si>
  <si>
    <t>Filtro 3m D9093C</t>
  </si>
  <si>
    <t>3500036273 - Filtro 3m D9093C</t>
  </si>
  <si>
    <t xml:space="preserve">TRANSPORTES GIL </t>
  </si>
  <si>
    <t>3500036265 - CALCETA HW INVIERNO</t>
  </si>
  <si>
    <t>PIJAMA    HOMBRE T/L</t>
  </si>
  <si>
    <t>3500036265 - PIJAMA    HOMBRE T/L</t>
  </si>
  <si>
    <t>3500036265 - PANTALON SOFTSHELL VARON T-L</t>
  </si>
  <si>
    <t>PARKA FRIO EXTREMO VARON /L</t>
  </si>
  <si>
    <t>3500036265 - PARKA FRIO EXTREMO VARON /L</t>
  </si>
  <si>
    <t>POLERA PIQUE DAMA M/LARGA AZUL T-M</t>
  </si>
  <si>
    <t>3500036262 - POLERA PIQUE DAMA M/LARGA AZUL T-M</t>
  </si>
  <si>
    <t>PANTALON BM OUTDOOR MUJER T-40</t>
  </si>
  <si>
    <t>3500036262 - PANTALON BM OUTDOOR MUJER T-40</t>
  </si>
  <si>
    <t>PIJAMA    MUJER T/M</t>
  </si>
  <si>
    <t>3500036262 - PIJAMA    MUJER T/M</t>
  </si>
  <si>
    <t>3500036262 - CALCETA HW INVIERNO</t>
  </si>
  <si>
    <t>PARKA FRIO EXTREMO MUJER /M</t>
  </si>
  <si>
    <t>3500036262 - PARKA FRIO EXTREMO MUJER /M</t>
  </si>
  <si>
    <t>3500036262 - CHALECO GEOLOGO AMARILLO-NEGRO DAMA /M</t>
  </si>
  <si>
    <t>PANTALON MEZCLILLA DAMA /40</t>
  </si>
  <si>
    <t>3500036262 - PANTALON MEZCLILLA DAMA /40</t>
  </si>
  <si>
    <t>GUANTES ATOX TECH ULTRATECH FREEZE T.XL</t>
  </si>
  <si>
    <t>3500036256 - GUANTES ATOX TECH ULTRATECH FREEZE T.XL</t>
  </si>
  <si>
    <t>GUANTES ATOX TECH ULTRATECH FREEZE T.L</t>
  </si>
  <si>
    <t>3500036256 - GUANTES ATOX TECH ULTRATECH FREEZE T.L</t>
  </si>
  <si>
    <t>3500036255 - CALCETA HW INVIERNO</t>
  </si>
  <si>
    <t>3500036255 - POLAINAS FRIO EXTREMO</t>
  </si>
  <si>
    <t>CHALECO GEOLOGO AMARILLO-NEGRO VARON /XL</t>
  </si>
  <si>
    <t>3500036255 - CHALECO GEOLOGO AMARILLO-NEGRO VARON /XL</t>
  </si>
  <si>
    <t>3500036255 - PRIMERA CAPA FRIO EXTREMO HOMBRE T/XL</t>
  </si>
  <si>
    <t>3500036255 - PRIMERA CAPA MICROPOLAR NEGRO VARON /XL</t>
  </si>
  <si>
    <t>PANTALON FRIO EXTREMO VARON /XL</t>
  </si>
  <si>
    <t>3500036255 - PANTALON FRIO EXTREMO VARON /XL</t>
  </si>
  <si>
    <t>3500036255 - PARKA FRIO EXTREMO VARON /XL</t>
  </si>
  <si>
    <t>3500036255 - CUELLO POLAR C/ LOGO</t>
  </si>
  <si>
    <t>3500036255 - BALACLAVA HW NO WIND</t>
  </si>
  <si>
    <t>3500036255 - CAMISA TACTEL BEIGE VARON T-L</t>
  </si>
  <si>
    <t>kit de densidad 2 Balanza Exell de 5 kl</t>
  </si>
  <si>
    <t xml:space="preserve">PULLMAN CARGO </t>
  </si>
  <si>
    <t>3500036252 - kit de densidad 2 Balanza Exell de 5 kl</t>
  </si>
  <si>
    <t>Repuesto placa de control tecle maxisaco</t>
  </si>
  <si>
    <t>3500036250 - Repuesto placa de control tecle maxisaco</t>
  </si>
  <si>
    <t>Limit Switch para PWRX2T</t>
  </si>
  <si>
    <t>3500036249 - Limit Switch para PWRX2T</t>
  </si>
  <si>
    <t>3500036248 - TRAPOS DE LIMPIEZA, BOLSA DE 1 KG.</t>
  </si>
  <si>
    <t>CONO AMARILLO 2 BANDAS PINTADA NEGRA 36"</t>
  </si>
  <si>
    <t>3500036247 - CONO AMARILLO 2 BANDAS PINTADA NEGRA 36"</t>
  </si>
  <si>
    <t>BOMBA CAT TRIPLE PISTON 2SF 35 ES</t>
  </si>
  <si>
    <t>3500036246 - BOMBA CAT TRIPLE PISTON 2SF 35 ES</t>
  </si>
  <si>
    <t>PANTALON BM OUTDOOR HOMBRE T-48</t>
  </si>
  <si>
    <t>3500036237 - PANTALON BM OUTDOOR HOMBRE T-48</t>
  </si>
  <si>
    <t>PANTALON CARGO GABARDINA GRIS VARON T-48</t>
  </si>
  <si>
    <t>3500036237 - PANTALON CARGO GABARDINA GRIS VARON T-48</t>
  </si>
  <si>
    <t>PANTALON CARGO TACTEL BEIGE VARON T-48</t>
  </si>
  <si>
    <t>3500036237 - PANTALON CARGO TACTEL BEIGE VARON T-48</t>
  </si>
  <si>
    <t>3500036237 - CHAQUETA SOFTSHELL VARON T-L</t>
  </si>
  <si>
    <t>3500036237 - PANTALON MEZCLILLA VARON /48</t>
  </si>
  <si>
    <t>POLERA PIQUE VARON M/LARGA AZUL T-XL</t>
  </si>
  <si>
    <t>3500036237 - POLERA PIQUE VARON M/LARGA AZUL T-XL</t>
  </si>
  <si>
    <t>3500036237 - CAMISA VARON OXFORD CELESTE T-L</t>
  </si>
  <si>
    <t>3500036237 - GEOLOGO CALOR  EXTRE ROJO HOMBRE T/L</t>
  </si>
  <si>
    <t>3500036237 - CUELLO POLAR C/ LOGO</t>
  </si>
  <si>
    <t>3500036237 - BALACLAVA HW NO WIND</t>
  </si>
  <si>
    <t>3500036237 - CAMISA TACTEL GRIS VARON T-L</t>
  </si>
  <si>
    <t>3500036237 - CALCETA HW INVIERNO</t>
  </si>
  <si>
    <t>3500036237 - CALCETA HW VERANO</t>
  </si>
  <si>
    <t>CUBRENUCA P/CASCO C/TAPABOCA VER. CUB</t>
  </si>
  <si>
    <t>3500036237 - CUBRENUCA P/CASCO C/TAPABOCA VER. CUB</t>
  </si>
  <si>
    <t>OVEROL GABARDINA NARANJO  Talla: XL</t>
  </si>
  <si>
    <t>3500036237 - OVEROL GABARDINA NARANJO  Talla: XL</t>
  </si>
  <si>
    <t>3500036237 - GEOLOGO CALOR  EXTRE ROJO HOMBRE T/XL</t>
  </si>
  <si>
    <t>3500036237 - PRIMERA CAPA VARON T-L</t>
  </si>
  <si>
    <t>3500036237 - PANTALON FRIO EXTREMO VARON /L</t>
  </si>
  <si>
    <t>3500036237 - PARKA FRIO EXTREMO VARON /L</t>
  </si>
  <si>
    <t>3500036237 - PARKA CORP. C/POLAR DESMONT. VARON /L</t>
  </si>
  <si>
    <t>3500036237 - CAMISA TACTEL BEIGE VARON T-L</t>
  </si>
  <si>
    <t>PARKA COCHAMO PRO MARCA HW. MODELO MUJER</t>
  </si>
  <si>
    <t>3500036167 - PARKA COCHAMO PRO MARCA HW. MODELO MUJER</t>
  </si>
  <si>
    <t>PARKA COCHAMO PRO MARCA HW. MODELO VARÓN</t>
  </si>
  <si>
    <t>3500036167 - PARKA COCHAMO PRO MARCA HW. MODELO VARÓN</t>
  </si>
  <si>
    <t>Geófono triaxial</t>
  </si>
  <si>
    <t>3500036165 - Geófono triaxial</t>
  </si>
  <si>
    <t>CAJAS MEMPHIS</t>
  </si>
  <si>
    <t>3500036148 - CAJAS MEMPHIS</t>
  </si>
  <si>
    <t>ARCHIVADOR CARTA 3 ORIFICIOS</t>
  </si>
  <si>
    <t>3500036148 - ARCHIVADOR CARTA 3 ORIFICIOS</t>
  </si>
  <si>
    <t>NO MAS CLAVOS (AGOREX)</t>
  </si>
  <si>
    <t>3500036148 - NO MAS CLAVOS (AGOREX)</t>
  </si>
  <si>
    <t>W-40</t>
  </si>
  <si>
    <t>3500036148 - W-40</t>
  </si>
  <si>
    <t>JGO RADIO MOTOROLA WALKIE TALKIES</t>
  </si>
  <si>
    <t>3500036146 - JGO RADIO MOTOROLA WALKIE TALKIES</t>
  </si>
  <si>
    <t>3500036146 - CAJAS MEMPHIS</t>
  </si>
  <si>
    <t>3500036146 - ARCHIVADOR CARTA 3 ORIFICIOS</t>
  </si>
  <si>
    <t>SPRAY COLOR ROJO</t>
  </si>
  <si>
    <t>3500036146 - SPRAY COLOR ROJO</t>
  </si>
  <si>
    <t>3500036146 - NO MAS CLAVOS (AGOREX)</t>
  </si>
  <si>
    <t>JUEGO DE DADOS</t>
  </si>
  <si>
    <t>3500036146 - JUEGO DE DADOS</t>
  </si>
  <si>
    <t>CABLE HDMI 1 MT</t>
  </si>
  <si>
    <t>3500036146 - CABLE HDMI 1 MT</t>
  </si>
  <si>
    <t>CABLE HDMI 2 A 3 MTS</t>
  </si>
  <si>
    <t>3500036146 - CABLE HDMI 2 A 3 MTS</t>
  </si>
  <si>
    <t>3500036146 - WD-40 LUBRICANTE</t>
  </si>
  <si>
    <t>AIRE ACONDICIONADO PORTATIL 12000BTU</t>
  </si>
  <si>
    <t>ENTREGAN 10/07</t>
  </si>
  <si>
    <t>3500036089 - AIRE ACONDICIONADO PORTATIL 12000BTU</t>
  </si>
  <si>
    <t>SILLA DE ESCRITORIOS MODELO TOR</t>
  </si>
  <si>
    <t xml:space="preserve">Esperando respuesta </t>
  </si>
  <si>
    <t>3500036071 - SILLA DE ESCRITORIOS MODELO TOR</t>
  </si>
  <si>
    <t>LOCKER METALICO 5 CUERPOS 10 PUERTAS</t>
  </si>
  <si>
    <t>3500036070 - LOCKER METALICO 5 CUERPOS 10 PUERTAS</t>
  </si>
  <si>
    <t>Formularios bond</t>
  </si>
  <si>
    <t>3500036069 - Formularios bond</t>
  </si>
  <si>
    <t>Formulario Registro de difusión</t>
  </si>
  <si>
    <t>3500036068 - Formulario Registro de difusión</t>
  </si>
  <si>
    <t>Licencia AutoCAD LT</t>
  </si>
  <si>
    <t>3500036067 - Licencia AutoCAD LT</t>
  </si>
  <si>
    <t>3500036043 - Óptico Monofocal Fotocromático Volt</t>
  </si>
  <si>
    <t>HUINCHA AISLADORA SUPER 33 NEGRA 3M</t>
  </si>
  <si>
    <t>TRANSPORTES BELLO</t>
  </si>
  <si>
    <t>3500036009 - HUINCHA AISLADORA SUPER 33 NEGRA 3M</t>
  </si>
  <si>
    <t>Filamento PETG Morado 1kg Creality</t>
  </si>
  <si>
    <t>3500036008 - Filamento PETG Morado 1kg Creality</t>
  </si>
  <si>
    <t>Filamento PETG Hyper Alta Velocidad Rojo</t>
  </si>
  <si>
    <t>3500036008 - Filamento PETG Hyper Alta Velocidad Rojo</t>
  </si>
  <si>
    <t>Filamento PETG Hyper Alta Velocidad Blan</t>
  </si>
  <si>
    <t>3500036008 - Filamento PETG Hyper Alta Velocidad Blan</t>
  </si>
  <si>
    <t>Bambu Lab Pc 1,75mm 1kg-Filamento 3d Fil</t>
  </si>
  <si>
    <t>3500036008 - Bambu Lab Pc 1,75mm 1kg-Filamento 3d Fil</t>
  </si>
  <si>
    <t>Recarga Minutos y PTT (300315060107580)</t>
  </si>
  <si>
    <t>3500035957 - Recarga Minutos y PTT (300315060107580)</t>
  </si>
  <si>
    <t>3500035952 - Óptico Monofocal Fotocromático Volt</t>
  </si>
  <si>
    <t>3500035952 - Óptico Multifocal Fotocromático Volt</t>
  </si>
  <si>
    <t>3500035951 - Óptico Monofocal Fotocromático Volt</t>
  </si>
  <si>
    <t>Compra de Vaso Karl Fisher</t>
  </si>
  <si>
    <t>ENTREGAN 19/09</t>
  </si>
  <si>
    <t>3500035947 - Compra de Vaso Karl Fisher</t>
  </si>
  <si>
    <t>COAX-CABLE RG223/U</t>
  </si>
  <si>
    <t>ENTREGAN 01/08</t>
  </si>
  <si>
    <t>3500035941 - COAX-CABLE RG223/U</t>
  </si>
  <si>
    <t>Osciloscopio Señal mixta Pico Technology</t>
  </si>
  <si>
    <t>3500035941 - Osciloscopio Señal mixta Pico Technology</t>
  </si>
  <si>
    <t>RETENTOR M BORRA 513011  P. 7091 P-900</t>
  </si>
  <si>
    <t>3500035940 - RETENTOR M BORRA 513011  P. 7091 P-900</t>
  </si>
  <si>
    <t>BU ACL B NM063 NDB4825282 P. 5440 P-900</t>
  </si>
  <si>
    <t>3500035940 - BU ACL B NM063 NDB4825282 P. 5440 P-900</t>
  </si>
  <si>
    <t>BU ACL B NM063 NDB4825285 P. 5435 P-900</t>
  </si>
  <si>
    <t>3500035940 - BU ACL B NM063 NDB4825285 P. 5435 P-900</t>
  </si>
  <si>
    <t>ANILLO APERTO SM B 876658 P. 5425 P-900</t>
  </si>
  <si>
    <t>3500035940 - ANILLO APERTO SM B 876658 P. 5425 P-900</t>
  </si>
  <si>
    <t>BUJE SEGURIDAD 864325 POS. 5115 P-900</t>
  </si>
  <si>
    <t>3500035940 - BUJE SEGURIDAD 864325 POS. 5115 P-900</t>
  </si>
  <si>
    <t>PINO CI B NM063 NDB4825279 P. 5075 P-900</t>
  </si>
  <si>
    <t>3500035940 - PINO CI B NM063 NDB4825279 P. 5075 P-900</t>
  </si>
  <si>
    <t>PASADOR CI NMP5061972 POS. 5075 P-900</t>
  </si>
  <si>
    <t>3500035940 - PASADOR CI NMP5061972 POS. 5075 P-900</t>
  </si>
  <si>
    <t>ANILLO SEGURIDAD 512289 POS. 5065 P-900</t>
  </si>
  <si>
    <t>3500035940 - ANILLO SEGURIDAD 512289 POS. 5065 P-900</t>
  </si>
  <si>
    <t>VEDACION SM B 876657 POS. 8235 P-900</t>
  </si>
  <si>
    <t>3500035940 - VEDACION SM B 876657 POS. 8235 P-900</t>
  </si>
  <si>
    <t>ANILLO PERBUNAN 516537 PB 70-80 P-900</t>
  </si>
  <si>
    <t>3500035940 - ANILLO PERBUNAN 516537 PB 70-80 P-900</t>
  </si>
  <si>
    <t>ANILLO PERBUNAN 516327 POS. 8060 P-900</t>
  </si>
  <si>
    <t>3500035940 - ANILLO PERBUNAN 516327 POS. 8060 P-900</t>
  </si>
  <si>
    <t>ANILLO PERBUNAN 690643 POS. 8015 P-900</t>
  </si>
  <si>
    <t>3500035940 - ANILLO PERBUNAN 690643 POS. 8015 P-900</t>
  </si>
  <si>
    <t>GRAXEIRA 522025 ACO ZINC P-900</t>
  </si>
  <si>
    <t>3500035940 - GRAXEIRA 522025 ACO ZINC P-900</t>
  </si>
  <si>
    <t>ANILLO RET F 512093 POS. 7181 P-900</t>
  </si>
  <si>
    <t>3500035940 - ANILLO RET F 512093 POS. 7181 P-900</t>
  </si>
  <si>
    <t>PARAFUSO SIS 509439 POS. 7157 P-900</t>
  </si>
  <si>
    <t>3500035940 - PARAFUSO SIS 509439 POS. 7157 P-900</t>
  </si>
  <si>
    <t>ANILLO PERBUNAN 516555 POS.8060 P-900</t>
  </si>
  <si>
    <t>3500035940 - ANILLO PERBUNAN 516555 POS.8060 P-900</t>
  </si>
  <si>
    <t>ANILLO RETE 512006 ACO-MOLA P-900</t>
  </si>
  <si>
    <t>3500035938 - ANILLO RETE 512006 ACO-MOLA P-900</t>
  </si>
  <si>
    <t>ANILLO NILOS 690638 JV P-900</t>
  </si>
  <si>
    <t>3500035938 - ANILLO NILOS 690638 JV P-900</t>
  </si>
  <si>
    <t>ANILLO RET 512100 P-900</t>
  </si>
  <si>
    <t>3500035938 - ANILLO RET 512100 P-900</t>
  </si>
  <si>
    <t>ROLAM 690637 P-900</t>
  </si>
  <si>
    <t>3500035938 - ROLAM 690637 P-900</t>
  </si>
  <si>
    <t>ANILLO NILOS 514064 P-900</t>
  </si>
  <si>
    <t>3500035938 - ANILLO NILOS 514064 P-900</t>
  </si>
  <si>
    <t>RETENTOR BORRA 4050027 P-900</t>
  </si>
  <si>
    <t>3500035938 - RETENTOR BORRA 4050027 P-900</t>
  </si>
  <si>
    <t>ANILLO RETE 512004 P-900</t>
  </si>
  <si>
    <t>3500035938 - ANILLO RETE 512004 P-900</t>
  </si>
  <si>
    <t>RETENTOR M BORR 690634 POS. 7091 P-900</t>
  </si>
  <si>
    <t>3500035938 - RETENTOR M BORR 690634 POS. 7091 P-900</t>
  </si>
  <si>
    <t>ANILLO CENT 690641 NM063S SBE P-900</t>
  </si>
  <si>
    <t>3500035938 - ANILLO CENT 690641 NM063S SBE P-900</t>
  </si>
  <si>
    <t>CHAV A 470318 - 1045 P-900</t>
  </si>
  <si>
    <t>3500035938 - CHAV A 470318 - 1045 P-900</t>
  </si>
  <si>
    <t>ROLAM 690631 P-900</t>
  </si>
  <si>
    <t>3500035938 - ROLAM 690631 P-900</t>
  </si>
  <si>
    <t>3500035934 - CINTA AISLADORA VINYL 3M 35 VERDE</t>
  </si>
  <si>
    <t>3500035934 - CINTA AISLADORA VINYL 3M 35 NEGRA</t>
  </si>
  <si>
    <t>CAL 25 KG</t>
  </si>
  <si>
    <t>3500035933 - CAL 25 KG</t>
  </si>
  <si>
    <t>INTERCOMUNICADOR MICROFONO TIPO PLUMA</t>
  </si>
  <si>
    <t>3500035894 - INTERCOMUNICADOR MICROFONO TIPO PLUMA</t>
  </si>
  <si>
    <t>RADIO MOTOROLA TRANSCEPTOR MODELO T210CL</t>
  </si>
  <si>
    <t>3500035888 - RADIO MOTOROLA TRANSCEPTOR MODELO T210CL</t>
  </si>
  <si>
    <t>Tubo ranurado pvc 3 mts (encamisado)</t>
  </si>
  <si>
    <t>3500035880 - Tubo ranurado pvc 3 mts (encamisado)</t>
  </si>
  <si>
    <t>Tubo tapado pvc 3mts con tapa y cuerda 2</t>
  </si>
  <si>
    <t>3500035880 - Tubo tapado pvc 3mts con tapa y cuerda 2</t>
  </si>
  <si>
    <t>3500035840 - Óptico Monofocal Fotocromático Volt</t>
  </si>
  <si>
    <t>WILDEN WET END KIT HUMEDO 2" BN</t>
  </si>
  <si>
    <t>3500035837 - WILDEN WET END KIT HUMEDO 2" BN</t>
  </si>
  <si>
    <t>Lanyard 2,5 x 95 cm. Impreso full color</t>
  </si>
  <si>
    <t xml:space="preserve">ESPERANDO APROBACION </t>
  </si>
  <si>
    <t>3500035836 - Lanyard 2,5 x 95 cm. Impreso full color</t>
  </si>
  <si>
    <t xml:space="preserve">ESPERANDO FECHA ENTREGA </t>
  </si>
  <si>
    <t>3500035811 - BOTIN SEGURIDAD EDELBROCK ED-106 N°43</t>
  </si>
  <si>
    <t>3500035787 - CAMISA TACTEL BEIGE VARON T-L</t>
  </si>
  <si>
    <t>CHALECO GEOLOGO VARON ROJO /XL</t>
  </si>
  <si>
    <t>3500035787 - CHALECO GEOLOGO VARON ROJO /XL</t>
  </si>
  <si>
    <t>3500035787 - POLAR VARON C/MANGA BICOLOR T/L</t>
  </si>
  <si>
    <t>3500035787 - PANTALON CARGOTACTEL ELASTICADO VARON 46</t>
  </si>
  <si>
    <t>SILENCIADOR ALTA REDUCCION 3/8" AN302-03</t>
  </si>
  <si>
    <t>IMPORTACION</t>
  </si>
  <si>
    <t>3500035784 - SILENCIADOR ALTA REDUCCION 3/8" AN302-03</t>
  </si>
  <si>
    <t>SILENCIADOR ALTA REDUCCION 1/2" AN402-04</t>
  </si>
  <si>
    <t>3500035784 - SILENCIADOR ALTA REDUCCION 1/2" AN402-04</t>
  </si>
  <si>
    <t>Parkas San Gerónimo</t>
  </si>
  <si>
    <t>3500035782 - Parkas San Gerónimo</t>
  </si>
  <si>
    <t>3500035778 - BALACLAVA HW NO WIND</t>
  </si>
  <si>
    <t>3500035778 - GORRO DE POLAR CORPORATIVO</t>
  </si>
  <si>
    <t>3500035766 - Óptico Monofocal Fotocromático Volt</t>
  </si>
  <si>
    <t>3500035765 - Óptico Monofocal Fotocromático Volt</t>
  </si>
  <si>
    <t>3500035763 - Óptico Monofocal Fotocromático Volt</t>
  </si>
  <si>
    <t>3500035762 - REACTIVO COMBITITRANT 5 KARL FICHER</t>
  </si>
  <si>
    <t>3500035761 - Óptico Multifocal Fotocromático Volt</t>
  </si>
  <si>
    <t>Configurator Oxy SR short duration set</t>
  </si>
  <si>
    <t>3500035720 - Configurator Oxy SR short duration set</t>
  </si>
  <si>
    <t>NO TOMAR EN CUENTA ES 38</t>
  </si>
  <si>
    <t>3500035705 - PANTALON MEZCLILLA VARON /46</t>
  </si>
  <si>
    <t>3500035705 - PANTALON MEZCLILLA VARON /44</t>
  </si>
  <si>
    <t>3500035705 - PANTALON MEZCLILLA VARON /42</t>
  </si>
  <si>
    <t>3500035705 - PANTALON MEZCLILLA VARON /40</t>
  </si>
  <si>
    <t>PANTALON CARGO GABARDINA GRIS VARON T-50</t>
  </si>
  <si>
    <t>3500035705 - PANTALON CARGO GABARDINA GRIS VARON T-50</t>
  </si>
  <si>
    <t>3500035705 - PANTALON CARGO GABARDINA GRIS VARON T-48</t>
  </si>
  <si>
    <t>3500035705 - PANTALON CARGO GABARDINA GRIS VARON T-46</t>
  </si>
  <si>
    <t>PANTALON CARGO GABARDINA GRIS VARON T-44</t>
  </si>
  <si>
    <t>3500035705 - PANTALON CARGO GABARDINA GRIS VARON T-44</t>
  </si>
  <si>
    <t>3500035705 - POLERA PIQUE VARON M/LARGA AZUL T-L</t>
  </si>
  <si>
    <t>POLERA PIQUE VARON M/LARGA AZUL T-M</t>
  </si>
  <si>
    <t>3500035705 - POLERA PIQUE VARON M/LARGA AZUL T-M</t>
  </si>
  <si>
    <t>3500035705 - CAMISA TACTEL GRIS VARON T-L</t>
  </si>
  <si>
    <t>CAMISA TACTEL GRIS VARON T-M</t>
  </si>
  <si>
    <t>3500035705 - CAMISA TACTEL GRIS VARON T-M</t>
  </si>
  <si>
    <t>3500035705 - PANTALON MEZCLILLA VARON /50</t>
  </si>
  <si>
    <t>3500035705 - PANTALON MEZCLILLA VARON /48</t>
  </si>
  <si>
    <t>PANTALON CARGO GABARDINA GRIS VARON T-42</t>
  </si>
  <si>
    <t>3500035705 - PANTALON CARGO GABARDINA GRIS VARON T-42</t>
  </si>
  <si>
    <t>ENTREGADO</t>
  </si>
  <si>
    <t>3500035695 - PRIMERA CAPA ELASTICADA VARON /M</t>
  </si>
  <si>
    <t>POLAR VARON C/MANGA BICOLOR T/M</t>
  </si>
  <si>
    <t>3500035695 - POLAR VARON C/MANGA BICOLOR T/M</t>
  </si>
  <si>
    <t>3500035695 - PANTALON MEZCLILLA VARON /42</t>
  </si>
  <si>
    <t>LOCKER METALICO 5 CUERPOS 15 PUERTAS</t>
  </si>
  <si>
    <t>3500035670 - LOCKER METALICO 5 CUERPOS 15 PUERTAS</t>
  </si>
  <si>
    <t>LOCKERS 2 CUERPOS Y 4 PUERTAS</t>
  </si>
  <si>
    <t>3500035664 - LOCKERS 2 CUERPOS Y 4 PUERTAS</t>
  </si>
  <si>
    <t>CAJONERA MOVIL 3C 42X X 50D X 65H MELAM</t>
  </si>
  <si>
    <t>3500035664 - CAJONERA MOVIL 3C 42X X 50D X 65H MELAM</t>
  </si>
  <si>
    <t>GABINETE COLGANTE 90x X 35d X 42h estru</t>
  </si>
  <si>
    <t>3500035664 - GABINETE COLGANTE 90x X 35d X 42h estru</t>
  </si>
  <si>
    <t>BFK-50-FF cable redondeado 50 metros</t>
  </si>
  <si>
    <t>3500035650 - BFK-50-FF cable redondeado 50 metros</t>
  </si>
  <si>
    <t>ZAPATO NORSEG KATRINA T/ 37</t>
  </si>
  <si>
    <t>3500035639 - ZAPATO NORSEG KATRINA T/ 37</t>
  </si>
  <si>
    <t>3500035638 - PARKA TÉRMICA ANDESLAND NEGRO HOM L</t>
  </si>
  <si>
    <t>PRIMADOR TECHNYL 22X120MM</t>
  </si>
  <si>
    <t>3500035633 - PRIMADOR TECHNYL 22X120MM</t>
  </si>
  <si>
    <t>Tarjeta de medicion</t>
  </si>
  <si>
    <t>3500035631 - Tarjeta de medicion</t>
  </si>
  <si>
    <t>3500035602 - Óptico Multifocal Fotocromático Volt</t>
  </si>
  <si>
    <t>PLOMOS 180 GRS C/ GOMATERMOCONTRAIBLE</t>
  </si>
  <si>
    <t>3500035597 - PLOMOS 180 GRS C/ GOMATERMOCONTRAIBLE</t>
  </si>
  <si>
    <t>TACHO TOMA DENSIDAD</t>
  </si>
  <si>
    <t>3500035596 - TACHO TOMA DENSIDAD</t>
  </si>
  <si>
    <t>3500035595 - Óptico Monofocal Fotocromático Volt</t>
  </si>
  <si>
    <t>Cable de conexión con conector AMP</t>
  </si>
  <si>
    <t xml:space="preserve">EL LUNES RETIRAN </t>
  </si>
  <si>
    <t>3500035594 - Cable de conexión con conector AMP</t>
  </si>
  <si>
    <t>3500035587 - BANDANA CORPORATIVA</t>
  </si>
  <si>
    <t>3500035587 - CUELLO POLAR C/ LOGO</t>
  </si>
  <si>
    <t>3500035587 - CALCETA HW INVIERNO</t>
  </si>
  <si>
    <t>OVEROL GABARDINA ROJO- GRIS VARON /L</t>
  </si>
  <si>
    <t>3500035587 - OVEROL GABARDINA ROJO- GRIS VARON /L</t>
  </si>
  <si>
    <t>3500035587 - GEOLOGO CALOR  EXTRE ROJO HOMBRE T/L</t>
  </si>
  <si>
    <t>3500035587 - PRIMERA CAPA VARON T-L</t>
  </si>
  <si>
    <t>CORTA VIENTO C/POLAR VARON T-XL</t>
  </si>
  <si>
    <t>3500035587 - CORTA VIENTO C/POLAR VARON T-XL</t>
  </si>
  <si>
    <t>3500035587 - PANTALON MEZCLILLA VARON /48</t>
  </si>
  <si>
    <t>3500035587 - CAMISA TACTEL GRIS VARON T-L</t>
  </si>
  <si>
    <t>3500035586 - BANDANA CORPORATIVA</t>
  </si>
  <si>
    <t>3500035586 - CUELLO POLAR C/ LOGO</t>
  </si>
  <si>
    <t>3500035586 - CALCETA HW INVIERNO</t>
  </si>
  <si>
    <t>OVEROL GABARDINA ROJO- GRIS VARON /M</t>
  </si>
  <si>
    <t>3500035586 - OVEROL GABARDINA ROJO- GRIS VARON /M</t>
  </si>
  <si>
    <t>3500035586 - GEOLOGO CALOR  EXTRE ROJO HOMBRE T/M</t>
  </si>
  <si>
    <t>3500035586 - PRIMERA CAPA VARON T-M</t>
  </si>
  <si>
    <t>3500035586 - CORTAVIENTO C/POLAR DESMONTABLE VARON/M</t>
  </si>
  <si>
    <t>3500035586 - PANTALON MEZCLILLA VARON /42</t>
  </si>
  <si>
    <t>3500035586 - CAMISA TACTEL GRIS VARON T-M</t>
  </si>
  <si>
    <t>PANTALON CARGOTACTEL ELASTICADO VARON 50</t>
  </si>
  <si>
    <t>3500035585 - PANTALON CARGOTACTEL ELASTICADO VARON 50</t>
  </si>
  <si>
    <t>3500035585 - PANTALON CARGOTACTEL ELASTICADO VARON 48</t>
  </si>
  <si>
    <t>PANTALON CARGOTACTEL ELASTICADO MUJER 38</t>
  </si>
  <si>
    <t>3500035585 - PANTALON CARGOTACTEL ELASTICADO MUJER 38</t>
  </si>
  <si>
    <t>3500035585 - PANTALON CARGOTACTEL ELASTICADO VARON 46</t>
  </si>
  <si>
    <t>ARNES SEGURIDAD 4 ARGOLLAS MSA278341 T L</t>
  </si>
  <si>
    <t>3500035555 - ARNES SEGURIDAD 4 ARGOLLAS MSA278341 T L</t>
  </si>
  <si>
    <t>LAMPARA COLGANTE LED AZUL PARA MASCOTAS</t>
  </si>
  <si>
    <t>3500035554 - LAMPARA COLGANTE LED AZUL PARA MASCOTAS</t>
  </si>
  <si>
    <t>PLAFON LED CUADRADO 24W 30x30CM BLANCO</t>
  </si>
  <si>
    <t>3500035554 - PLAFON LED CUADRADO 24W 30x30CM BLANCO</t>
  </si>
  <si>
    <t>PANTALLA SAMSUNG 55" y Equipamiento</t>
  </si>
  <si>
    <t>3500035515 - PANTALLA SAMSUNG 55" y Equipamiento</t>
  </si>
  <si>
    <t>SPRAY MARKERPAINT NAJARNA 500 ML - MARCA</t>
  </si>
  <si>
    <t>3500035506 - SPRAY MARKERPAINT NAJARNA 500 ML - MARCA</t>
  </si>
  <si>
    <t>3500035500 - Óptico Multifocal Fotocromático Volt</t>
  </si>
  <si>
    <t>3500035499 - Óptico Multifocal Fotocromático Volt</t>
  </si>
  <si>
    <t>LINTERNA FOCO LARGO ALCANCE MAXWELL ULTR</t>
  </si>
  <si>
    <t>3500035492 - LINTERNA FOCO LARGO ALCANCE MAXWELL ULTR</t>
  </si>
  <si>
    <t>LINTERNA SUPER BRILLANTE 1200LM RECARGAB</t>
  </si>
  <si>
    <t>3500035492 - LINTERNA SUPER BRILLANTE 1200LM RECARGAB</t>
  </si>
  <si>
    <t>CASCO 3M H-700 RS4 RACHET 4P COLOR ROJO</t>
  </si>
  <si>
    <t xml:space="preserve">ESPERANDO NUEVA FECHA </t>
  </si>
  <si>
    <t>3500035461 - CASCO 3M H-700 RS4 RACHET 4P COLOR ROJO</t>
  </si>
  <si>
    <t>CONO 28" P SENALIZACION AMARILLO</t>
  </si>
  <si>
    <t>3500035460 - CONO 28" P SENALIZACION AMARILLO</t>
  </si>
  <si>
    <t>guante de nitrilo puño</t>
  </si>
  <si>
    <t>RECHAZADO</t>
  </si>
  <si>
    <t>3500035457 - guante de nitrilo puño</t>
  </si>
  <si>
    <t>TELEVISOR SMART TV 55"</t>
  </si>
  <si>
    <t>3500035455 - TELEVISOR SMART TV 55"</t>
  </si>
  <si>
    <t>Cable coaxial RG6</t>
  </si>
  <si>
    <t>3500035453 - Cable coaxial RG6</t>
  </si>
  <si>
    <t>3500035429 - Óptico Monofocal Fotocromático Volt</t>
  </si>
  <si>
    <t>MANGAS CAMION FABRICA MLC</t>
  </si>
  <si>
    <t>3500035426 - MANGAS CAMION FABRICA MLC</t>
  </si>
  <si>
    <t>GUANTE ANSELL HYFLEX LITE 11-801 N°9</t>
  </si>
  <si>
    <t>3500035418 - GUANTE ANSELL HYFLEX LITE 11-801 N°9</t>
  </si>
  <si>
    <t>3500035418 - GUANTE ANSELL HYFLEX LITE 11-801 N°8</t>
  </si>
  <si>
    <t>GUANTE ANSELL HYFLEX LITE 11-801 N°7</t>
  </si>
  <si>
    <t>3500035418 - GUANTE ANSELL HYFLEX LITE 11-801 N°7</t>
  </si>
  <si>
    <t>3500035416 - OVEROL GABARDINA ROJO- GRIS VARON /M</t>
  </si>
  <si>
    <t>3500035416 - OVEROL GABARDINA ROJO- GRIS VARON /L</t>
  </si>
  <si>
    <t>GUANTE APD ATOX FOAM NITRILO W9611P T-XL</t>
  </si>
  <si>
    <t>3500035415 - GUANTE APD ATOX FOAM NITRILO W9611P T-XL</t>
  </si>
  <si>
    <t>GUANTE APD ATOX FOAM NITRILO W9611P T-M</t>
  </si>
  <si>
    <t>3500035415 - GUANTE APD ATOX FOAM NITRILO W9611P T-M</t>
  </si>
  <si>
    <t>3500035414 - POLAR VARON C/MANGA BICOLOR T/XL</t>
  </si>
  <si>
    <t>CORTAVIENTO C/POLAR DESMONTABLE VARON/XL</t>
  </si>
  <si>
    <t>3500035414 - CORTAVIENTO C/POLAR DESMONTABLE VARON/XL</t>
  </si>
  <si>
    <t>3500035414 - GEOLOGO CALOR  EXTRE ROJO HOMBRE T/XL</t>
  </si>
  <si>
    <t>3500035414 - PANTALON CARGOTACTEL ELASTICADO VARON 50</t>
  </si>
  <si>
    <t>3500035414 - PANTALON CARGOTACTEL ELASTICADO VARON 46</t>
  </si>
  <si>
    <t>CINTURON MINERO SIMPLE GRAMMY</t>
  </si>
  <si>
    <t>3500035413 - CINTURON MINERO SIMPLE GRAMMY</t>
  </si>
  <si>
    <t>LENTE  BOLLE AKA FOTOCROMATICO</t>
  </si>
  <si>
    <t>3500035413 - LENTE  BOLLE AKA FOTOCROMATICO</t>
  </si>
  <si>
    <t>Gabinete Colgante 75w x 35d x 42h</t>
  </si>
  <si>
    <t>3500035346 - Gabinete Colgante 75w x 35d x 42h</t>
  </si>
  <si>
    <t>Silla Ergopop</t>
  </si>
  <si>
    <t>3500035346 - Silla Ergopop</t>
  </si>
  <si>
    <t>Cajonera Móvil 3C 42w x 50d x 65h</t>
  </si>
  <si>
    <t>3500035346 - Cajonera Móvil 3C 42w x 50d x 65h</t>
  </si>
  <si>
    <t>Gabinete bajo H75 90w x 50d x 75h</t>
  </si>
  <si>
    <t>3500035346 - Gabinete bajo H75 90w x 50d x 75h</t>
  </si>
  <si>
    <t>Gabinete Alto H165 Repisas 90w x 50d x 1</t>
  </si>
  <si>
    <t>3500035346 - Gabinete Alto H165 Repisas 90w x 50d x 1</t>
  </si>
  <si>
    <t>Analista simple planta servicios</t>
  </si>
  <si>
    <t>3500035346 - Analista simple planta servicios</t>
  </si>
  <si>
    <t>Sub Gerente Plantas Servicio 3</t>
  </si>
  <si>
    <t>3500035346 - Sub Gerente Plantas Servicio 3</t>
  </si>
  <si>
    <t>Módulos 5. Jefe de Planta Servicios</t>
  </si>
  <si>
    <t>3500035346 - Módulos 5. Jefe de Planta Servicios</t>
  </si>
  <si>
    <t>3500035336 - Óptico Monofocal Fotocromático Volt</t>
  </si>
  <si>
    <t>3500035322 - Óptico Monofocal Fotocromático Volt</t>
  </si>
  <si>
    <t>3500035321 - Óptico Monofocal Fotocromático Volt</t>
  </si>
  <si>
    <t>3500035318 - Óptico Monofocal Fotocromático Volt</t>
  </si>
  <si>
    <t>3500035304 - CALCETA HW INVIERNO</t>
  </si>
  <si>
    <t>CHALECO GEOLOGO DAMA ROJO /L</t>
  </si>
  <si>
    <t>3500035304 - CHALECO GEOLOGO DAMA ROJO /L</t>
  </si>
  <si>
    <t>PRIMERA CAPA MUJER T-M</t>
  </si>
  <si>
    <t>3500035304 - PRIMERA CAPA MUJER T-M</t>
  </si>
  <si>
    <t>3500035304 - POLAR DAMA C/MANGA BICOLOR T/L</t>
  </si>
  <si>
    <t>3500035304 - PARKA FRIO EXTREMO MUJER /L</t>
  </si>
  <si>
    <t>PANTALON SOFTSHELL MUJER T-L</t>
  </si>
  <si>
    <t>3500035304 - PANTALON SOFTSHELL MUJER T-L</t>
  </si>
  <si>
    <t>3500035304 - PANTALON MEZCLILLA DAMA /40</t>
  </si>
  <si>
    <t>3500035304 - CAMISA TACTEL GRIS DAMA T-L</t>
  </si>
  <si>
    <t>Huincha de medir de 30 mt - KAMASA con p</t>
  </si>
  <si>
    <t>3500035294 - Huincha de medir de 30 mt - KAMASA con p</t>
  </si>
  <si>
    <t>Cable Multifilar (CAT5)</t>
  </si>
  <si>
    <t>3500035293 - Cable Multifilar (CAT5)</t>
  </si>
  <si>
    <t>Geófonos C Cercanos</t>
  </si>
  <si>
    <t>3500035293 - Geófonos C Cercanos</t>
  </si>
  <si>
    <t>GMSL2 Fakra Extension Cable M-F 1.5m</t>
  </si>
  <si>
    <t xml:space="preserve">20 DÍAS HABILES </t>
  </si>
  <si>
    <t>3500035292 - GMSL2 Fakra Extension Cable M-F 1.5m</t>
  </si>
  <si>
    <t>PASADOR CILIN. N°P.0 300-090 P-218</t>
  </si>
  <si>
    <t>3500035291 - PASADOR CILIN. N°P.0 300-090 P-218</t>
  </si>
  <si>
    <t>KIT SELLO BOMBA CENTRIFUGA EUROFLO EJS40</t>
  </si>
  <si>
    <t>ENTREGAN 11/08</t>
  </si>
  <si>
    <t>3500035288 - KIT SELLO BOMBA CENTRIFUGA EUROFLO EJS40</t>
  </si>
  <si>
    <t>BOMBA EUROFLO EJS40-110-10-CD-EB</t>
  </si>
  <si>
    <t>ENTREGAN 07/10</t>
  </si>
  <si>
    <t>3500035288 - BOMBA EUROFLO EJS40-110-10-CD-EB</t>
  </si>
  <si>
    <t>ENTREGAN 15/07</t>
  </si>
  <si>
    <t>3500035277 - ZAPATO AMERICAN SHOES 5590 N°39</t>
  </si>
  <si>
    <t>DELANTAL BLANCO VARON T-M</t>
  </si>
  <si>
    <t>3500035271 - DELANTAL BLANCO VARON T-M</t>
  </si>
  <si>
    <t>DELANTAL BLANCO VARON T-XL</t>
  </si>
  <si>
    <t>3500035271 - DELANTAL BLANCO VARON T-XL</t>
  </si>
  <si>
    <t>ARNES 4 ARGOLLAS</t>
  </si>
  <si>
    <t xml:space="preserve">PULLMAN </t>
  </si>
  <si>
    <t>3500035251 - ARNES 4 ARGOLLAS</t>
  </si>
  <si>
    <t>CONECTOR NANO-LOK 3M</t>
  </si>
  <si>
    <t>3500035251 - CONECTOR NANO-LOK 3M</t>
  </si>
  <si>
    <t>PARKA INSULADA HW EXPLORER M/GORRO MUJER</t>
  </si>
  <si>
    <t>ENTREGAN 09/07</t>
  </si>
  <si>
    <t>3500035249 - PARKA INSULADA HW EXPLORER M/GORRO MUJER</t>
  </si>
  <si>
    <t>PARKA INSULADA HW EXPLORER S/GORRO MUJER</t>
  </si>
  <si>
    <t>3500035249 - PARKA INSULADA HW EXPLORER S/GORRO MUJER</t>
  </si>
  <si>
    <t>PARKA INSULADA HW EXPLORER NEGRA XXXL</t>
  </si>
  <si>
    <t>3500035249 - PARKA INSULADA HW EXPLORER NEGRA XXXL</t>
  </si>
  <si>
    <t>PARKA INSULADA HW EXPLORER NEGRA XXL</t>
  </si>
  <si>
    <t>3500035249 - PARKA INSULADA HW EXPLORER NEGRA XXL</t>
  </si>
  <si>
    <t>PARKA INSULADA HW EXPLORER NEGRA XL</t>
  </si>
  <si>
    <t>3500035249 - PARKA INSULADA HW EXPLORER NEGRA XL</t>
  </si>
  <si>
    <t>PARKA INSULADA HW EXPLORER NEGRA L</t>
  </si>
  <si>
    <t>3500035249 - PARKA INSULADA HW EXPLORER NEGRA L</t>
  </si>
  <si>
    <t>PARKA INSULADA HW EXPLORER NEGRA M</t>
  </si>
  <si>
    <t>3500035249 - PARKA INSULADA HW EXPLORER NEGRA M</t>
  </si>
  <si>
    <t>PARKA INSULADA HW EXPLORER NEGRA S</t>
  </si>
  <si>
    <t>3500035249 - PARKA INSULADA HW EXPLORER NEGRA S</t>
  </si>
  <si>
    <t>3500035243 - BOTA MINERA DEFENDER DF740 N° 40</t>
  </si>
  <si>
    <t>óptico multifocal  COMPACTOR CARRIER</t>
  </si>
  <si>
    <t>3500035237 - óptico multifocal  COMPACTOR CARRIER</t>
  </si>
  <si>
    <t>PIT Transmisor de presion IFM PI1714</t>
  </si>
  <si>
    <t>3500035162 - PIT Transmisor de presion IFM PI1714</t>
  </si>
  <si>
    <t>VDF Sinamics G120C/6SL3210-1KE22-6UF1</t>
  </si>
  <si>
    <t>3500035158 - VDF Sinamics G120C/6SL3210-1KE22-6UF1</t>
  </si>
  <si>
    <t>VDF Sinamics G120C/6SL3210-1KE18-8UF1</t>
  </si>
  <si>
    <t>3500035158 - VDF Sinamics G120C/6SL3210-1KE18-8UF1</t>
  </si>
  <si>
    <t>VDF Sinamics G120C/6SL3210-1KE21-7UF1</t>
  </si>
  <si>
    <t>3500035156 - VDF Sinamics G120C/6SL3210-1KE21-7UF1</t>
  </si>
  <si>
    <t>ADHESIVO DE CONTACTO AGOREX 1 GL</t>
  </si>
  <si>
    <t>3500035155 - ADHESIVO DE CONTACTO AGOREX 1 GL</t>
  </si>
  <si>
    <t>Procesadora de alimentos de polipropilen</t>
  </si>
  <si>
    <t>3500035154 - Procesadora de alimentos de polipropilen</t>
  </si>
  <si>
    <t>Bota minera Defender Raptor DF-750 nro44</t>
  </si>
  <si>
    <t>3500035131 - Bota minera Defender Raptor DF-750 nro44</t>
  </si>
  <si>
    <t>Bota minera Defender Raptor DF-750 nro43</t>
  </si>
  <si>
    <t>3500035131 - Bota minera Defender Raptor DF-750 nro43</t>
  </si>
  <si>
    <t>Bota minera Defender Raptor DF-750 nro42</t>
  </si>
  <si>
    <t>3500035131 - Bota minera Defender Raptor DF-750 nro42</t>
  </si>
  <si>
    <t>Bota minera Defender Raptor DF-750 nro41</t>
  </si>
  <si>
    <t>3500035131 - Bota minera Defender Raptor DF-750 nro41</t>
  </si>
  <si>
    <t>CAFÉ INTENSO</t>
  </si>
  <si>
    <t>3500035102 - CAFÉ INTENSO</t>
  </si>
  <si>
    <t>CAFÉ VAINILLA</t>
  </si>
  <si>
    <t>3500035102 - CAFÉ VAINILLA</t>
  </si>
  <si>
    <t>CAFÉ BRAZIL</t>
  </si>
  <si>
    <t>3500035102 - CAFÉ BRAZIL</t>
  </si>
  <si>
    <t>CAFÉ CARAMELO</t>
  </si>
  <si>
    <t>3500035102 - CAFÉ CARAMELO</t>
  </si>
  <si>
    <t>NAVAJAS TRAMONTINA</t>
  </si>
  <si>
    <t>3500035101 - NAVAJAS TRAMONTINA</t>
  </si>
  <si>
    <t>SILLA ESCRITORIO 4 PATAS</t>
  </si>
  <si>
    <t>3500035087 - SILLA ESCRITORIO 4 PATAS</t>
  </si>
  <si>
    <t>SILLA ESCRITORIO CON RUEDA</t>
  </si>
  <si>
    <t>3500035087 - SILLA ESCRITORIO CON RUEDA</t>
  </si>
  <si>
    <t>CASILLERO 5 CUERPOS, 10 PUERTAS</t>
  </si>
  <si>
    <t>3500035087 - CASILLERO 5 CUERPOS, 10 PUERTAS</t>
  </si>
  <si>
    <t>CASILLERO DE 2 CUERPOS, 4 PUERTAS</t>
  </si>
  <si>
    <t>3500035087 - CASILLERO DE 2 CUERPOS, 4 PUERTAS</t>
  </si>
  <si>
    <t>CASILLERO DE 1 CUERPO, 2 PUERTAS</t>
  </si>
  <si>
    <t>3500035087 - CASILLERO DE 1 CUERPO, 2 PUERTAS</t>
  </si>
  <si>
    <t>PARKA TÉRMICA ANDESLAND AZUL MAR HOM M</t>
  </si>
  <si>
    <t>3500035086 - PARKA TÉRMICA ANDESLAND AZUL MAR HOM M</t>
  </si>
  <si>
    <t>ALCOTEST PROFESIONAL AF 100P</t>
  </si>
  <si>
    <t>3500035085 - ALCOTEST PROFESIONAL AF 100P</t>
  </si>
  <si>
    <t>PARKA DESMONTABL HW RENO 3EN1 HOMBRE T:S</t>
  </si>
  <si>
    <t>3500035081 - PARKA DESMONTABL HW RENO 3EN1 HOMBRE T:S</t>
  </si>
  <si>
    <t>PARKA DESMONTABL HW RENO 3EN1 HOMBRE T:3</t>
  </si>
  <si>
    <t>3500035081 - PARKA DESMONTABL HW RENO 3EN1 HOMBRE T:3</t>
  </si>
  <si>
    <t>JUNTA PLANA NETZSCH NM053 NDB4923240</t>
  </si>
  <si>
    <t>3500035076 - JUNTA PLANA NETZSCH NM053 NDB4923240</t>
  </si>
  <si>
    <t>TAPON NETZSCH 509218 / 7007</t>
  </si>
  <si>
    <t>3500035076 - TAPON NETZSCH 509218 / 7007</t>
  </si>
  <si>
    <t>RETEN SELLO NETZSCH 4050805 / 7091</t>
  </si>
  <si>
    <t>3500035076 - RETEN SELLO NETZSCH 4050805 / 7091</t>
  </si>
  <si>
    <t>VALVULA ALIVIO NETZSCH NDB4344648/0230</t>
  </si>
  <si>
    <t>3500035076 - VALVULA ALIVIO NETZSCH NDB4344648/0230</t>
  </si>
  <si>
    <t>SILICONA SELLO INV NETZSCH 100ML</t>
  </si>
  <si>
    <t>3500035076 - SILICONA SELLO INV NETZSCH 100ML</t>
  </si>
  <si>
    <t>CHALECO GEOLOGO VARON ROJO /M</t>
  </si>
  <si>
    <t>3500034990 - CHALECO GEOLOGO VARON ROJO /M</t>
  </si>
  <si>
    <t>3500034990 - POLAR VARON C/MANGA BICOLOR T/M</t>
  </si>
  <si>
    <t>3500034990 - PANTALON MEZCLILLA VARON /44</t>
  </si>
  <si>
    <t>3500034990 - CAMISA TACTEL GRIS VARON T-M</t>
  </si>
  <si>
    <t>3500034989 - CAPUCHON CUBRENUCA VERANO SIN FORRO</t>
  </si>
  <si>
    <t>Pasto sintético 2x5 mts 20 mm</t>
  </si>
  <si>
    <t>3500034977 - Pasto sintético 2x5 mts 20 mm</t>
  </si>
  <si>
    <t>Termómetro de sonda con cable flexible d</t>
  </si>
  <si>
    <t>3500034973 - Termómetro de sonda con cable flexible d</t>
  </si>
  <si>
    <t>Termómetro de sonda</t>
  </si>
  <si>
    <t>3500034973 - Termómetro de sonda</t>
  </si>
  <si>
    <t>Antiparra de seguridad Steelpro K-2 Af G</t>
  </si>
  <si>
    <t>3500034971 - Antiparra de seguridad Steelpro K-2 Af G</t>
  </si>
  <si>
    <t>3500034916 - Óptico Monofocal Fotocromático Volt</t>
  </si>
  <si>
    <t>GAB.h:165 REPISAS</t>
  </si>
  <si>
    <t>3500034911 - GAB.h:165 REPISAS</t>
  </si>
  <si>
    <t>3500034889 - BALACLAVA HW NO WIND</t>
  </si>
  <si>
    <t>3500034889 - CALCETA HW INVIERNO</t>
  </si>
  <si>
    <t>3500034889 - CHALECO GEOLOGO VARON ROJO /XL</t>
  </si>
  <si>
    <t>3500034889 - PRIMERA CAPA MICROPOLAR NEGRO VARON /L</t>
  </si>
  <si>
    <t>3500034889 - PRIMERA CAPA VARON T-L</t>
  </si>
  <si>
    <t>3500034889 - PARKA CORP. C/POLAR DESMONT. VARON /L</t>
  </si>
  <si>
    <t>3500034889 - PANTALON SOFTSHELL VARON T-XL</t>
  </si>
  <si>
    <t>3500034889 - PANTALON MEZCLILLA VARON /48</t>
  </si>
  <si>
    <t>3500034889 - GORRO DE POLAR CORPORATIVO</t>
  </si>
  <si>
    <t>3500034889 - CUELLO POLAR C/ LOGO</t>
  </si>
  <si>
    <t>3500034889 - CAMISA TACTEL GRIS VARON T-L</t>
  </si>
  <si>
    <t>insumos varios, segun estado de EDP mes</t>
  </si>
  <si>
    <t>3500034845 - insumos varios, segun estado de EDP mes</t>
  </si>
  <si>
    <t>LYSOFORM DESINFECTANTE AEROSOL LATA 360</t>
  </si>
  <si>
    <t>3500034833 - LYSOFORM DESINFECTANTE AEROSOL LATA 360</t>
  </si>
  <si>
    <t>ALCOHOL GEL PARA MANOS 3M NEXCARE 1L</t>
  </si>
  <si>
    <t>3500034833 - ALCOHOL GEL PARA MANOS 3M NEXCARE 1L</t>
  </si>
  <si>
    <t>TOALLA DESINFECTANTE VIRUTEX LIMON 90 UN</t>
  </si>
  <si>
    <t>3500034833 - TOALLA DESINFECTANTE VIRUTEX LIMON 90 UN</t>
  </si>
  <si>
    <t>FILTRO 3M 7093C</t>
  </si>
  <si>
    <t>3500034771 - FILTRO 3M 7093C</t>
  </si>
  <si>
    <t>BOTA MINERA DEFENDER DF740 N° 38</t>
  </si>
  <si>
    <t>3500034770 - BOTA MINERA DEFENDER DF740 N° 38</t>
  </si>
  <si>
    <t>3500034770 - BOTA MINERA DEFENDER DF740 N° 42</t>
  </si>
  <si>
    <t>3500034770 - BOTA MINERA DEFENDER DF740 N° 43</t>
  </si>
  <si>
    <t>3500034770 - BOTA MINERA DEFENDER DF740 N° 40</t>
  </si>
  <si>
    <t>BOTA MINERA DEFENDER DF740 N° 39</t>
  </si>
  <si>
    <t>3500034770 - BOTA MINERA DEFENDER DF740 N° 39</t>
  </si>
  <si>
    <t>M3 Gravilla Granulometria de 3/4 a 2"</t>
  </si>
  <si>
    <t>3500034732 - M3 Gravilla Granulometria de 3/4 a 2"</t>
  </si>
  <si>
    <t>Renovación licencia de software SOLIDWOR</t>
  </si>
  <si>
    <t xml:space="preserve">ESPERANDO RECEPCION, FRANCISCO </t>
  </si>
  <si>
    <t>3500034721 - Renovación licencia de software SOLIDWOR</t>
  </si>
  <si>
    <t>Polar Hombre talla XL</t>
  </si>
  <si>
    <t>ENTREGAN 26/06</t>
  </si>
  <si>
    <t>3500034719 - Polar Hombre talla XL</t>
  </si>
  <si>
    <t>Polar Hombre talla L</t>
  </si>
  <si>
    <t>3500034719 - Polar Hombre talla L</t>
  </si>
  <si>
    <t>Polar Hombre talla M</t>
  </si>
  <si>
    <t>3500034719 - Polar Hombre talla M</t>
  </si>
  <si>
    <t>Geólogo talla L</t>
  </si>
  <si>
    <t>3500034719 - Geólogo talla L</t>
  </si>
  <si>
    <t>Geólogo talla M</t>
  </si>
  <si>
    <t>3500034719 - Geólogo talla M</t>
  </si>
  <si>
    <t>Geólogo talla S</t>
  </si>
  <si>
    <t>3500034719 - Geólogo talla S</t>
  </si>
  <si>
    <t>teclados para pc</t>
  </si>
  <si>
    <t>3500034717 - teclados para pc</t>
  </si>
  <si>
    <t>Soporte Alzador aluminio (Notebook)</t>
  </si>
  <si>
    <t>3500034717 - Soporte Alzador aluminio (Notebook)</t>
  </si>
  <si>
    <t>Cajonera c/ 3 cajones</t>
  </si>
  <si>
    <t>3500034716 - Cajonera c/ 3 cajones</t>
  </si>
  <si>
    <t>Silla Tor</t>
  </si>
  <si>
    <t>3500034716 - Silla Tor</t>
  </si>
  <si>
    <t>Gabinete colgante 90x35 x h.42cm</t>
  </si>
  <si>
    <t>3500034716 - Gabinete colgante 90x35 x h.42cm</t>
  </si>
  <si>
    <t>Gabinete colgante 75x35 x h.42cm</t>
  </si>
  <si>
    <t>3500034716 - Gabinete colgante 75x35 x h.42cm</t>
  </si>
  <si>
    <t>3500034715 - BOTIN SEGURIDAD EDELBROCK ED-106 N°43</t>
  </si>
  <si>
    <t>Cable Coaxial RG6</t>
  </si>
  <si>
    <t>3500034702 - Cable Coaxial RG6</t>
  </si>
  <si>
    <t>3500034701 - TRAPOS DE LIMPIEZA, BOLSA DE 1 KG.</t>
  </si>
  <si>
    <t>Bateria Mot DGP8550/8050-DEP550 PMNN4544</t>
  </si>
  <si>
    <t>ESPERANDO MODIFICACION, HENRY</t>
  </si>
  <si>
    <t>3500034692 - Bateria Mot DGP8550/8050-DEP550 PMNN4544</t>
  </si>
  <si>
    <t>MOTOTRBO R5 VHF</t>
  </si>
  <si>
    <t>3500034692 - MOTOTRBO R5 VHF</t>
  </si>
  <si>
    <t xml:space="preserve">ESPERANDO RECEPCION, HENRY </t>
  </si>
  <si>
    <t>3500034622 - Bateria Mot DGP8550/8050-DEP550 PMNN4544</t>
  </si>
  <si>
    <t>Radio Motorola Movil DGM8500</t>
  </si>
  <si>
    <t>3500034622 - Radio Motorola Movil DGM8500</t>
  </si>
  <si>
    <t>3500034613 - PANTALON CARGO TACTEL BEIGE VARON T-48</t>
  </si>
  <si>
    <t>3500034613 - CORTAVIENTO C/POLAR DESMONTABLE VARON/XL</t>
  </si>
  <si>
    <t>CORTAVIENTO C/POLAR DESMONTABLE VARON/L</t>
  </si>
  <si>
    <t>3500034613 - CORTAVIENTO C/POLAR DESMONTABLE VARON/L</t>
  </si>
  <si>
    <t>3500034613 - PANTALON CARGO TACTEL BEIGE VARON T-46</t>
  </si>
  <si>
    <t>3500034613 - CHALECO GEOLOGO AMARILLO-NEGRO VARON /XL</t>
  </si>
  <si>
    <t>CHALECO GEOLOGO AMARILLO-NEGRO VARON /L</t>
  </si>
  <si>
    <t>3500034613 - CHALECO GEOLOGO AMARILLO-NEGRO VARON /L</t>
  </si>
  <si>
    <t>3500034613 - CAMISA TACTEL GRIS VARON T-L</t>
  </si>
  <si>
    <t>FABRICACION LETRERO ABATIBLE</t>
  </si>
  <si>
    <t>3500034612 - FABRICACION LETRERO ABATIBLE</t>
  </si>
  <si>
    <t>CAMISA ANTIACIDO TABACO HOMBRE TALLA L</t>
  </si>
  <si>
    <t>3500034608 - CAMISA ANTIACIDO TABACO HOMBRE TALLA L</t>
  </si>
  <si>
    <t>CAMISA ANTIACIDO AZUL HOMBRE TALLA XXL</t>
  </si>
  <si>
    <t>3500034608 - CAMISA ANTIACIDO AZUL HOMBRE TALLA XXL</t>
  </si>
  <si>
    <t>CAMISA ANTIACIDO AZUL HOMBRE TALLA XL</t>
  </si>
  <si>
    <t>3500034608 - CAMISA ANTIACIDO AZUL HOMBRE TALLA XL</t>
  </si>
  <si>
    <t>COMPRA CONOS NARANJA 36¨¨</t>
  </si>
  <si>
    <t>3500034597 - COMPRA CONOS NARANJA 36¨¨</t>
  </si>
  <si>
    <t>3500034499 - CUELLO POLAR C/ LOGO</t>
  </si>
  <si>
    <t>3500034499 - CALCETA HW INVIERNO</t>
  </si>
  <si>
    <t>GEOLOGO CALOR  EXTRE ROJO MUJER T/M</t>
  </si>
  <si>
    <t>3500034499 - GEOLOGO CALOR  EXTRE ROJO MUJER T/M</t>
  </si>
  <si>
    <t>3500034499 - PRIMERA CAPA MUJER T-M</t>
  </si>
  <si>
    <t>PARKA CORP. C/POLAR DESMONT. DAMA /M</t>
  </si>
  <si>
    <t>3500034499 - PARKA CORP. C/POLAR DESMONT. DAMA /M</t>
  </si>
  <si>
    <t>3500034499 - PANTALON MEZCLILLA DAMA /40</t>
  </si>
  <si>
    <t>PANTALON CARGOTACTEL ELASTICADO MUJER 40</t>
  </si>
  <si>
    <t>3500034499 - PANTALON CARGOTACTEL ELASTICADO MUJER 40</t>
  </si>
  <si>
    <t>CAMISA TACTEL BEIGE DAMA T-M</t>
  </si>
  <si>
    <t>3500034499 - CAMISA TACTEL BEIGE DAMA T-M</t>
  </si>
  <si>
    <t>3500034499 - BALACLAVA HW NO WIND</t>
  </si>
  <si>
    <t>OVEROL GABARDINA ROJO- GRIS MUJER /M</t>
  </si>
  <si>
    <t>3500034499 - OVEROL GABARDINA ROJO- GRIS MUJER /M</t>
  </si>
  <si>
    <t>3500034499 - CAMISA TACTEL GRIS DAMA T-M</t>
  </si>
  <si>
    <t>parka HW New nomade dark shadow TL</t>
  </si>
  <si>
    <t>3500034486 - parka HW New nomade dark shadow TL</t>
  </si>
  <si>
    <t>Parka 3en 1 HW Reno negra TM: hombre</t>
  </si>
  <si>
    <t>3500034486 - Parka 3en 1 HW Reno negra TM: hombre</t>
  </si>
  <si>
    <t>3500034482 - CAMISA TACTEL GRIS VARON T-L</t>
  </si>
  <si>
    <t>3500034482 - POLERA PIQUE M/L GRIS VARON /L</t>
  </si>
  <si>
    <t>3500034482 - PANTALON MEZCLILLA VARON /48</t>
  </si>
  <si>
    <t>3500034482 - POLAR VARON C/MANGA BICOLOR T/L</t>
  </si>
  <si>
    <t>3500034482 - CORTAVIENTO C/POLAR DESMONTABLE VARON/L</t>
  </si>
  <si>
    <t>recarga de cafe nittra</t>
  </si>
  <si>
    <t>3500034443 - recarga de cafe nittra</t>
  </si>
  <si>
    <t>BOMBA SUMERGIBLE PEDROLLO 4SR4/14S</t>
  </si>
  <si>
    <t xml:space="preserve">ENTREGAN 30/06 </t>
  </si>
  <si>
    <t>3500034441 - BOMBA SUMERGIBLE PEDROLLO 4SR4/14S</t>
  </si>
  <si>
    <t>MOTOR SUMERGIBLE PEDROLLO 4PD/2</t>
  </si>
  <si>
    <t>3500034441 - MOTOR SUMERGIBLE PEDROLLO 4PD/2</t>
  </si>
  <si>
    <t>BOMBA SUMERGIBLE PEDROLLO 4SR4/15S</t>
  </si>
  <si>
    <t>3500034441 - BOMBA SUMERGIBLE PEDROLLO 4SR4/15S</t>
  </si>
  <si>
    <t>PANTALON CARGO TACTEL BEIGE VARON T-42</t>
  </si>
  <si>
    <t>3500034364 - PANTALON CARGO TACTEL BEIGE VARON T-42</t>
  </si>
  <si>
    <t>GEOLOGO CALOR  EXTRE AMAR HOMBRE T/XL</t>
  </si>
  <si>
    <t>3500034364 - GEOLOGO CALOR  EXTRE AMAR HOMBRE T/XL</t>
  </si>
  <si>
    <t>GEOLOGO CALOR  EXTRE AMAR HOMBRE T/L</t>
  </si>
  <si>
    <t>3500034364 - GEOLOGO CALOR  EXTRE AMAR HOMBRE T/L</t>
  </si>
  <si>
    <t>GEOLOGO CALOR  EXTRE AMAR HOMBRE T/M</t>
  </si>
  <si>
    <t>3500034364 - GEOLOGO CALOR  EXTRE AMAR HOMBRE T/M</t>
  </si>
  <si>
    <t>GEOLOGO CALOR  EXTRE AMAR HOMBRE T/S</t>
  </si>
  <si>
    <t>3500034364 - GEOLOGO CALOR  EXTRE AMAR HOMBRE T/S</t>
  </si>
  <si>
    <t>3500034364 - CAMISA TACTEL GRIS VARON T-XL</t>
  </si>
  <si>
    <t>3500034364 - CAMISA TACTEL GRIS VARON T-L</t>
  </si>
  <si>
    <t>3500034364 - CAMISA TACTEL GRIS VARON T-M</t>
  </si>
  <si>
    <t>3500034364 - PARKA CORP. C/POLAR DESMONT. VARON /XL</t>
  </si>
  <si>
    <t>3500034364 - PARKA CORP. C/POLAR DESMONT. VARON /L</t>
  </si>
  <si>
    <t>PARKA CORP. C/POLAR DESMONT. VARON /M</t>
  </si>
  <si>
    <t>3500034364 - PARKA CORP. C/POLAR DESMONT. VARON /M</t>
  </si>
  <si>
    <t>3500034364 - PARKA CORP. C/POLAR DESMONT. VARON /S</t>
  </si>
  <si>
    <t>PANTALON CARGO TACTEL BEIGE VARON T-40</t>
  </si>
  <si>
    <t>3500034364 - PANTALON CARGO TACTEL BEIGE VARON T-40</t>
  </si>
  <si>
    <t>3500034364 - PANTALON CARGO TACTEL BEIGE VARON T-48</t>
  </si>
  <si>
    <t>PANTALON CARGO TACTEL BEIGE VARON T-44</t>
  </si>
  <si>
    <t>3500034364 - PANTALON CARGO TACTEL BEIGE VARON T-44</t>
  </si>
  <si>
    <t>3500034364 - CAMISA TACTEL GRIS VARON T-S</t>
  </si>
  <si>
    <t>CUÑA POLIURETANO PARA CAMIONETA</t>
  </si>
  <si>
    <t xml:space="preserve">CUENTA BLOQUEADA </t>
  </si>
  <si>
    <t>3500034360 - CUÑA POLIURETANO PARA CAMIONETA</t>
  </si>
  <si>
    <t>CINTURON LINIERO CUERO 4,5" NP:8203</t>
  </si>
  <si>
    <t>ENTREGAN 15/06</t>
  </si>
  <si>
    <t>3500034358 - CINTURON LINIERO CUERO 4,5" NP:8203</t>
  </si>
  <si>
    <t>3500034358 - LENTE  BOLLE AKA FOTOCROMATICO</t>
  </si>
  <si>
    <t>BOTA BEKINA STEPLITE N°42</t>
  </si>
  <si>
    <t>3500034319 - BOTA BEKINA STEPLITE N°42</t>
  </si>
  <si>
    <t xml:space="preserve">TROVADOR </t>
  </si>
  <si>
    <t>3500034198 - PARKA TÉRMICA ANDESLAND NEGRO HOM L</t>
  </si>
  <si>
    <t>3500034198 - CALCETA HW INVIERNO</t>
  </si>
  <si>
    <t>3500034198 - PRIMERA CAPA VARON T-L</t>
  </si>
  <si>
    <t>3500034197 - CAMISA VARON OXFORD CELESTE T-S</t>
  </si>
  <si>
    <t>3500034197 - CALCETA HW INVIERNO</t>
  </si>
  <si>
    <t>PARKA TÉRMICA ANDESLAND NEGRO HOM S</t>
  </si>
  <si>
    <t>3500034197 - PARKA TÉRMICA ANDESLAND NEGRO HOM S</t>
  </si>
  <si>
    <t>3500034196 - PARKA TÉRMICA ANDESLAND NEGRO HOM L</t>
  </si>
  <si>
    <t>PARKA TÉRMICA ANDESLAND NEGRO HOM M</t>
  </si>
  <si>
    <t>3500034195 - PARKA TÉRMICA ANDESLAND NEGRO HOM M</t>
  </si>
  <si>
    <t>3500034195 - CALCETA HW INVIERNO</t>
  </si>
  <si>
    <t>CHALECO GEOLOGO VARON ROJO /L</t>
  </si>
  <si>
    <t>3500034195 - CHALECO GEOLOGO VARON ROJO /L</t>
  </si>
  <si>
    <t>3500034195 - PRIMERA CAPA VARON T-M</t>
  </si>
  <si>
    <t>INSTANTEL PRO6</t>
  </si>
  <si>
    <t xml:space="preserve">ESPERANDO OC NUEVA </t>
  </si>
  <si>
    <t>3500034143 - INSTANTEL PRO6</t>
  </si>
  <si>
    <t>ShotTrack VoD-305</t>
  </si>
  <si>
    <t>3500034143 - ShotTrack VoD-305</t>
  </si>
  <si>
    <t>OVEROL GABARDINA ROJO- GRIS VARON /XL</t>
  </si>
  <si>
    <t>3500034142 - OVEROL GABARDINA ROJO- GRIS VARON /XL</t>
  </si>
  <si>
    <t>3500034142 - OVEROL GABARDINA ROJO- GRIS VARON /L</t>
  </si>
  <si>
    <t>Adobe Pro Anual (Caso 139079)</t>
  </si>
  <si>
    <t>3500034066 - Adobe Pro Anual (Caso 139079)</t>
  </si>
  <si>
    <t xml:space="preserve">ENTREGAN EN FECHA </t>
  </si>
  <si>
    <t>3500034015 - AIRE COMPRIMIDO SPRAY 400ML WURTH</t>
  </si>
  <si>
    <t>HUINCHAS DE MEDIR</t>
  </si>
  <si>
    <t>3500033946 - HUINCHAS DE MEDIR</t>
  </si>
  <si>
    <t>HUINCHA AISLADORA TEMFLEX 1500 NEGRA</t>
  </si>
  <si>
    <t>3500033945 - HUINCHA AISLADORA TEMFLEX 1500 NEGRA</t>
  </si>
  <si>
    <t>Malla para techumbre 10.0 x 5.0 metros</t>
  </si>
  <si>
    <t>ENTREGAN 08/07</t>
  </si>
  <si>
    <t>3500033940 - Malla para techumbre 10.0 x 5.0 metros</t>
  </si>
  <si>
    <t>Malla para techumbre tela medidas 13.0 x</t>
  </si>
  <si>
    <t>3500033940 - Malla para techumbre tela medidas 13.0 x</t>
  </si>
  <si>
    <t>Roller Blackout Oscura</t>
  </si>
  <si>
    <t>3500033937 - Roller Blackout Oscura</t>
  </si>
  <si>
    <t>BOTA DE SEGURIDAD V-FLEX TALLA: 42</t>
  </si>
  <si>
    <t xml:space="preserve">EN TRANSITO </t>
  </si>
  <si>
    <t>3500033935 - BOTA DE SEGURIDAD V-FLEX TALLA: 42</t>
  </si>
  <si>
    <t>CHALECO GEOLOGO VARON ROJO PLANTA /L</t>
  </si>
  <si>
    <t>3500033891 - CHALECO GEOLOGO VARON ROJO PLANTA /L</t>
  </si>
  <si>
    <t>3500033891 - POLERA PIQUE M/L GRIS VARON /M</t>
  </si>
  <si>
    <t>3500033891 - POLERA PIQUE M/L GRIS VARON /L</t>
  </si>
  <si>
    <t>POLERA PIQUE M/L GRIS VARON /XL</t>
  </si>
  <si>
    <t>3500033891 - POLERA PIQUE M/L GRIS VARON /XL</t>
  </si>
  <si>
    <t>3500033891 - PARKA CORP. C/POLAR DESMONT. VARON /XL</t>
  </si>
  <si>
    <t>3500033891 - PARKA CORP. C/POLAR DESMONT. VARON /L</t>
  </si>
  <si>
    <t>CAMISA TACTEL BLANCA VARON T-XL</t>
  </si>
  <si>
    <t>3500033891 - CAMISA TACTEL BLANCA VARON T-XL</t>
  </si>
  <si>
    <t>CAMISA TACTEL BLANCA VARON T-M</t>
  </si>
  <si>
    <t>3500033891 - CAMISA TACTEL BLANCA VARON T-M</t>
  </si>
  <si>
    <t>3500033891 - PANTALON CARGO TACTEL BEIGE VARON T-48</t>
  </si>
  <si>
    <t>3500033891 - PANTALON CARGO TACTEL BEIGE VARON T-46</t>
  </si>
  <si>
    <t>3500033891 - PANTALON CARGO TACTEL BEIGE VARON T-44</t>
  </si>
  <si>
    <t>3500033891 - PANTALON CARGO GABARDINA GRIS VARON T-48</t>
  </si>
  <si>
    <t>3500033891 - PANTALON CARGO GABARDINA GRIS VARON T-46</t>
  </si>
  <si>
    <t>3500033891 - PANTALON CARGO GABARDINA GRIS VARON T-44</t>
  </si>
  <si>
    <t>CHALECO GEOLOGO VARON ROJO PLANTA /XL</t>
  </si>
  <si>
    <t>3500033891 - CHALECO GEOLOGO VARON ROJO PLANTA /XL</t>
  </si>
  <si>
    <t>CAMISA TACTEL BLANCA VARON T-L</t>
  </si>
  <si>
    <t>3500033891 - CAMISA TACTEL BLANCA VARON T-L</t>
  </si>
  <si>
    <t>Renovación Licencia TeamViewer (Australi</t>
  </si>
  <si>
    <t>3500033834 - Renovación Licencia TeamViewer (Australi</t>
  </si>
  <si>
    <t>RESPIRADOR 3M 7501 SILICONA T-S</t>
  </si>
  <si>
    <t>ENTREGAN 10/06</t>
  </si>
  <si>
    <t>3500033826 - RESPIRADOR 3M 7501 SILICONA T-S</t>
  </si>
  <si>
    <t>3500033826 - ZAPATO NORSEG KATRINA T/ 37</t>
  </si>
  <si>
    <t>ZAPATO NORSEG KATRINA T/ 36</t>
  </si>
  <si>
    <t>3500033826 - ZAPATO NORSEG KATRINA T/ 36</t>
  </si>
  <si>
    <t>3500033826 - CASCO SEG. TOP/GARD BLANCO C/ARNES</t>
  </si>
  <si>
    <t xml:space="preserve">ENTREGAN 09/06 </t>
  </si>
  <si>
    <t>3500033760 - GUANTE ATOX CUT FULL NITRIL H5101 T-10</t>
  </si>
  <si>
    <t>3500033760 - GUANTE ATOX CUT FULL NITRIL H5101 T-9</t>
  </si>
  <si>
    <t>3500033760 - GUANTE ATOX CUT FULL NITRIL H5101 T-8</t>
  </si>
  <si>
    <t>GUANTE ATOX CUT FULL NITRIL H5101 T-7</t>
  </si>
  <si>
    <t>3500033760 - GUANTE ATOX CUT FULL NITRIL H5101 T-7</t>
  </si>
  <si>
    <t>Flujómetro de alta temperatura, que va s</t>
  </si>
  <si>
    <t>PROCESO IMPORTACION</t>
  </si>
  <si>
    <t>3500033742 - Flujómetro de alta temperatura, que va s</t>
  </si>
  <si>
    <t>CUBRE FLANGE ANTIACIDO C/VISOR-pH 3"</t>
  </si>
  <si>
    <t>3500033741 - CUBRE FLANGE ANTIACIDO C/VISOR-pH 3"</t>
  </si>
  <si>
    <t>CUBRE FLANGE ANTIACIDO C/VISOR-pH 2"</t>
  </si>
  <si>
    <t>3500033741 - CUBRE FLANGE ANTIACIDO C/VISOR-pH 2"</t>
  </si>
  <si>
    <t>CUBRE FLANGE ANTIACIDO C/VISOR-pH 1"</t>
  </si>
  <si>
    <t>3500033741 - CUBRE FLANGE ANTIACIDO C/VISOR-pH 1"</t>
  </si>
  <si>
    <t>CUBRE FLANGE ANTIACIDO C/VISOR-pH 1.1/2"</t>
  </si>
  <si>
    <t>3500033741 - CUBRE FLANGE ANTIACIDO C/VISOR-pH 1.1/2"</t>
  </si>
  <si>
    <t>CHASIS CANTER 618 4X4 EURO VI OI: 612893</t>
  </si>
  <si>
    <t xml:space="preserve">ESTAN HACIENDO CAMION </t>
  </si>
  <si>
    <t>3500033701 - CHASIS CANTER 618 4X4 EURO VI OI: 612893</t>
  </si>
  <si>
    <t>Motor iman perm. DC 1HP Dayton 6ML07</t>
  </si>
  <si>
    <t>ENTREGAN 27/08</t>
  </si>
  <si>
    <t>3500033689 - Motor iman perm. DC 1HP Dayton 6ML07</t>
  </si>
  <si>
    <t>Motor iman perm. DC 1/2 HP Dayton 6ML03</t>
  </si>
  <si>
    <t>3500033689 - Motor iman perm. DC 1/2 HP Dayton 6ML03</t>
  </si>
  <si>
    <t>PRIMERA CAPA VARON T-XXL</t>
  </si>
  <si>
    <t>3500033647 - PRIMERA CAPA VARON T-XXL</t>
  </si>
  <si>
    <t>PANTALON BM OUTDOOR HOMBRE T-50</t>
  </si>
  <si>
    <t>3500033647 - PANTALON BM OUTDOOR HOMBRE T-50</t>
  </si>
  <si>
    <t>3500033647 - BALACLAVA HW NO WIND</t>
  </si>
  <si>
    <t>3500033647 - CALCETA HW VERANO</t>
  </si>
  <si>
    <t>3500033647 - CALCETA HW INVIERNO</t>
  </si>
  <si>
    <t>3500033647 - GEOLOGO CALOR  EXTRE ROJO HOMBRE T/XL</t>
  </si>
  <si>
    <t>3500033607 - Óptico Monofocal Fotocromático Volt</t>
  </si>
  <si>
    <t>IF503A Detector inductivo</t>
  </si>
  <si>
    <t>ENTREGAN 09/06</t>
  </si>
  <si>
    <t>3500033604 - IF503A Detector inductivo</t>
  </si>
  <si>
    <t>RM9001 Encóder absoluto multivuelta</t>
  </si>
  <si>
    <t>3500033604 - RM9001 Encóder absoluto multivuelta</t>
  </si>
  <si>
    <t>Chaqueta Ignifuga Antiacido Antiestático</t>
  </si>
  <si>
    <t>3500033584 - Chaqueta Ignifuga Antiacido Antiestático</t>
  </si>
  <si>
    <t xml:space="preserve">ESPERANDO RECEPCION, CAMILA </t>
  </si>
  <si>
    <t>3500033555 - Cylindrical Sintered MetalPowder Filter</t>
  </si>
  <si>
    <t>Soft UV Azul Talla / XL</t>
  </si>
  <si>
    <t>3500033552 - Soft UV Azul Talla / XL</t>
  </si>
  <si>
    <t>Soft UV azul Talla / M</t>
  </si>
  <si>
    <t>3500033552 - Soft UV azul Talla / M</t>
  </si>
  <si>
    <t>Camisa Antiácido Gris Talla / XL</t>
  </si>
  <si>
    <t>3500033552 - Camisa Antiácido Gris Talla / XL</t>
  </si>
  <si>
    <t>Camisa Antiácido Azul Talla / XL</t>
  </si>
  <si>
    <t>3500033552 - Camisa Antiácido Azul Talla / XL</t>
  </si>
  <si>
    <t>Camisa Antiácido Gris Talla / M</t>
  </si>
  <si>
    <t>3500033552 - Camisa Antiácido Gris Talla / M</t>
  </si>
  <si>
    <t>Camisa Antiácido Azul Talla /M</t>
  </si>
  <si>
    <t>3500033552 - Camisa Antiácido Azul Talla /M</t>
  </si>
  <si>
    <t>2 banderas chilenas de 1.30 x 1.80 metro</t>
  </si>
  <si>
    <t>3500033543 - 2 banderas chilenas de 1.30 x 1.80 metro</t>
  </si>
  <si>
    <t>BANDERAS CORPORATIVAS PARA LA PLANTA SAL</t>
  </si>
  <si>
    <t>3500033542 - BANDERAS CORPORATIVAS PARA LA PLANTA SAL</t>
  </si>
  <si>
    <t>Confeccion de 10 mangas camion fabrica c</t>
  </si>
  <si>
    <t>3500033541 - Confeccion de 10 mangas camion fabrica c</t>
  </si>
  <si>
    <t>3500033439 - PANTALON MEZCLILLA DAMA /40</t>
  </si>
  <si>
    <t>3500033438 - PARKA FRIO EXTREMO VARON /L</t>
  </si>
  <si>
    <t>3500033438 - PRIMERA CAPA FRIO EXTREMO HOMBRE T/L</t>
  </si>
  <si>
    <t>3500033438 - PANTALON BM OUTDOOR HOMBRE T-48</t>
  </si>
  <si>
    <t>3500033438 - CUELLO POLAR C/ LOGO</t>
  </si>
  <si>
    <t>3500033438 - CALCETA HW INVIERNO</t>
  </si>
  <si>
    <t>3500033438 - CAMISA TACTEL GRIS VARON T-L</t>
  </si>
  <si>
    <t>3500033431 - Óptico Monofocal Fotocromático Volt</t>
  </si>
  <si>
    <t>MOTORREDUCTOR SEW FAF37 A-B302</t>
  </si>
  <si>
    <t>3500033298 - MOTORREDUCTOR SEW FAF37 A-B302</t>
  </si>
  <si>
    <t>BATERIA 12V 7AH</t>
  </si>
  <si>
    <t xml:space="preserve">ESPERANDO RECEPCION, SERGIO </t>
  </si>
  <si>
    <t>3500033254 - BATERIA 12V 7AH</t>
  </si>
  <si>
    <t>BATERIA 12V 9AH</t>
  </si>
  <si>
    <t>3500033254 - BATERIA 12V 9AH</t>
  </si>
  <si>
    <t>BATERIA 12V CSB</t>
  </si>
  <si>
    <t>3500033254 - BATERIA 12V CSB</t>
  </si>
  <si>
    <t>BATERIA 12V 9A4</t>
  </si>
  <si>
    <t>3500033254 - BATERIA 12V 9A4</t>
  </si>
  <si>
    <t>FALTA RECEPCION</t>
  </si>
  <si>
    <t>3500033232 - CHALECO GEOLOGO VARON ROJO /XXL</t>
  </si>
  <si>
    <t>3500033232 - CHALECO GEOLOGO VARON ROJO /XL</t>
  </si>
  <si>
    <t>3500033204 - PRIMERA CAPA VARON T-XL</t>
  </si>
  <si>
    <t>3500033204 - PANTALON MEZCLILLA VARON /50</t>
  </si>
  <si>
    <t>3500033204 - CHALECO GEOLOGO AMARILLO-NEGRO VARON /XL</t>
  </si>
  <si>
    <t>3500033204 - CAMISA TACTEL BEIGE VARON T-XL</t>
  </si>
  <si>
    <t>3500033204 - CALCETA HW INVIERNO</t>
  </si>
  <si>
    <t>3500033093 - Poleron Micro Polar Premium Negro T/L</t>
  </si>
  <si>
    <t>3500033093 - Camisa Santorini Hombre Beige T/L</t>
  </si>
  <si>
    <t>3500033093 - Camisa Santorini Hombre Azul T/L</t>
  </si>
  <si>
    <t>3500033093 - Pantalon Ollague Hombre T/46</t>
  </si>
  <si>
    <t>3500033093 - Polerón Micro polar Premium Negro Hombre</t>
  </si>
  <si>
    <t>3500033093 - Camisa Algodón Demin Hombre Azul Medio T</t>
  </si>
  <si>
    <t>3500033093 - Camisa Santorini Hombre Beige T/M</t>
  </si>
  <si>
    <t>3500033093 - Camisa Santorini Hombre Azul T/M</t>
  </si>
  <si>
    <t>3500033062 - Óptico Monofocal Fotocromático Volt</t>
  </si>
  <si>
    <t>INTERRUPTOR AUTOMÁTICO 4x32A 10KA</t>
  </si>
  <si>
    <t xml:space="preserve">ENTREGAN ESTA SEMANA </t>
  </si>
  <si>
    <t>3500032936 - INTERRUPTOR AUTOMÁTICO 4x32A 10KA</t>
  </si>
  <si>
    <t>LUMINARIA LED INTERIOR TABLERO</t>
  </si>
  <si>
    <t>3500032936 - LUMINARIA LED INTERIOR TABLERO</t>
  </si>
  <si>
    <t>LUMINARIA EMERGENCIA 6 WATTS</t>
  </si>
  <si>
    <t>3500032936 - LUMINARIA EMERGENCIA 6 WATTS</t>
  </si>
  <si>
    <t>3500032846 - Cylindrical Sintered MetalPowder Filter</t>
  </si>
  <si>
    <t>CAMISA ANTIACIDO AZUL HOMBRE TALLA S</t>
  </si>
  <si>
    <t>3500032710 - CAMISA ANTIACIDO AZUL HOMBRE TALLA S</t>
  </si>
  <si>
    <t>Casquete de seguridad</t>
  </si>
  <si>
    <t>ESPERANDO COTIZACION</t>
  </si>
  <si>
    <t>3500032509 - Casquete de seguridad</t>
  </si>
  <si>
    <t>PELACABLE VISEGRIP CM7</t>
  </si>
  <si>
    <t>3500032498 - PELACABLE VISEGRIP CM7</t>
  </si>
  <si>
    <t>Lente, 3M S1102SGAF SOLUS Sellado Oscuro</t>
  </si>
  <si>
    <t>3500032415 - Lente, 3M S1102SGAF SOLUS Sellado Oscuro</t>
  </si>
  <si>
    <t>PERTIGA 12' COMPLETA</t>
  </si>
  <si>
    <t>3500032386 - PERTIGA 12' COMPLETA</t>
  </si>
  <si>
    <t>Geófonos triaxiales de campo cercano 28</t>
  </si>
  <si>
    <t>3500032364 - Geófonos triaxiales de campo cercano 28</t>
  </si>
  <si>
    <t>3500032363 - Óptico Monofocal Fotocromático Volt</t>
  </si>
  <si>
    <t xml:space="preserve">MODIFICAN, OC </t>
  </si>
  <si>
    <t>3500032328 - GUANTE ANSELL HYFLEX LITE 11-801 N°10</t>
  </si>
  <si>
    <t>3500032328 - GUANTE ANSELL HYFLEX LITE 11-800 N°8</t>
  </si>
  <si>
    <t>3500032328 - GUANTE ANSELL HYFLEX LITE 11-800 N°9</t>
  </si>
  <si>
    <t>ESPERANDO RECEPCION, LOA</t>
  </si>
  <si>
    <t>3500032263 - GUANTES ATOX TECH ULTRATECH FREEZE T.L</t>
  </si>
  <si>
    <t>Módulo avanzado Blastware</t>
  </si>
  <si>
    <t>3500032126 - Módulo avanzado Blastware</t>
  </si>
  <si>
    <t>Geófono Triaxial Borehole Minimate Pro I</t>
  </si>
  <si>
    <t>3500032126 - Geófono Triaxial Borehole Minimate Pro I</t>
  </si>
  <si>
    <t>Adaptador USB</t>
  </si>
  <si>
    <t>3500032126 - Adaptador USB</t>
  </si>
  <si>
    <t>Cable Serial Minimate Pro</t>
  </si>
  <si>
    <t>3500032126 - Cable Serial Minimate Pro</t>
  </si>
  <si>
    <t>Micrófono Minimate Pro Lineal</t>
  </si>
  <si>
    <t>3500032126 - Micrófono Minimate Pro Lineal</t>
  </si>
  <si>
    <t>Geófono Triaxial Minimate Pro ISEE, 2m</t>
  </si>
  <si>
    <t>3500032126 - Geófono Triaxial Minimate Pro ISEE, 2m</t>
  </si>
  <si>
    <t>Minimate Pro 4 Unidad Base</t>
  </si>
  <si>
    <t>3500032126 - Minimate Pro 4 Unidad Base</t>
  </si>
  <si>
    <t>Minimate Pro 6 Unidad Base</t>
  </si>
  <si>
    <t>3500032126 - Minimate Pro 6 Unidad Base</t>
  </si>
  <si>
    <t>3500032114 - CAMISA TACTEL GRIS VARON T-M</t>
  </si>
  <si>
    <t>3500032114 - CAMISA TACTEL GRIS VARON T-L</t>
  </si>
  <si>
    <t>3500032114 - CAMISA TACTEL GRIS VARON T-XL</t>
  </si>
  <si>
    <t>3500032114 - CAMISA TACTEL BEIGE VARON T-M</t>
  </si>
  <si>
    <t>3500032114 - CAMISA TACTEL BEIGE VARON T-L</t>
  </si>
  <si>
    <t>3500032114 - CAMISA TACTEL BEIGE VARON T-XL</t>
  </si>
  <si>
    <t>3500031959 - BOMBA NETZSCH MODELO NWI035DT40</t>
  </si>
  <si>
    <t>CABLE RV-K 90°C 06/1KV 4G25MM2</t>
  </si>
  <si>
    <t>ACTUALIZAR OC ISA</t>
  </si>
  <si>
    <t>3500031937 - CABLE RV-K 90°C 06/1KV 4G25MM2</t>
  </si>
  <si>
    <t>IMPRESION TALONARIOS</t>
  </si>
  <si>
    <t>ENTREGADO 04/05</t>
  </si>
  <si>
    <t>3500031930 - IMPRESION TALONARIOS</t>
  </si>
  <si>
    <t>Escritorios y sillas oficina producción</t>
  </si>
  <si>
    <t>3500031927 - Escritorios y sillas oficina producción</t>
  </si>
  <si>
    <t>Cuerda Rafía de 25kg aprox 18mm Verde,ne</t>
  </si>
  <si>
    <t>ELIMINACION</t>
  </si>
  <si>
    <t>3500031926 - Cuerda Rafía de 25kg aprox 18mm Verde,ne</t>
  </si>
  <si>
    <t>Guante C-SAFE Nitril Azul T-M 100 UN</t>
  </si>
  <si>
    <t xml:space="preserve">ESPERANDO RECEPCION, CATALINA </t>
  </si>
  <si>
    <t>3500031863 - Guante C-SAFE Nitril Azul T-M 100 UN</t>
  </si>
  <si>
    <t>PANTALON CARGOTACTEL ELASTICADO VARON 42</t>
  </si>
  <si>
    <t>3500031608 - PANTALON CARGOTACTEL ELASTICADO VARON 42</t>
  </si>
  <si>
    <t>3500031608 - CAMISA VARON OXFORD CELESTE T-M</t>
  </si>
  <si>
    <t>MANGUERA FLEX.2"X6MT ACOPLE HEMBRA INOX.</t>
  </si>
  <si>
    <t>3500031533 - MANGUERA FLEX.2"X6MT ACOPLE HEMBRA INOX.</t>
  </si>
  <si>
    <t>MANGUERA BOMBEO HELIFLEX 1''X 25 MTS</t>
  </si>
  <si>
    <t>3500031533 - MANGUERA BOMBEO HELIFLEX 1''X 25 MTS</t>
  </si>
  <si>
    <t>MANGUERA FLEX.3"X6MT ACOPLE HEMBRA INOX.</t>
  </si>
  <si>
    <t>3500031533 - MANGUERA FLEX.3"X6MT ACOPLE HEMBRA INOX.</t>
  </si>
  <si>
    <t>BLACK HOSE FOR UBS 32 MM HDP PE100 PN20</t>
  </si>
  <si>
    <t>3500031450 - BLACK HOSE FOR UBS 32 MM HDP PE100 PN20</t>
  </si>
  <si>
    <t>3500031363 - Óptico Monofocal Fotocromático Volt</t>
  </si>
  <si>
    <t>3500031284 - PRIMERA CAPA VARON T-XL</t>
  </si>
  <si>
    <t>3500031284 - CHALECO GEOLOGO AMARILLO-NEGRO VARON /XL</t>
  </si>
  <si>
    <t>PANTALON MEZCLILLA VARON /52</t>
  </si>
  <si>
    <t>3500031284 - PANTALON MEZCLILLA VARON /52</t>
  </si>
  <si>
    <t>3500031284 - CAMISA TACTEL BEIGE VARON T-XL</t>
  </si>
  <si>
    <t>3500031284 - CALCETA HW VERANO</t>
  </si>
  <si>
    <t>3500031218 - Óptico Monofocal Fotocromático Volt</t>
  </si>
  <si>
    <t>GUANTES NITRILO AZUL TALLA L</t>
  </si>
  <si>
    <t xml:space="preserve">ESPERANDO RECEPCIÓN, PAOLA </t>
  </si>
  <si>
    <t>3500031057 - GUANTES NITRILO AZUL TALLA L</t>
  </si>
  <si>
    <t>Dado Tongo Cuadrante Impacto Profesional</t>
  </si>
  <si>
    <t>3500030930 - Dado Tongo Cuadrante Impacto Profesional</t>
  </si>
  <si>
    <t>VALVULA ALIVIO SV60 3/4"x1.1/4"  6.6-9.5</t>
  </si>
  <si>
    <t>ENTREGAN 11/06</t>
  </si>
  <si>
    <t>3500030835 - VALVULA ALIVIO SV60 3/4"x1.1/4"  6.6-9.5</t>
  </si>
  <si>
    <t>VALVULA ALIVIO SV60 3/4"x1.1/4"  4.5-6.5</t>
  </si>
  <si>
    <t>3500030835 - VALVULA ALIVIO SV60 3/4"x1.1/4"  4.5-6.5</t>
  </si>
  <si>
    <t>VALVULA ALIVIO SV60 3/4"x1.1/4" 9,6-16,5</t>
  </si>
  <si>
    <t>3500030835 - VALVULA ALIVIO SV60 3/4"x1.1/4" 9,6-16,5</t>
  </si>
  <si>
    <t>3500030543 - Óptico Monofocal Fotocromático Volt</t>
  </si>
  <si>
    <t>MANGA SILOS (PRODUCTOS YA ENTREGADOS POR</t>
  </si>
  <si>
    <t xml:space="preserve"> </t>
  </si>
  <si>
    <t>3500030383 - MANGA SILOS (PRODUCTOS YA ENTREGADOS POR</t>
  </si>
  <si>
    <t>ARNES RECUBIERTOS 4 ARGOLLAS</t>
  </si>
  <si>
    <t>3500030281 - ARNES RECUBIERTOS 4 ARGOLLAS</t>
  </si>
  <si>
    <t>CAPUCHON CUBRENUCA INVIERNO CON FORRO</t>
  </si>
  <si>
    <t>TRANSPORTES GIL</t>
  </si>
  <si>
    <t>3500030279 - CAPUCHON CUBRENUCA INVIERNO CON FORRO</t>
  </si>
  <si>
    <t>CUBRE NUCA ANTIACIDO DOBLE TELA CASCO</t>
  </si>
  <si>
    <t>3500030234 - CUBRE NUCA ANTIACIDO DOBLE TELA CASCO</t>
  </si>
  <si>
    <t>Teflon</t>
  </si>
  <si>
    <t>3500030231 - Teflon</t>
  </si>
  <si>
    <t>Cinta Aislante Temflex negro</t>
  </si>
  <si>
    <t>3500030231 - Cinta Aislante Temflex negro</t>
  </si>
  <si>
    <t>Cinta masking tape</t>
  </si>
  <si>
    <t>3500030231 - Cinta masking tape</t>
  </si>
  <si>
    <t>Cinta Embalaje</t>
  </si>
  <si>
    <t>3500030231 - Cinta Embalaje</t>
  </si>
  <si>
    <t>3500030076 - VALVULA ALIVIO SV60 3/4"x1.1/4"  6.6-9.5</t>
  </si>
  <si>
    <t>3500030076 - VALVULA ALIVIO SV60 3/4"x1.1/4"  4.5-6.5</t>
  </si>
  <si>
    <t>3500030005 - Óptico Monofocal Fotocromático Volt</t>
  </si>
  <si>
    <t>BOMBA NETZSCH NM031SY01L</t>
  </si>
  <si>
    <t>3500029976 - BOMBA NETZSCH NM031SY01L</t>
  </si>
  <si>
    <t>3500029976 - BOMBA NETZSCH MODELO NWI035DT40</t>
  </si>
  <si>
    <t>CHALECO GEOLOGO VARON ROJO /XXXL</t>
  </si>
  <si>
    <t>3500029856 - CHALECO GEOLOGO VARON ROJO /XXXL</t>
  </si>
  <si>
    <t>3500029856 - PANTALON CARGOTACTEL ELASTICADO VARON 48</t>
  </si>
  <si>
    <t>POLERA PIQUE VARON M/LARGA AZUL T-XXXL</t>
  </si>
  <si>
    <t>3500029856 - POLERA PIQUE VARON M/LARGA AZUL T-XXXL</t>
  </si>
  <si>
    <t>POLERA PIQUE VARON M/LARGA AZUL T-XXL</t>
  </si>
  <si>
    <t>3500029856 - POLERA PIQUE VARON M/LARGA AZUL T-XXL</t>
  </si>
  <si>
    <t>3500029814 - óptico multifocal  COMPACTOR CARRIER</t>
  </si>
  <si>
    <t>Kit Crunch Oil Contingencia Absorcion K3</t>
  </si>
  <si>
    <t>PULLMAN 24000476893</t>
  </si>
  <si>
    <t>3500029673 - Kit Crunch Oil Contingencia Absorcion K3</t>
  </si>
  <si>
    <t>Multigas Detector Altair 5x</t>
  </si>
  <si>
    <t>3500029486 - Multigas Detector Altair 5x</t>
  </si>
  <si>
    <t>Compra Moldes Reciever</t>
  </si>
  <si>
    <t>3500029457 - Compra Moldes Reciever</t>
  </si>
  <si>
    <t>3500029404 - CUELLO POLAR C/ LOGO</t>
  </si>
  <si>
    <t>3500029404 - CALCETA HW INVIERNO</t>
  </si>
  <si>
    <t>3500029404 - PRIMERA CAPA VARON T-L</t>
  </si>
  <si>
    <t>3500029404 - CORTAVIENTO C/POLAR DESMONTABLE VARON/L</t>
  </si>
  <si>
    <t>3500029404 - GEOLOGO CALOR  EXTRE ROJO HOMBRE T/L</t>
  </si>
  <si>
    <t>3500029404 - PANTALON MEZCLILLA VARON /44</t>
  </si>
  <si>
    <t>3500029404 - CAMISA TACTEL GRIS VARON T-L</t>
  </si>
  <si>
    <t>MANGAS CAMION FABRICA</t>
  </si>
  <si>
    <t>3500029024 - MANGAS CAMION FABRICA</t>
  </si>
  <si>
    <t>Cajorena movil 3c42W x 50D x 64H</t>
  </si>
  <si>
    <t>3500029007 - Cajorena movil 3c42W x 50D x 64H</t>
  </si>
  <si>
    <t>Silla ISOSCELES</t>
  </si>
  <si>
    <t>3500029007 - Silla ISOSCELES</t>
  </si>
  <si>
    <t>Silla ERGOPOP</t>
  </si>
  <si>
    <t>3500029007 - Silla ERGOPOP</t>
  </si>
  <si>
    <t>Gabinete bajo H75 75W x 50D 75H</t>
  </si>
  <si>
    <t>3500029007 - Gabinete bajo H75 75W x 50D 75H</t>
  </si>
  <si>
    <t>SLACK ROJO/GRIS GABARDINA MUJER T-L</t>
  </si>
  <si>
    <t>3500028959 - SLACK ROJO/GRIS GABARDINA MUJER T-L</t>
  </si>
  <si>
    <t>SLACK ROJO/GRIS GABARDINA MUJER T-M</t>
  </si>
  <si>
    <t>3500028959 - SLACK ROJO/GRIS GABARDINA MUJER T-M</t>
  </si>
  <si>
    <t>SLACK ROJO/GRIS GABARDINA MUJER T-S</t>
  </si>
  <si>
    <t>3500028959 - SLACK ROJO/GRIS GABARDINA MUJER T-S</t>
  </si>
  <si>
    <t>3500028959 - CAMISA TACTEL GRIS DAMA T-M</t>
  </si>
  <si>
    <t>ANTIPARRA ACTIVEX CHEM BLOCKER GRIS</t>
  </si>
  <si>
    <t xml:space="preserve">RECHAZO </t>
  </si>
  <si>
    <t>3500028871 - ANTIPARRA ACTIVEX CHEM BLOCKER GRIS</t>
  </si>
  <si>
    <t>Filtro 3M D9093CB</t>
  </si>
  <si>
    <t>ESPERANDO RECEPCION, CHRISTAL</t>
  </si>
  <si>
    <t>3500028868 - Filtro 3M D9093CB</t>
  </si>
  <si>
    <t>Geofono campo cercano DATAGEO</t>
  </si>
  <si>
    <t>3500028833 - Geofono campo cercano DATAGEO</t>
  </si>
  <si>
    <t xml:space="preserve">ESPERANDO RECEPCION, GABRIELA </t>
  </si>
  <si>
    <t>3500028492 - LÁMPARA MINERA INALÁMBRICA KL 6000 STEEL</t>
  </si>
  <si>
    <t>SENSOR ULTRASONICO CULM-6 C-ROM 4-20MA</t>
  </si>
  <si>
    <t>3500028261 - SENSOR ULTRASONICO CULM-6 C-ROM 4-20MA</t>
  </si>
  <si>
    <t>ESPERANDO RECEPCIÓN, GABRIELA</t>
  </si>
  <si>
    <t>3500027871 - Óptico Multifocal Fotocromático Volt</t>
  </si>
  <si>
    <t>WILDEN 04-9993-99 AIR KIT 1 1.2"a 2"ASE</t>
  </si>
  <si>
    <t xml:space="preserve">ESPERANDO FECHA DE ENTREGA </t>
  </si>
  <si>
    <t>3500027704 - WILDEN 04-9993-99 AIR KIT 1 1.2"a 2"ASE</t>
  </si>
  <si>
    <t>GUANTES DE SEGURIDAD NINJA SKIN</t>
  </si>
  <si>
    <t>3500027604 - GUANTES DE SEGURIDAD NINJA SKIN</t>
  </si>
  <si>
    <t>Antena Motorola R2 VHF helical PMAD4118</t>
  </si>
  <si>
    <t xml:space="preserve">ESPERANDO RECEPCION, WISTER </t>
  </si>
  <si>
    <t>3500027504 - Antena Motorola R2 VHF helical PMAD4118</t>
  </si>
  <si>
    <t>3500027504 - Bateria Mot DGP8550/8050-DEP550 PMNN4544</t>
  </si>
  <si>
    <t>Pintacal 25 kilos tradicional</t>
  </si>
  <si>
    <t xml:space="preserve">ENVIARON </t>
  </si>
  <si>
    <t>3500027463 - Pintacal 25 kilos tradicional</t>
  </si>
  <si>
    <t>"V. DE BOLA CON ACTUADOR ELECT. 2 1/2""</t>
  </si>
  <si>
    <t>ENTREGAN  03/07</t>
  </si>
  <si>
    <t>3500027460 - "V. DE BOLA CON ACTUADOR ELECT. 2 1/2""</t>
  </si>
  <si>
    <t>"V. DE BOLA CON ACTUADOR ELECT. 1"" "</t>
  </si>
  <si>
    <t>3500027460 - "V. DE BOLA CON ACTUADOR ELECT. 1"" "</t>
  </si>
  <si>
    <t>WILDEN DIAPHR. PUMP 2" XPS820/Will-Flex</t>
  </si>
  <si>
    <t>3500027441 - WILDEN DIAPHR. PUMP 2" XPS820/Will-Flex</t>
  </si>
  <si>
    <t>V. DIAFRAGMA 1/2'' SAFI PVC-U FLANGE</t>
  </si>
  <si>
    <t>3500027365 - V. DIAFRAGMA 1/2'' SAFI PVC-U FLANGE</t>
  </si>
  <si>
    <t>"V. CHECK CPVC 2"" SCH 80 U. AMERICANA"</t>
  </si>
  <si>
    <t>3500027365 - "V. CHECK CPVC 2"" SCH 80 U. AMERICANA"</t>
  </si>
  <si>
    <t>"V. CHECK CPVC 1"" SCH 80 U. AMERICANA"</t>
  </si>
  <si>
    <t>3500027365 - "V. CHECK CPVC 1"" SCH 80 U. AMERICANA"</t>
  </si>
  <si>
    <t>"V. BOLA MANUAL CPVC 3"" U. AMERICANA"</t>
  </si>
  <si>
    <t xml:space="preserve">ENTREGAN PROXIMO </t>
  </si>
  <si>
    <t>3500027365 - "V. BOLA MANUAL CPVC 3"" U. AMERICANA"</t>
  </si>
  <si>
    <t>"V. BOLA MANUAL CPVC 2"" U. AMERICANA"</t>
  </si>
  <si>
    <t>3500027365 - "V. BOLA MANUAL CPVC 2"" U. AMERICANA"</t>
  </si>
  <si>
    <t>"V. BOLA MANUAL CPVC 2 1/2"" U. AMERICAN</t>
  </si>
  <si>
    <t>3500027365 - "V. BOLA MANUAL CPVC 2 1/2"" U. AMERICAN</t>
  </si>
  <si>
    <t>"V. BOLA MANUAL CPVC 1"" U. AMERICANA"</t>
  </si>
  <si>
    <t>3500027365 - "V. BOLA MANUAL CPVC 1"" U. AMERICANA"</t>
  </si>
  <si>
    <t>"V. BOLA MANUAL CPVC 1 1/4"" U. AMERICAN</t>
  </si>
  <si>
    <t>3500027365 - "V. BOLA MANUAL CPVC 1 1/4"" U. AMERICAN</t>
  </si>
  <si>
    <t>VALVULA DE BOLA 1'' CPVC GRIS</t>
  </si>
  <si>
    <t>3500027365 - VALVULA DE BOLA 1'' CPVC GRIS</t>
  </si>
  <si>
    <t>V. DIAFRAGMA 1 1/4'' SAFI PVC-U FLANGE</t>
  </si>
  <si>
    <t>3500027365 - V. DIAFRAGMA 1 1/4'' SAFI PVC-U FLANGE</t>
  </si>
  <si>
    <t>"V. BOLA MANUAL CPVC 1/2"" U. AMERICANA"</t>
  </si>
  <si>
    <t>3500027365 - "V. BOLA MANUAL CPVC 1/2"" U. AMERICANA"</t>
  </si>
  <si>
    <t>TRANSMISOR FLUJO CORIOLIS 100C CM01</t>
  </si>
  <si>
    <t>ENTREGAN 04/09</t>
  </si>
  <si>
    <t>3500027362 - TRANSMISOR FLUJO CORIOLIS 100C CM01</t>
  </si>
  <si>
    <t>M. SALIDAS DIGITALES 6ES7?222-1HH32-0XB0</t>
  </si>
  <si>
    <t>3500027358 - M. SALIDAS DIGITALES 6ES7?222-1HH32-0XB0</t>
  </si>
  <si>
    <t>3500027317 - Óptico Monofocal Fotocromático Volt</t>
  </si>
  <si>
    <t>3500027154 - CINTA AISLADORA VINYL 3M 35 AZUL</t>
  </si>
  <si>
    <t>3500027154 - CINTA AISLADORA VINYL 3M 35 AMARILLA</t>
  </si>
  <si>
    <t>CABLE RV-K MULTI</t>
  </si>
  <si>
    <t>ESPERANDO RECEPCION</t>
  </si>
  <si>
    <t>3500027151 - CABLE RV-K MULTI</t>
  </si>
  <si>
    <t>3500027062 - ARNES RECUBIERTOS 4 ARGOLLAS</t>
  </si>
  <si>
    <t>VALVULA BOLA 1" DE ACERO INOX.</t>
  </si>
  <si>
    <t>3500026843 - VALVULA BOLA 1" DE ACERO INOX.</t>
  </si>
  <si>
    <t>3500026843 - VALVULA BOLA 1/4" DE ACERO INOX.316L</t>
  </si>
  <si>
    <t>3500026843 - VALVULA BOLA 1/2" DE ACERO INOX. 316L</t>
  </si>
  <si>
    <t>Guantes nitrilo</t>
  </si>
  <si>
    <t>3500026753 - Guantes nitrilo</t>
  </si>
  <si>
    <t>Bateria Motorola APX /DGP PMNN4424</t>
  </si>
  <si>
    <t xml:space="preserve">ESPERANDO GUIA </t>
  </si>
  <si>
    <t>3500026052 - Bateria Motorola APX /DGP PMNN4424</t>
  </si>
  <si>
    <t>3500025958 - Óptico Monofocal Fotocromático Volt</t>
  </si>
  <si>
    <t>Llave ajustable francesa 10''</t>
  </si>
  <si>
    <t>3500025951 - Llave ajustable francesa 10''</t>
  </si>
  <si>
    <t>3500025847 - Óptico Multifocal Fotocromático Volt</t>
  </si>
  <si>
    <t>PLOMOS DE  180 GRS. CON GANCHO DE COBRE</t>
  </si>
  <si>
    <t>3500025773 - PLOMOS DE  180 GRS. CON GANCHO DE COBRE</t>
  </si>
  <si>
    <t>3500025687 - Óptico Multifocal Fotocromático Volt</t>
  </si>
  <si>
    <t>3500025410 - Óptico Monofocal Fotocromático Volt</t>
  </si>
  <si>
    <t>PILA EXTER. ELECTRODOS PH HANNA HI740031</t>
  </si>
  <si>
    <t>3500025271 - PILA EXTER. ELECTRODOS PH HANNA HI740031</t>
  </si>
  <si>
    <t>3500025230 - CAMISA TACTEL GRIS VARON T-M</t>
  </si>
  <si>
    <t>3500025230 - CHAQUETA SOFTSHELL VARON T-XL</t>
  </si>
  <si>
    <t>3500025230 - CHAQUETA SOFTSHELL VARON T-L</t>
  </si>
  <si>
    <t>3500025230 - CHAQUETA SOFTSHELL VARON T-M</t>
  </si>
  <si>
    <t>3500025208 - CAMISA VARON OXFORD BLANCA T-M</t>
  </si>
  <si>
    <t>3500025072 - CUBRE NUCA ANTIACIDO DOBLE TELA CASCO</t>
  </si>
  <si>
    <t>BOTON PULSADOR VERDE REFERENCIA LEGRAND</t>
  </si>
  <si>
    <t>3500024866 - BOTON PULSADOR VERDE REFERENCIA LEGRAND</t>
  </si>
  <si>
    <t>Pantallas Interactivas</t>
  </si>
  <si>
    <t>3500024858 - Pantallas Interactivas</t>
  </si>
  <si>
    <t>VALVULA BOLA 3 CUERPOS M10S4RB 1"</t>
  </si>
  <si>
    <t>3500024854 - VALVULA BOLA 3 CUERPOS M10S4RB 1"</t>
  </si>
  <si>
    <t>VALVULA BOLA 3 CUERPOS M10S4RB 1.1/2"</t>
  </si>
  <si>
    <t>3500024854 - VALVULA BOLA 3 CUERPOS M10S4RB 1.1/2"</t>
  </si>
  <si>
    <t>Solicitud Materiales Construcción</t>
  </si>
  <si>
    <t>3500024853 - Solicitud Materiales Construcción</t>
  </si>
  <si>
    <t>TERMOMETRO BIMETALICO 0-150°C BULBO100MM</t>
  </si>
  <si>
    <t>3500024829 - TERMOMETRO BIMETALICO 0-150°C BULBO100MM</t>
  </si>
  <si>
    <t>Camisa Rosada Antiácida Dama T/XL</t>
  </si>
  <si>
    <t>3500024581 - Camisa Rosada Antiácida Dama T/XL</t>
  </si>
  <si>
    <t>Camisa Gris Antiácida Dama T/XL</t>
  </si>
  <si>
    <t>3500024581 - Camisa Gris Antiácida Dama T/XL</t>
  </si>
  <si>
    <t>Camisa Azul UV Soft T/M</t>
  </si>
  <si>
    <t>3500024581 - Camisa Azul UV Soft T/M</t>
  </si>
  <si>
    <t>Camisa Blanca Antiácido T/M Varón</t>
  </si>
  <si>
    <t>3500024581 - Camisa Blanca Antiácido T/M Varón</t>
  </si>
  <si>
    <t>Camisa Azul Antiácido T/M</t>
  </si>
  <si>
    <t>3500024581 - Camisa Azul Antiácido T/M</t>
  </si>
  <si>
    <t>Camisa Gris Antiácida T/XL</t>
  </si>
  <si>
    <t>3500024581 - Camisa Gris Antiácida T/XL</t>
  </si>
  <si>
    <t>Camisa Gris Antiácida T/L</t>
  </si>
  <si>
    <t>3500024581 - Camisa Gris Antiácida T/L</t>
  </si>
  <si>
    <t>Camisa Gris Antiácida T/M</t>
  </si>
  <si>
    <t>3500024581 - Camisa Gris Antiácida T/M</t>
  </si>
  <si>
    <t>3500024580 - CHALECO GEOLOGO VARON ROJO /L</t>
  </si>
  <si>
    <t>3500024580 - PANTALON MEZCLILLA VARON /46</t>
  </si>
  <si>
    <t>3500024580 - CAMISA VARON OXFORD CELESTE T-L</t>
  </si>
  <si>
    <t>CHALECO GEOLOGO AMARILLO-NEGRO DAMA /XL</t>
  </si>
  <si>
    <t>3500024414 - CHALECO GEOLOGO AMARILLO-NEGRO DAMA /XL</t>
  </si>
  <si>
    <t>3500024414 - CHALECO GEOLOGO AMARILLO-NEGRO VARON /L</t>
  </si>
  <si>
    <t>3500024414 - CHALECO GEOLOGO AMARILLO-NEGRO VARON /XL</t>
  </si>
  <si>
    <t>NEUMATICO 245-75R16</t>
  </si>
  <si>
    <t>3500024350 - NEUMATICO 245-75R16</t>
  </si>
  <si>
    <t>Carrete Extensión 4 Metros</t>
  </si>
  <si>
    <t>3500024348 - Carrete Extensión 4 Metros</t>
  </si>
  <si>
    <t>Carrete retractil para aire comprimido</t>
  </si>
  <si>
    <t>3500024168 - Carrete retractil para aire comprimido</t>
  </si>
  <si>
    <t>Hilo Corrido 3/8 de 1.0m de logitud</t>
  </si>
  <si>
    <t>3500023917 - Hilo Corrido 3/8 de 1.0m de logitud</t>
  </si>
  <si>
    <t>3500023915 - CARTUCHO FILTRO 3M D80923</t>
  </si>
  <si>
    <t>PECHERA UNIVERSAL DE LONA NACIONAL.  HLN</t>
  </si>
  <si>
    <t>3500023778 - PECHERA UNIVERSAL DE LONA NACIONAL.  HLN</t>
  </si>
  <si>
    <t>BOTIN DEFENDER DF 920 44 CAFE</t>
  </si>
  <si>
    <t>3500023719 - BOTIN DEFENDER DF 920 44 CAFE</t>
  </si>
  <si>
    <t>Licencias SoftExpert Septiembre 2026</t>
  </si>
  <si>
    <t>3500023476 - Licencias SoftExpert Septiembre 2026</t>
  </si>
  <si>
    <t>Licencias SoftExpert Agosto 2026</t>
  </si>
  <si>
    <t>3500023476 - Licencias SoftExpert Agosto 2026</t>
  </si>
  <si>
    <t>Licencias SoftExpert Diciembre 2026</t>
  </si>
  <si>
    <t>3500023476 - Licencias SoftExpert Diciembre 2026</t>
  </si>
  <si>
    <t>Licencias SoftExpert Noviembre 2026</t>
  </si>
  <si>
    <t>3500023476 - Licencias SoftExpert Noviembre 2026</t>
  </si>
  <si>
    <t>Licencias SoftExpert Octubre 2026</t>
  </si>
  <si>
    <t>3500023476 - Licencias SoftExpert Octubre 2026</t>
  </si>
  <si>
    <t>FILTRO HIDRAULICO SUCCION</t>
  </si>
  <si>
    <t>3500023449 - FILTRO HIDRAULICO SUCCION</t>
  </si>
  <si>
    <t>ELEMTO FILTRO VENTILACION TANQUE HIDR</t>
  </si>
  <si>
    <t>3500023449 - ELEMTO FILTRO VENTILACION TANQUE HIDR</t>
  </si>
  <si>
    <t>FILTRO HIDR TRANSMISION (ELEMENTO)</t>
  </si>
  <si>
    <t>3500023449 - FILTRO HIDR TRANSMISION (ELEMENTO)</t>
  </si>
  <si>
    <t>ELEMENTO FILTRO HIDRAULICO</t>
  </si>
  <si>
    <t>3500023449 - ELEMENTO FILTRO HIDRAULICO</t>
  </si>
  <si>
    <t>KIT FILTROS ADBLUE</t>
  </si>
  <si>
    <t>3500023449 - KIT FILTROS ADBLUE</t>
  </si>
  <si>
    <t>FILTRO DE COMBUSTIBLE</t>
  </si>
  <si>
    <t>3500023449 - FILTRO DE COMBUSTIBLE</t>
  </si>
  <si>
    <t>FILTRO DE PETROLEO</t>
  </si>
  <si>
    <t>3500023449 - FILTRO DE PETROLEO</t>
  </si>
  <si>
    <t>FILTRO DE ACEITE MOTOR</t>
  </si>
  <si>
    <t>3500023449 - FILTRO DE ACEITE MOTOR</t>
  </si>
  <si>
    <t>FILTRO DE AIRE PRINCIPAL</t>
  </si>
  <si>
    <t>3500023449 - FILTRO DE AIRE PRINCIPAL</t>
  </si>
  <si>
    <t>Óptico Bifocal Fotocromático Volt</t>
  </si>
  <si>
    <t>3500023180 - Óptico Bifocal Fotocromático Volt</t>
  </si>
  <si>
    <t>Base Notebook Kensington Smartfit EasyRi</t>
  </si>
  <si>
    <t>3500022707 - Base Notebook Kensington Smartfit EasyRi</t>
  </si>
  <si>
    <t>Apoya Pies Kensington Solemassage 5 Posi</t>
  </si>
  <si>
    <t>3500022707 - Apoya Pies Kensington Solemassage 5 Posi</t>
  </si>
  <si>
    <t>"Sensor Presion 0-25Bar 4-20mA 1/2""NPT"</t>
  </si>
  <si>
    <t>3500022659 - "Sensor Presion 0-25Bar 4-20mA 1/2""NPT"</t>
  </si>
  <si>
    <t>Tubo poliuretano 10mm transparente</t>
  </si>
  <si>
    <t>3500022657 - Tubo poliuretano 10mm transparente</t>
  </si>
  <si>
    <t>Mangas para Silos 37 cm de Ancho por 180</t>
  </si>
  <si>
    <t>3500022599 - Mangas para Silos 37 cm de Ancho por 180</t>
  </si>
  <si>
    <t>Silla Tossy</t>
  </si>
  <si>
    <t>3500022128 - Silla Tossy</t>
  </si>
  <si>
    <t>Gabinete H.165 Repisa 90x50x165 cm</t>
  </si>
  <si>
    <t>3500022128 - Gabinete H.165 Repisa 90x50x165 cm</t>
  </si>
  <si>
    <t>Escritorio Analista Simple Corporativo (</t>
  </si>
  <si>
    <t>3500022128 - Escritorio Analista Simple Corporativo (</t>
  </si>
  <si>
    <t>2u. Kit Mini Starlink Mobile</t>
  </si>
  <si>
    <t>3500021956 - 2u. Kit Mini Starlink Mobile</t>
  </si>
  <si>
    <t>3500021913 - CONO AMARILLO 2 BANDAS PINTADA NEGRA 36"</t>
  </si>
  <si>
    <t>PROTECTOR AUDITIVO T/FONO ADOSA AL CASCO</t>
  </si>
  <si>
    <t xml:space="preserve">ELIMINAR </t>
  </si>
  <si>
    <t>3500021522 - PROTECTOR AUDITIVO T/FONO ADOSA AL CASCO</t>
  </si>
  <si>
    <t>3u. Kit Mini Starlink Mobile</t>
  </si>
  <si>
    <t>3500021177 - 3u. Kit Mini Starlink Mobile</t>
  </si>
  <si>
    <t>PETROLEO DIESEL NUMERO 2</t>
  </si>
  <si>
    <t>3500021073 - PETROLEO DIESEL NUMERO 2</t>
  </si>
  <si>
    <t>3500021070 - PETROLEO DIESEL NUMERO 2</t>
  </si>
  <si>
    <t>BOTA VFLEX V600 BOA THINSULATE TALLA 42</t>
  </si>
  <si>
    <t>3500020902 - BOTA VFLEX V600 BOA THINSULATE TALLA 42</t>
  </si>
  <si>
    <t>3500020227 - PROTECTOR LABIAL</t>
  </si>
  <si>
    <t>UNIDAD REFRIGERACION AMONIACO 1 2520MSC</t>
  </si>
  <si>
    <t>3500020158 - UNIDAD REFRIGERACION AMONIACO 1 2520MSC</t>
  </si>
  <si>
    <t>SILLA EJECUTIVA MODELO TOSSY NEGRA SIN C</t>
  </si>
  <si>
    <t>3500019917 - SILLA EJECUTIVA MODELO TOSSY NEGRA SIN C</t>
  </si>
  <si>
    <t>3500019916 - CINTA AISLADORA VINYL 3M 35 AMARILLA</t>
  </si>
  <si>
    <t>CONO NARANJA 28" DOBLE CINTA REFLECTANTE</t>
  </si>
  <si>
    <t>3500019849 - CONO NARANJA 28" DOBLE CINTA REFLECTANTE</t>
  </si>
  <si>
    <t>Tarjeta Comunic. S7-1200 CB1241(RS485)</t>
  </si>
  <si>
    <t>PULLMAN CARGO</t>
  </si>
  <si>
    <t>3500019788 - Tarjeta Comunic. S7-1200 CB1241(RS485)</t>
  </si>
  <si>
    <t>CAMARA GOPRO HERO 12 BLACK COLOR NEGRO</t>
  </si>
  <si>
    <t>3500019750 - CAMARA GOPRO HERO 12 BLACK COLOR NEGRO</t>
  </si>
  <si>
    <t>CARCASA IMPERMEABLE PARA GOPRO HERO 9/10</t>
  </si>
  <si>
    <t>3500019750 - CARCASA IMPERMEABLE PARA GOPRO HERO 9/10</t>
  </si>
  <si>
    <t>TRIPODE CAMARA CELULAR VIDEO PROFESIONAL</t>
  </si>
  <si>
    <t>3500019750 - TRIPODE CAMARA CELULAR VIDEO PROFESIONAL</t>
  </si>
  <si>
    <t>Ibutton para personal planta spence</t>
  </si>
  <si>
    <t>3500019484 - Ibutton para personal planta spence</t>
  </si>
  <si>
    <t>ESTACION DE TRABAJO</t>
  </si>
  <si>
    <t>3500019046 - ESTACION DE TRABAJO</t>
  </si>
  <si>
    <t>GOLILLA PLANA INOX 5/16"</t>
  </si>
  <si>
    <t>3500019031 - GOLILLA PLANA INOX 5/16"</t>
  </si>
  <si>
    <t>VALVULA PANEL FRONTAL SV-3-M5</t>
  </si>
  <si>
    <t>3500019026 - VALVULA PANEL FRONTAL SV-3-M5</t>
  </si>
  <si>
    <t>PULSADOR ACTUADOR T-22-SW</t>
  </si>
  <si>
    <t>3500019026 - PULSADOR ACTUADOR T-22-SW</t>
  </si>
  <si>
    <t>TUBO DE PLASTICO PUN-4X0,75-BL</t>
  </si>
  <si>
    <t>3500019026 - TUBO DE PLASTICO PUN-4X0,75-BL</t>
  </si>
  <si>
    <t>TUBO DE PLASTICO PUN-6X1-BL</t>
  </si>
  <si>
    <t>3500019026 - TUBO DE PLASTICO PUN-6X1-BL</t>
  </si>
  <si>
    <t>TUBO DE PLASTICO PUN-8X1,25-BL</t>
  </si>
  <si>
    <t>3500019026 - TUBO DE PLASTICO PUN-8X1,25-BL</t>
  </si>
  <si>
    <t>QSM-M5-4-I Racor rápido roscado</t>
  </si>
  <si>
    <t>3500019026 - QSM-M5-4-I Racor rápido roscado</t>
  </si>
  <si>
    <t>QSML-M5-4 Racor rápido roscado en L</t>
  </si>
  <si>
    <t>3500019026 - QSML-M5-4 Racor rápido roscado en L</t>
  </si>
  <si>
    <t>QSM-M7-6-I Racor rápido roscado</t>
  </si>
  <si>
    <t>3500019026 - QSM-M7-6-I Racor rápido roscado</t>
  </si>
  <si>
    <t>FILTRO LF-1/8-D-MINI</t>
  </si>
  <si>
    <t>3500019026 - FILTRO LF-1/8-D-MINI</t>
  </si>
  <si>
    <t>MANÓMETRO DE PRECISIÓN FMAP-63-6-1/4-EN</t>
  </si>
  <si>
    <t>3500019026 - MANÓMETRO DE PRECISIÓN FMAP-63-6-1/4-EN</t>
  </si>
  <si>
    <t>REGULADOR DE PRESION LR-1/8-DB-7-MINI</t>
  </si>
  <si>
    <t>3500019026 - REGULADOR DE PRESION LR-1/8-DB-7-MINI</t>
  </si>
  <si>
    <t>QSL-1/8-8 Racor rápido roscado en L</t>
  </si>
  <si>
    <t>3500019026 - QSL-1/8-8 Racor rápido roscado en L</t>
  </si>
  <si>
    <t>Transporte Luminarias Oficina</t>
  </si>
  <si>
    <t>3500018350 - Transporte Luminarias Oficina</t>
  </si>
  <si>
    <t>Luminaria Oficina Panel LED marco blanco</t>
  </si>
  <si>
    <t>3500018350 - Luminaria Oficina Panel LED marco blanco</t>
  </si>
  <si>
    <t>3500018326 - Óptico Monofocal Fotocromático Volt</t>
  </si>
  <si>
    <t>3500018308 - Bateria Mot DGP8550/8050-DEP550 PMNN4544</t>
  </si>
  <si>
    <t>Cargador Motorola DGP Y DEP550 WPLN4234</t>
  </si>
  <si>
    <t>3500018308 - Cargador Motorola DGP Y DEP550 WPLN4234</t>
  </si>
  <si>
    <t>Habilitacion Licencia Centinela PROLIC-1</t>
  </si>
  <si>
    <t>3500018170 - Habilitacion Licencia Centinela PROLIC-1</t>
  </si>
  <si>
    <t>3500018170 - Radio Motorola Movil DGM8500</t>
  </si>
  <si>
    <t>VALVULA 3 VIAS T/L SS316 3p MACHO/MACHO/</t>
  </si>
  <si>
    <t>3500017893 - VALVULA 3 VIAS T/L SS316 3p MACHO/MACHO/</t>
  </si>
  <si>
    <t>MANGUEROTE MATRIZ 3x15MTS HEMBRA/HEMBRA</t>
  </si>
  <si>
    <t>3500017893 - MANGUEROTE MATRIZ 3x15MTS HEMBRA/HEMBRA</t>
  </si>
  <si>
    <t>MANGUEROTE MATRIZ 3x5MTS HEMBRA/HEMBRA</t>
  </si>
  <si>
    <t>3500017893 - MANGUEROTE MATRIZ 3x5MTS HEMBRA/HEMBRA</t>
  </si>
  <si>
    <t>BALDE TOMA DENSIDAD 1MT3 CON MANGO COLGA</t>
  </si>
  <si>
    <t>3500017873 - BALDE TOMA DENSIDAD 1MT3 CON MANGO COLGA</t>
  </si>
  <si>
    <t>3500017850 - BOTIN SEGURIDAD EDELBROCK ED-106 N°45</t>
  </si>
  <si>
    <t>Huincha aisladora de 18mm x 10 mt VERDE</t>
  </si>
  <si>
    <t>3500017609 - Huincha aisladora de 18mm x 10 mt VERDE</t>
  </si>
  <si>
    <t>Accesorios Industriales Mavic 3 Enterpri</t>
  </si>
  <si>
    <t>3500017337 - Accesorios Industriales Mavic 3 Enterpri</t>
  </si>
  <si>
    <t>3500017162 - Habilitacion Licencia Centinela PROLIC-1</t>
  </si>
  <si>
    <t>3500017127 - CASCO MSA V-GARD CON ARNE COLOR VERDE</t>
  </si>
  <si>
    <t>3500017127 - BUZO DESECHABLE DE PAPEL TYVEK T-XL</t>
  </si>
  <si>
    <t>TUERCA PARLOK M6</t>
  </si>
  <si>
    <t>3500017040 - TUERCA PARLOK M6</t>
  </si>
  <si>
    <t>TUERCA PARLOK M5</t>
  </si>
  <si>
    <t>3500017040 - TUERCA PARLOK M5</t>
  </si>
  <si>
    <t>TORNILLO ALLEN M8 X 45</t>
  </si>
  <si>
    <t>3500017040 - TORNILLO ALLEN M8 X 45</t>
  </si>
  <si>
    <t>TORNILLO ALLEN M5 X 45</t>
  </si>
  <si>
    <t>3500017040 - TORNILLO ALLEN M5 X 45</t>
  </si>
  <si>
    <t>3500016951 - Óptico Monofocal Fotocromático Volt</t>
  </si>
  <si>
    <t>CINTA AISLANTE ROJA 10 MTS X 15MM</t>
  </si>
  <si>
    <t>3500016769 - CINTA AISLANTE ROJA 10 MTS X 15MM</t>
  </si>
  <si>
    <t>3500016714 - GOLILLA PLANA INOX 5/8"</t>
  </si>
  <si>
    <t>3500016714 - GOLILLA PLANA INOX 3/8"</t>
  </si>
  <si>
    <t>PERNO INOX. 3/8" X 2" HILO COMPL.</t>
  </si>
  <si>
    <t>3500016714 - PERNO INOX. 3/8" X 2" HILO COMPL.</t>
  </si>
  <si>
    <t>3500016578 - Óptico Multifocal Fotocromático Volt</t>
  </si>
  <si>
    <t>3500016446 - Óptico Monofocal Fotocromático Volt</t>
  </si>
  <si>
    <t>3500016387 - Óptico Monofocal Fotocromático Volt</t>
  </si>
  <si>
    <t>PRUEBA</t>
  </si>
  <si>
    <t>3500016344 - PRUEBA</t>
  </si>
  <si>
    <t>COMPRA DE AGUA EN BIDON</t>
  </si>
  <si>
    <t>3500016048 - COMPRA DE AGUA EN BIDON</t>
  </si>
  <si>
    <t>3500015935 - ADITIVO P/MOTOR ADBLUE</t>
  </si>
  <si>
    <t>TORNILLO HEXAGONAL M12 X 70</t>
  </si>
  <si>
    <t>3500015934 - TORNILLO HEXAGONAL M12 X 70</t>
  </si>
  <si>
    <t>CASCO SEG. TOP/GARD ROJO C/ARNES</t>
  </si>
  <si>
    <t>3500015542 - CASCO SEG. TOP/GARD ROJO C/ARNES</t>
  </si>
  <si>
    <t>3500015542 - CASCO SEG. TOP/GARD BLANCO C/ARNES</t>
  </si>
  <si>
    <t>CONFECCION DE SGIKERS DE 10cmx15cm.</t>
  </si>
  <si>
    <t>3500015041 - CONFECCION DE SGIKERS DE 10cmx15cm.</t>
  </si>
  <si>
    <t>3500014999 - ELECTRODO 6010  Ø3/32"</t>
  </si>
  <si>
    <t>3500014999 - ELECTRODO 6010  Ø1/8"</t>
  </si>
  <si>
    <t>SAL GRUESA PARA CAMINOS EN NIEVE</t>
  </si>
  <si>
    <t>3500014997 - SAL GRUESA PARA CAMINOS EN NIEVE</t>
  </si>
  <si>
    <t>Microfono Mot sumergible IP57 PMMN4040</t>
  </si>
  <si>
    <t>3500014969 - Microfono Mot sumergible IP57 PMMN4040</t>
  </si>
  <si>
    <t>TRAMPA VAPOR SPIRAX SARCO TDS-52 3/4 NPT</t>
  </si>
  <si>
    <t>3500014863 - TRAMPA VAPOR SPIRAX SARCO TDS-52 3/4 NPT</t>
  </si>
  <si>
    <t>TAPON HILO CORRIENTE HEMBRA 1 PULGADA PV</t>
  </si>
  <si>
    <t>3500014322 - TAPON HILO CORRIENTE HEMBRA 1 PULGADA PV</t>
  </si>
  <si>
    <t>TAPON CON HILO CORRIENTE (HEMBRA) 1 PULG</t>
  </si>
  <si>
    <t>3500014322 - TAPON CON HILO CORRIENTE (HEMBRA) 1 PULG</t>
  </si>
  <si>
    <t>MALLA CUBRE PICK UP</t>
  </si>
  <si>
    <t>3500014322 - MALLA CUBRE PICK UP</t>
  </si>
  <si>
    <t>BARRA ANTIPANICO DT-1200 RA-S INOX</t>
  </si>
  <si>
    <t>3500013473 - BARRA ANTIPANICO DT-1200 RA-S INOX</t>
  </si>
  <si>
    <t>PLETINA DE COBRE 30X5 MM</t>
  </si>
  <si>
    <t>3500013473 - PLETINA DE COBRE 30X5 MM</t>
  </si>
  <si>
    <t>LICENCIA ADOBE ACROBAT PRO (Ticket 12413</t>
  </si>
  <si>
    <t>3500012790 - LICENCIA ADOBE ACROBAT PRO (Ticket 12413</t>
  </si>
  <si>
    <t>SENSOR SICK PFT-FAB016SF2OHCAMSSZ       </t>
  </si>
  <si>
    <t>3500012666 - SENSOR SICK PFT-FAB016SF2OHCAMSSZ       </t>
  </si>
  <si>
    <t>PLANERA VERTICAL A1</t>
  </si>
  <si>
    <t>3500012120 - PLANERA VERTICAL A1</t>
  </si>
  <si>
    <t>Cable coaxial RG6, carrete de 305 mt</t>
  </si>
  <si>
    <t>3500011934 - Cable coaxial RG6, carrete de 305 mt</t>
  </si>
  <si>
    <t>VASO DE PRECIPITADO - POLIPROPILENO 50 M</t>
  </si>
  <si>
    <t>3500011629 - VASO DE PRECIPITADO - POLIPROPILENO 50 M</t>
  </si>
  <si>
    <t>VASO PREC VID 50 C/2110617 (V7370) DURAN</t>
  </si>
  <si>
    <t>3500011629 - VASO PREC VID 50 C/2110617 (V7370) DURAN</t>
  </si>
  <si>
    <t>MATRAZ AFORADO 100 ML (2820181) V3790 HI</t>
  </si>
  <si>
    <t>3500011629 - MATRAZ AFORADO 100 ML (2820181) V3790 HI</t>
  </si>
  <si>
    <t>PROBETA PP 500 ML</t>
  </si>
  <si>
    <t>3500011629 - PROBETA PP 500 ML</t>
  </si>
  <si>
    <t>FRASCO VID 500 ML C/ 2180144 (V2970) DUR</t>
  </si>
  <si>
    <t>3500011629 - FRASCO VID 500 ML C/ 2180144 (V2970) DUR</t>
  </si>
  <si>
    <t>PAPEL PARAFILM 10cms ANCHO x 38mts LARGO</t>
  </si>
  <si>
    <t>3500011629 - PAPEL PARAFILM 10cms ANCHO x 38mts LARGO</t>
  </si>
  <si>
    <t>VASO PREC VID 1000 C/ 2110654 (V7440) DU</t>
  </si>
  <si>
    <t>3500011629 - VASO PREC VID 1000 C/ 2110654 (V7440) DU</t>
  </si>
  <si>
    <t>TIRA REACTIVA PH 100U</t>
  </si>
  <si>
    <t>3500011629 - TIRA REACTIVA PH 100U</t>
  </si>
  <si>
    <t>VASO PRECIPITADO 5L POLIPROPILENO</t>
  </si>
  <si>
    <t>3500011629 - VASO PRECIPITADO 5L POLIPROPILENO</t>
  </si>
  <si>
    <t>EMBUDO VIDRIO</t>
  </si>
  <si>
    <t>3500011629 - EMBUDO VIDRIO</t>
  </si>
  <si>
    <t>casco vguard 950</t>
  </si>
  <si>
    <t>3500010950 - casco vguard 950</t>
  </si>
  <si>
    <t>SOLICITUD DE COMPRA ROPA CORPORATIVA</t>
  </si>
  <si>
    <t>3500010784 - SOLICITUD DE COMPRA ROPA CORPORATIVA</t>
  </si>
  <si>
    <t>TRANSPORTE COLIHUES (El Soldado)</t>
  </si>
  <si>
    <t>3500010314 - TRANSPORTE COLIHUES (El Soldado)</t>
  </si>
  <si>
    <t>COLIHUES DE 1.5 MTS</t>
  </si>
  <si>
    <t>3500010314 - COLIHUES DE 1.5 MTS</t>
  </si>
  <si>
    <t>CONFECCION LETREROS ADHESIVOS</t>
  </si>
  <si>
    <t>3500009489 - CONFECCION LETREROS ADHESIVOS</t>
  </si>
  <si>
    <t>3500008778 - LÁMPARA MINERA INALÁMBRICA KL 6000 STEEL</t>
  </si>
  <si>
    <t>COMPRA DE MOVIL GNSS TRIMBLE r12i flex,</t>
  </si>
  <si>
    <t>3500008755 - COMPRA DE MOVIL GNSS TRIMBLE r12i flex,</t>
  </si>
  <si>
    <t>Lente de seguridad 3M SF402AF-FM SELLADO</t>
  </si>
  <si>
    <t>3500008753 - Lente de seguridad 3M SF402AF-FM SELLADO</t>
  </si>
  <si>
    <t>3500008586 - Óptico Monofocal Fotocromático Volt</t>
  </si>
  <si>
    <t>PORTA RADIO TIPO PECHERA</t>
  </si>
  <si>
    <t>3500008578 - PORTA RADIO TIPO PECHERA</t>
  </si>
  <si>
    <t>Barra conectora de conos extensible Amar</t>
  </si>
  <si>
    <t>3500008164 - Barra conectora de conos extensible Amar</t>
  </si>
  <si>
    <t>Filtros mixtos D9093 3M</t>
  </si>
  <si>
    <t>3500007676 - Filtros mixtos D9093 3M</t>
  </si>
  <si>
    <t>MESA PLEGABLE PARA VEHICULO</t>
  </si>
  <si>
    <t>3500007237 - MESA PLEGABLE PARA VEHICULO</t>
  </si>
  <si>
    <t>PROGRAMACION CONSOLA</t>
  </si>
  <si>
    <t>3500007237 - PROGRAMACION CONSOLA</t>
  </si>
  <si>
    <t>Telecomando cámaras</t>
  </si>
  <si>
    <t>3500007237 - Telecomando cámaras</t>
  </si>
  <si>
    <t>3500007195 - BOTA MINERA DEFENDER DF740 N° 44</t>
  </si>
  <si>
    <t>3500007195 - BOTA MINERA DEFENDER DF740 N° 41</t>
  </si>
  <si>
    <t>COMPRA NO CATALOGADA</t>
  </si>
  <si>
    <t>3500006938 - COMPRA NO CATALOGADA</t>
  </si>
  <si>
    <t>3500006113 - GUANTE ANSELL HYFLEX LITE 11-801 N°9</t>
  </si>
  <si>
    <t>Gabinete Metalico 08 Cajones C/Rueda</t>
  </si>
  <si>
    <t>3500004608 - Gabinete Metalico 08 Cajones C/Rueda</t>
  </si>
  <si>
    <t>Cj Porta Herramientas 5 Cajones Tramonti</t>
  </si>
  <si>
    <t>3500004608 - Cj Porta Herramientas 5 Cajones Tramonti</t>
  </si>
  <si>
    <t>SIEMENS BIRKOSIT 5-5510-0001-00</t>
  </si>
  <si>
    <t>4700162550 - SIEMENS BIRKOSIT 5-5510-0001-00</t>
  </si>
  <si>
    <t>LANZA EXTRACTORA MICROESFERA K20 NOURYON</t>
  </si>
  <si>
    <t>4700162528 - LANZA EXTRACTORA MICROESFERA K20 NOURYON</t>
  </si>
  <si>
    <t>4700162429 - SCRAPER - PLATE B-440  .SERIE: 005144</t>
  </si>
  <si>
    <t>SHIPPING</t>
  </si>
  <si>
    <t>4700162372 - SHIPPING</t>
  </si>
  <si>
    <t>INSURANCE</t>
  </si>
  <si>
    <t>4700162372 - INSURANCE</t>
  </si>
  <si>
    <t>POWER SUPPLY</t>
  </si>
  <si>
    <t>4700162372 - POWER SUPPLY</t>
  </si>
  <si>
    <t>INFRA B50/B100 BATTERY CHARGER</t>
  </si>
  <si>
    <t>4700162372 - INFRA B50/B100 BATTERY CHARGER</t>
  </si>
  <si>
    <t>INFRA B50</t>
  </si>
  <si>
    <t>4700162372 - INFRA B50</t>
  </si>
  <si>
    <t>INFRA C22</t>
  </si>
  <si>
    <t>4700162372 - INFRA C22</t>
  </si>
  <si>
    <t>4700162355 - SHIPPING</t>
  </si>
  <si>
    <t>4700162355 - INSURANCE</t>
  </si>
  <si>
    <t>INFRA SENSOR CABLE 2MT</t>
  </si>
  <si>
    <t>4700162355 - INFRA SENSOR CABLE 2MT</t>
  </si>
  <si>
    <t>INFRA SENSOR CABLE 5MT</t>
  </si>
  <si>
    <t>4700162355 - INFRA SENSOR CABLE 5MT</t>
  </si>
  <si>
    <t>INFRA V12B</t>
  </si>
  <si>
    <t>4700162355 - INFRA V12B</t>
  </si>
  <si>
    <t>INFRA V12</t>
  </si>
  <si>
    <t>4700162355 - INFRA V12</t>
  </si>
  <si>
    <t>4700162355 - INFRA C22</t>
  </si>
  <si>
    <t>4700162308 - SELLO DE POLVO DIA. 100 GRAFITO POS.2</t>
  </si>
  <si>
    <t>4700162308 - FUELLE GR. 1400 LADO DESCARGA POS.9</t>
  </si>
  <si>
    <t>4700162308 - FUELLE NW 1400 LADO SUCCION POS.8</t>
  </si>
  <si>
    <t>4700162303 - FUELLE  GR. 1000  LADO DESCARGA POS.9</t>
  </si>
  <si>
    <t>SEALING CORD PART 64806003</t>
  </si>
  <si>
    <t>4700162282 - SEALING CORD PART 64806003</t>
  </si>
  <si>
    <t>MUELLE N°12 TYPE CVL-10-G 30 MM</t>
  </si>
  <si>
    <t>4700162231 - MUELLE N°12 TYPE CVL-10-G 30 MM</t>
  </si>
  <si>
    <t>MUELLE N°45 TYPE CVC-15-B 2 MM</t>
  </si>
  <si>
    <t>4700162231 - MUELLE N°45 TYPE CVC-15-B 2 MM</t>
  </si>
  <si>
    <t>MUELLE N°92 TYPE CVC-12-F 9 MM</t>
  </si>
  <si>
    <t>4700162231 - MUELLE N°92 TYPE CVC-12-F 9 MM</t>
  </si>
  <si>
    <t>STUD SCREW  PART 10358052</t>
  </si>
  <si>
    <t>4700162208 - STUD SCREW  PART 10358052</t>
  </si>
  <si>
    <t>STUD SCREW  PART Z452-4-003310</t>
  </si>
  <si>
    <t>4700162208 - STUD SCREW  PART Z452-4-003310</t>
  </si>
  <si>
    <t>MAN RIVOLTA G.W.F. 960 Gr. 97000812</t>
  </si>
  <si>
    <t>4700162208 - MAN RIVOLTA G.W.F. 960 Gr. 97000812</t>
  </si>
  <si>
    <t>4700162208 - SEALING CORD PART 64806003</t>
  </si>
  <si>
    <t>SEALING CORD PART 73916000</t>
  </si>
  <si>
    <t>4700162208 - SEALING CORD PART 73916000</t>
  </si>
  <si>
    <t>MAN HYDRAULIC TENSIONING DEVIC 200012212</t>
  </si>
  <si>
    <t>4700162208 - MAN HYDRAULIC TENSIONING DEVIC 200012212</t>
  </si>
  <si>
    <t>DOUBLE THRUST BEARING 140 PART 41 K-4502</t>
  </si>
  <si>
    <t>4700162208 - DOUBLE THRUST BEARING 140 PART 41 K-4502</t>
  </si>
  <si>
    <t>NUT PART 10358482</t>
  </si>
  <si>
    <t>4700162208 - NUT PART 10358482</t>
  </si>
  <si>
    <t>JOURNAL BEARING INSERT 10343419 POS40</t>
  </si>
  <si>
    <t>4700162208 - JOURNAL BEARING INSERT 10343419 POS40</t>
  </si>
  <si>
    <t>62141 - DT5G equipment</t>
  </si>
  <si>
    <t>4700162195 - 62141 - DT5G equipment</t>
  </si>
  <si>
    <t>CUBRE FLANGE CINTA FIJACION  100MM X 50M</t>
  </si>
  <si>
    <t xml:space="preserve">CONSUELO TIENE STATUS </t>
  </si>
  <si>
    <t>4700162103 - CUBRE FLANGE CINTA FIJACION  100MM X 50M</t>
  </si>
  <si>
    <t>INFRA SENSOR CABLE 2M</t>
  </si>
  <si>
    <t>4700162035 - INFRA SENSOR CABLE 2M</t>
  </si>
  <si>
    <t>INFRA SENSOR</t>
  </si>
  <si>
    <t>4700162035 - INFRA SENSOR</t>
  </si>
  <si>
    <t>INFRA T</t>
  </si>
  <si>
    <t>4700162035 - INFRA T</t>
  </si>
  <si>
    <t>INFRA SHIELDED</t>
  </si>
  <si>
    <t>4700162035 - INFRA SHIELDED</t>
  </si>
  <si>
    <t>PANEL SOLAR</t>
  </si>
  <si>
    <t>4700162035 - PANEL SOLAR</t>
  </si>
  <si>
    <t>CABLE TO BOREHOLE</t>
  </si>
  <si>
    <t>4700162035 - CABLE TO BOREHOLE</t>
  </si>
  <si>
    <t>4700162035 - INFRA V12B</t>
  </si>
  <si>
    <t>4700162035 - INFRA V12</t>
  </si>
  <si>
    <t>4700162035 - INSURANCE</t>
  </si>
  <si>
    <t>4700162035 - SHIPPING</t>
  </si>
  <si>
    <t>INFRA B50/B100</t>
  </si>
  <si>
    <t>4700162035 - INFRA B50/B100</t>
  </si>
  <si>
    <t>INFRA B100</t>
  </si>
  <si>
    <t>4700162035 - INFRA B100</t>
  </si>
  <si>
    <t>4700162035 - POWER SUPPLY</t>
  </si>
  <si>
    <t>INFRA SENSOR CABLE 5M</t>
  </si>
  <si>
    <t>4700162035 - INFRA SENSOR CABLE 5M</t>
  </si>
  <si>
    <t>INFRA D10</t>
  </si>
  <si>
    <t>4700162035 - INFRA D10</t>
  </si>
  <si>
    <t>ELEMENTO FILTRO NH3 N° 7X390NX REPARADO</t>
  </si>
  <si>
    <t xml:space="preserve">ESPERANDO RESPUESTA, VICTOR </t>
  </si>
  <si>
    <t>4700162000 - ELEMENTO FILTRO NH3 N° 7X390NX REPARADO</t>
  </si>
  <si>
    <t xml:space="preserve">ESPERANDO PAGO, CRIS </t>
  </si>
  <si>
    <t>4700161995 - ESCALERAS RETRACTILES TK ACIDO Y SOLUC.</t>
  </si>
  <si>
    <t>117.890 KNIFE</t>
  </si>
  <si>
    <t>4700161980 - 117.890 KNIFE</t>
  </si>
  <si>
    <t>329.584 CYLINDER DOUBLE ACTION JAWS G2</t>
  </si>
  <si>
    <t>4700161980 - 329.584 CYLINDER DOUBLE ACTION JAWS G2</t>
  </si>
  <si>
    <t>SET CARBONES TURBO PAN 4 MAT 00007466900</t>
  </si>
  <si>
    <t>4700161918 - SET CARBONES TURBO PAN 4 MAT 00007466900</t>
  </si>
  <si>
    <t xml:space="preserve">IMPORTACION, LITA </t>
  </si>
  <si>
    <t>4700161827 - FLAT GASKET VESSEL 1.4401 3629X3563X4MM</t>
  </si>
  <si>
    <t>Banda transportadora de ruedas de patine</t>
  </si>
  <si>
    <t>ENTREGARON 15/06</t>
  </si>
  <si>
    <t>4700161784 - Banda transportadora de ruedas de patine</t>
  </si>
  <si>
    <t>4700161636 - FLAT GASKET FOR VESSEL PARA R-4501</t>
  </si>
  <si>
    <t>4700161627 - SELLO ENTRADA-SALIDA S-4704  IMP.</t>
  </si>
  <si>
    <t>175.495 PLACA SOPORTE DE ENGRANPADORA</t>
  </si>
  <si>
    <t>4700161626 - 175.495 PLACA SOPORTE DE ENGRANPADORA</t>
  </si>
  <si>
    <t>173.630 RIEL PRENSADOR DE PEGAMENTO</t>
  </si>
  <si>
    <t>4700161626 - 173.630 RIEL PRENSADOR DE PEGAMENTO</t>
  </si>
  <si>
    <t>168.090 PROTECTOR PUNTA DE EXTRUSORA</t>
  </si>
  <si>
    <t>4700161626 - 168.090 PROTECTOR PUNTA DE EXTRUSORA</t>
  </si>
  <si>
    <t>172.045 FUNDA SILICONA DE EXTRUSORA</t>
  </si>
  <si>
    <t>4700161626 - 172.045 FUNDA SILICONA DE EXTRUSORA</t>
  </si>
  <si>
    <t>303.213 LINEAR BEARING 20mm</t>
  </si>
  <si>
    <t>4700161626 - 303.213 LINEAR BEARING 20mm</t>
  </si>
  <si>
    <t>141.552 FILTRO ACEITE CONJ. ENFRIAMIENTO</t>
  </si>
  <si>
    <t>4700161626 - 141.552 FILTRO ACEITE CONJ. ENFRIAMIENTO</t>
  </si>
  <si>
    <t>303.325 SENSOR DE TEMPERATURA EXTRUSORA</t>
  </si>
  <si>
    <t>4700161626 - 303.325 SENSOR DE TEMPERATURA EXTRUSORA</t>
  </si>
  <si>
    <t>302.954 PAR DE CORREAS MAQUINA FILIPAC</t>
  </si>
  <si>
    <t>4700161626 - 302.954 PAR DE CORREAS MAQUINA FILIPAC</t>
  </si>
  <si>
    <t>180.623 HAMMER G2P W2.3X38MM</t>
  </si>
  <si>
    <t>4700161596 - 180.623 HAMMER G2P W2.3X38MM</t>
  </si>
  <si>
    <t>300.090 PNEUMATIC REPAIR KIT BV-100</t>
  </si>
  <si>
    <t>4700161596 - 300.090 PNEUMATIC REPAIR KIT BV-100</t>
  </si>
  <si>
    <t>174.731 ARTICULATIVE GUIDE G3</t>
  </si>
  <si>
    <t>4700161596 - 174.731 ARTICULATIVE GUIDE G3</t>
  </si>
  <si>
    <t>60 Spoolers enrollados en Túnez</t>
  </si>
  <si>
    <t>4700161582 - 60 Spoolers enrollados en Túnez</t>
  </si>
  <si>
    <t>FILTRO DE PETROLEO TIPO VASO 9875K845</t>
  </si>
  <si>
    <t xml:space="preserve">ENTREGADO  </t>
  </si>
  <si>
    <t>4700161521 - FILTRO DE PETROLEO TIPO VASO 9875K845</t>
  </si>
  <si>
    <t>4700161517 - ELEMENTO FILTRO NH3 N° 7X390NX</t>
  </si>
  <si>
    <t>Montz Pak B1-250,202510383734A2, C-4608</t>
  </si>
  <si>
    <t>4700161515 - Montz Pak B1-250,202510383734A2, C-4608</t>
  </si>
  <si>
    <t>Packaging, handling fee an other cost</t>
  </si>
  <si>
    <t>ESPERANDO PAGO, 17/07</t>
  </si>
  <si>
    <t>4700161466 - Packaging, handling fee an other cost</t>
  </si>
  <si>
    <t>Addition of 2 cables (Line Item #3) to G</t>
  </si>
  <si>
    <t>4700161466 - Addition of 2 cables (Line Item #3) to G</t>
  </si>
  <si>
    <t>3 inch, Low Impedance Manganin Stress Ga</t>
  </si>
  <si>
    <t>4700161466 - 3 inch, Low Impedance Manganin Stress Ga</t>
  </si>
  <si>
    <t>Addition of 1 cable (Line Item #3) to Ga</t>
  </si>
  <si>
    <t>4700161466 - Addition of 1 cable (Line Item #3) to Ga</t>
  </si>
  <si>
    <t>3 inch, Element size 0.15in. x 0.15in. c</t>
  </si>
  <si>
    <t>4700161466 - 3 inch, Element size 0.15in. x 0.15in. c</t>
  </si>
  <si>
    <t>43 foot (17m) cable. (A cable assembly w</t>
  </si>
  <si>
    <t>4700161466 - 43 foot (17m) cable. (A cable assembly w</t>
  </si>
  <si>
    <t>A 2-Channel interconnect unit for use wi</t>
  </si>
  <si>
    <t>4700161466 - A 2-Channel interconnect unit for use wi</t>
  </si>
  <si>
    <t>A 2-Channel Piezo Resistive Pulse Power</t>
  </si>
  <si>
    <t>4700161466 - A 2-Channel Piezo Resistive Pulse Power</t>
  </si>
  <si>
    <t>SECCION 1 HE09 SL5858</t>
  </si>
  <si>
    <t xml:space="preserve">ESPERANDO RECEPCION, RIO LOA </t>
  </si>
  <si>
    <t>4700161419 - SECCION 1 HE09 SL5858</t>
  </si>
  <si>
    <t>TEMPORIZADOR OMRON H3CA-A  ESTADO SOLIDO</t>
  </si>
  <si>
    <t xml:space="preserve">PAGO, CONI VICTORIA </t>
  </si>
  <si>
    <t>4700160963 - TEMPORIZADOR OMRON H3CA-A  ESTADO SOLIDO</t>
  </si>
  <si>
    <t>Sigicom para demostraciones</t>
  </si>
  <si>
    <t>4700160503 - Sigicom para demostraciones</t>
  </si>
  <si>
    <t>BOTTOM OUTLET VALVE 1 1/2 " 150 # VBC031</t>
  </si>
  <si>
    <t xml:space="preserve">ENTREGAN SEPTIEMBRE </t>
  </si>
  <si>
    <t>4700160247 - BOTTOM OUTLET VALVE 1 1/2 " 150 # VBC031</t>
  </si>
  <si>
    <t>ALARMA ELIMINACION ELECTROSTATICA PS-Y</t>
  </si>
  <si>
    <t>IMPORTACION, VICTORIA</t>
  </si>
  <si>
    <t>4700160196 - ALARMA ELIMINACION ELECTROSTATICA PS-Y</t>
  </si>
  <si>
    <t>FIBRA OPTICA SENSOR COILER</t>
  </si>
  <si>
    <t>4700159928 - FIBRA OPTICA SENSOR COILER</t>
  </si>
  <si>
    <t>REDUCTOR ENGRANAJE GR-CM818-5-R-140TC</t>
  </si>
  <si>
    <t>PAGO, CONI</t>
  </si>
  <si>
    <t>4700159616 - REDUCTOR ENGRANAJE GR-CM818-5-R-140TC</t>
  </si>
  <si>
    <t>REDUCTOR ENGRANAJE GR-CM824-5-L-180TC</t>
  </si>
  <si>
    <t>4700159616 - REDUCTOR ENGRANAJE GR-CM824-5-L-180TC</t>
  </si>
  <si>
    <t>GREASE RETAINER RING ITEM 32 N° 73 145 M</t>
  </si>
  <si>
    <t>4700158966 - GREASE RETAINER RING ITEM 32 N° 73 145 M</t>
  </si>
  <si>
    <t>PACKING RING TIPO UMOR 2920A/80/65 REF 1</t>
  </si>
  <si>
    <t>4700158966 - PACKING RING TIPO UMOR 2920A/80/65 REF 1</t>
  </si>
  <si>
    <t>JUNTA  C4400 290X310X1</t>
  </si>
  <si>
    <t>4700158966 - JUNTA  C4400 290X310X1</t>
  </si>
  <si>
    <t>GASKET 290X315X1  C4400 ITEM 5</t>
  </si>
  <si>
    <t>4700158966 - GASKET 290X315X1  C4400 ITEM 5</t>
  </si>
  <si>
    <t>DEFLECTOR ITEM 4B N° 39 507 C MAT 1.4305</t>
  </si>
  <si>
    <t>4700158966 - DEFLECTOR ITEM 4B N° 39 507 C MAT 1.4305</t>
  </si>
  <si>
    <t>SHAFT SLEEVE ITEM 4 N° 70411 MAT: 1.4462</t>
  </si>
  <si>
    <t>4700158966 - SHAFT SLEEVE ITEM 4 N° 70411 MAT: 1.4462</t>
  </si>
  <si>
    <t>EMPELLER TIPO UMOR 2902A/80/65 REF 2B SE</t>
  </si>
  <si>
    <t>4700158966 - EMPELLER TIPO UMOR 2902A/80/65 REF 2B SE</t>
  </si>
  <si>
    <t>DRAIN VALVE DN 20 MM. TYPE AV  1/4/95/30</t>
  </si>
  <si>
    <t>4700158966 - DRAIN VALVE DN 20 MM. TYPE AV  1/4/95/30</t>
  </si>
  <si>
    <t>CONTROLLER FLY WEIGHTS ITEM 105 N° 64 21</t>
  </si>
  <si>
    <t>4700158966 - CONTROLLER FLY WEIGHTS ITEM 105 N° 64 21</t>
  </si>
  <si>
    <t>LOCKWASHER MB 10 ITEM 104 P-9207A/B</t>
  </si>
  <si>
    <t>4700158966 - LOCKWASHER MB 10 ITEM 104 P-9207A/B</t>
  </si>
  <si>
    <t>CONTROLLER GUIDE BUSH ITEM 103 N° 67 219</t>
  </si>
  <si>
    <t>4700158966 - CONTROLLER GUIDE BUSH ITEM 103 N° 67 219</t>
  </si>
  <si>
    <t>CONTROLLER BODY ITEM 102 N° 64 218 MAT:</t>
  </si>
  <si>
    <t>4700158966 - CONTROLLER BODY ITEM 102 N° 64 218 MAT:</t>
  </si>
  <si>
    <t>BEARING BUSHING ITEM 23 N° 65 822 A MAT:</t>
  </si>
  <si>
    <t>4700158966 - BEARING BUSHING ITEM 23 N° 65 822 A MAT:</t>
  </si>
  <si>
    <t>IMPELLER HUB TIPO UMOR P-9207A/B</t>
  </si>
  <si>
    <t>4700158966 - IMPELLER HUB TIPO UMOR P-9207A/B</t>
  </si>
  <si>
    <t>COUPLING N-EUPEX A 125 ITEM 44/48 MAT: C</t>
  </si>
  <si>
    <t>4700158966 - COUPLING N-EUPEX A 125 ITEM 44/48 MAT: C</t>
  </si>
  <si>
    <t>LOCKWASHER MB 9 ITEM 54A N° DIN 5406 MAT</t>
  </si>
  <si>
    <t>4700158966 - LOCKWASHER MB 9 ITEM 54A N° DIN 5406 MAT</t>
  </si>
  <si>
    <t>GROOVE NUT KM 9 ITEM 54 N° DIN 981 MAT:</t>
  </si>
  <si>
    <t>4700158966 - GROOVE NUT KM 9 ITEM 54 N° DIN 981 MAT:</t>
  </si>
  <si>
    <t>GROOVE NUT KM 10 ITEM 53  N° DIN 981 MAT</t>
  </si>
  <si>
    <t>4700158966 - GROOVE NUT KM 10 ITEM 53  N° DIN 981 MAT</t>
  </si>
  <si>
    <t>EJE  1,4462 C/ CHAVETA 71 693 W</t>
  </si>
  <si>
    <t>4700158966 - EJE  1,4462 C/ CHAVETA 71 693 W</t>
  </si>
  <si>
    <t>LOCKWASHER MB 8 ITEM 45A N° DIN 5406 MAT</t>
  </si>
  <si>
    <t>4700158966 - LOCKWASHER MB 8 ITEM 45A N° DIN 5406 MAT</t>
  </si>
  <si>
    <t>GROOVE NUT KM 8 ITEM 45 N° DIN 981 MAT:</t>
  </si>
  <si>
    <t>4700158966 - GROOVE NUT KM 8 ITEM 45 N° DIN 981 MAT:</t>
  </si>
  <si>
    <t>RODAMIENTO BOLA 6410-C3</t>
  </si>
  <si>
    <t>4700158966 - RODAMIENTO BOLA 6410-C3</t>
  </si>
  <si>
    <t>SEAL RING 60 FI 13 ITEM 36A N° DIN 5419</t>
  </si>
  <si>
    <t>4700158966 - SEAL RING 60 FI 13 ITEM 36A N° DIN 5419</t>
  </si>
  <si>
    <t>IMPELLER TIPO UMOR 2920A/80/65 REF 2 SER</t>
  </si>
  <si>
    <t>4700158966 - IMPELLER TIPO UMOR 2920A/80/65 REF 2 SER</t>
  </si>
  <si>
    <t>2 Daveyprimer transmitter+1 UPS for ChIL</t>
  </si>
  <si>
    <t>4700158841 - 2 Daveyprimer transmitter+1 UPS for ChIL</t>
  </si>
  <si>
    <t>STRAINER 98775K16 1/2"</t>
  </si>
  <si>
    <t>PROBLEMA CON PAGO</t>
  </si>
  <si>
    <t>4700158631 - STRAINER 98775K16 1/2"</t>
  </si>
  <si>
    <t>No se esta enviando hasta que se pague saldo pendiente de cuenta</t>
  </si>
  <si>
    <t>4700158627 - STRAINER 98775K16 1/2"</t>
  </si>
  <si>
    <t>Compra 60 Spoolers enrollados en Túnez</t>
  </si>
  <si>
    <t>Esperando me ayuden con correo de proveedor (deixi)</t>
  </si>
  <si>
    <t>4700158366 - Compra 60 Spoolers enrollados en Túnez</t>
  </si>
  <si>
    <t>FAB: Fabrica Quadra 28T/TRIEL</t>
  </si>
  <si>
    <t>4700158364 - FAB: Fabrica Quadra 28T/TRIEL</t>
  </si>
  <si>
    <t>MOTOR RL56B 4 (RL0046) 0,09KW 1360RPM</t>
  </si>
  <si>
    <t xml:space="preserve">LLEGO A CHILE </t>
  </si>
  <si>
    <t>4700158254 - MOTOR RL56B 4 (RL0046) 0,09KW 1360RPM</t>
  </si>
  <si>
    <t xml:space="preserve">FINALES DE JULIO </t>
  </si>
  <si>
    <t>4700157655 - ANILLOS RASCHING 20MMX20MM</t>
  </si>
  <si>
    <t>SEALING CORD PART 64796003</t>
  </si>
  <si>
    <t xml:space="preserve">IMPORTACIÓN, LORENA </t>
  </si>
  <si>
    <t>4700157396 - SEALING CORD PART 64796003</t>
  </si>
  <si>
    <t>MAN SEALING CORD  6mm  73917000</t>
  </si>
  <si>
    <t>4700157396 - MAN SEALING CORD  6mm  73917000</t>
  </si>
  <si>
    <t>4700157396 - SEALING CORD PART 64806003</t>
  </si>
  <si>
    <t>FAB: Fab.Q-28T Convertible Energex/TRIEL</t>
  </si>
  <si>
    <t>JORGE GLUSEVIC</t>
  </si>
  <si>
    <t>4700157336 - FAB: Fab.Q-28T Convertible Energex/TRIEL</t>
  </si>
  <si>
    <t>BOTTOM OUTLET VALVE 3" 150 # VBC0310A BO</t>
  </si>
  <si>
    <t>4700156715 - BOTTOM OUTLET VALVE 3" 150 # VBC0310A BO</t>
  </si>
  <si>
    <t>SIEMENS VALVE BASKET 2-8422-0600-00</t>
  </si>
  <si>
    <t>LLEGA 24/04</t>
  </si>
  <si>
    <t>4700156684 - SIEMENS VALVE BASKET 2-8422-0600-00</t>
  </si>
  <si>
    <t>FILTRO DE ACEITE PARA F-8101 A/B</t>
  </si>
  <si>
    <t xml:space="preserve">CARUZ, NECESITA CONSEGUIR INFO </t>
  </si>
  <si>
    <t>4700156502 - FILTRO DE ACEITE PARA F-8101 A/B</t>
  </si>
  <si>
    <t>LINEA DE VIDRIO RO100/0300</t>
  </si>
  <si>
    <t>4700155702 - LINEA DE VIDRIO RO100/0300</t>
  </si>
  <si>
    <t>INSERCIÓN UNLA100</t>
  </si>
  <si>
    <t>4700155702 - INSERCIÓN UNLA100</t>
  </si>
  <si>
    <t>VALVULA MANUAL DN25 VIDRIO ANGUL VEN25/H</t>
  </si>
  <si>
    <t>4700155320 - VALVULA MANUAL DN25 VIDRIO ANGUL VEN25/H</t>
  </si>
  <si>
    <t>FLEXIBLE REFRIGERANTE KS25/500/W</t>
  </si>
  <si>
    <t>Aplazar una semana más desde 30/10</t>
  </si>
  <si>
    <t>4700155317 - FLEXIBLE REFRIGERANTE KS25/500/W</t>
  </si>
  <si>
    <t>FIBRA OPTICA AMPLIFICADOR  COILER</t>
  </si>
  <si>
    <t>4700155042 - FIBRA OPTICA AMPLIFICADOR  COILER</t>
  </si>
  <si>
    <t>305.631 CARDAN SHAFT</t>
  </si>
  <si>
    <t>4700154343 - 305.631 CARDAN SHAFT</t>
  </si>
  <si>
    <t>COMPRA DE EQUIPOS RANGERPRO, GET WEY Y S</t>
  </si>
  <si>
    <t>4700154109 - COMPRA DE EQUIPOS RANGERPRO, GET WEY Y S</t>
  </si>
  <si>
    <t>100 Módulos Edge para RoboPrimer</t>
  </si>
  <si>
    <t>4700152428 - 100 Módulos Edge para RoboPrimer</t>
  </si>
  <si>
    <t>CARRERA DE ALUMINIO LARGO 120",ANCHO 12"</t>
  </si>
  <si>
    <t xml:space="preserve">RECEPCIONADO </t>
  </si>
  <si>
    <t>4700147358 - CARRERA DE ALUMINIO LARGO 120",ANCHO 12"</t>
  </si>
  <si>
    <t>DTC PROT EDGE MODULE</t>
  </si>
  <si>
    <t>RECHAZO, VER</t>
  </si>
  <si>
    <t>4700144574 - DTC PROT EDGE MODULE</t>
  </si>
  <si>
    <t>GROOVED NUT KM14 MTA. ST11H P-9101AB</t>
  </si>
  <si>
    <t xml:space="preserve">ATRASO ESPERANDO RESPUESTA </t>
  </si>
  <si>
    <t>4700143367 - GROOVED NUT KM14 MTA. ST11H P-9101AB</t>
  </si>
  <si>
    <t>KIT UNION FLEX CONSOLA FABRICA/CHASIS</t>
  </si>
  <si>
    <t>4502702581 - KIT UNION FLEX CONSOLA FABRICA/CHASIS</t>
  </si>
  <si>
    <t>NEUMATICO 1200 X 24 TRACCIONAL 24,5MM</t>
  </si>
  <si>
    <t>4502702534 - NEUMATICO 1200 X 24 TRACCIONAL 24,5MM</t>
  </si>
  <si>
    <t>Compresor A/C Camión Hiunday FEEDER-M4</t>
  </si>
  <si>
    <t>4502702527 - Compresor A/C Camión Hiunday FEEDER-M4</t>
  </si>
  <si>
    <t>4502702263 - PERNO INOX 5/8" x 3"  C/TUERCA</t>
  </si>
  <si>
    <t>Termo liquido evry night 500ml a/inoxida</t>
  </si>
  <si>
    <t>4502702197 - Termo liquido evry night 500ml a/inoxida</t>
  </si>
  <si>
    <t>GUANTES NITRILO AZUL T.M</t>
  </si>
  <si>
    <t>4502702184 - GUANTES NITRILO AZUL T.M</t>
  </si>
  <si>
    <t>Fabricación de Cilindro para Garra</t>
  </si>
  <si>
    <t>4502702089 - Fabricación de Cilindro para Garra</t>
  </si>
  <si>
    <t>Fabricación de Cilindro para Balde Volte</t>
  </si>
  <si>
    <t>4502702089 - Fabricación de Cilindro para Balde Volte</t>
  </si>
  <si>
    <t>4502702087 - PINTURA SPRAY 475 CC COLOR NARANJA</t>
  </si>
  <si>
    <t>FILTRO HIDRAULICO HF-6710  -  LFP-449</t>
  </si>
  <si>
    <t>4502702050 - FILTRO HIDRAULICO HF-6710  -  LFP-449</t>
  </si>
  <si>
    <t>Radiador Motor Camión HINO</t>
  </si>
  <si>
    <t>4502702038 - Radiador Motor Camión HINO</t>
  </si>
  <si>
    <t>4502702026 - SILLA MIRROR</t>
  </si>
  <si>
    <t>V-Gard® 950 Class 2</t>
  </si>
  <si>
    <t>4502701967 - V-Gard® 950 Class 2</t>
  </si>
  <si>
    <t>4502701961 - LIJA AL AGUA NR. 120 FINA</t>
  </si>
  <si>
    <t>4502701961 - ESLINGA PARA 4 TON., 4 MTS. LARGO</t>
  </si>
  <si>
    <t>4502701955 - ESLINGA DOBLE TELA ANCHO 50MM LARGO 2,0M</t>
  </si>
  <si>
    <t>4502701955 - ESLINGA DOBLE TELA ANCHO 50MM LARGO 3MT</t>
  </si>
  <si>
    <t>LIMPIAPIES DE FIBRA DE COCO 40 * 70 CMS.</t>
  </si>
  <si>
    <t>4502701890 - LIMPIAPIES DE FIBRA DE COCO 40 * 70 CMS.</t>
  </si>
  <si>
    <t>BIN PLASTICO 1000 L C/REJILLA PROTECTORA</t>
  </si>
  <si>
    <t>4502701880 - BIN PLASTICO 1000 L C/REJILLA PROTECTORA</t>
  </si>
  <si>
    <t>4502701857 - MALLA SS304L 3000X1000 MESH 15X15X3MM</t>
  </si>
  <si>
    <t>4502701850 - SELLO PLASTICO SEM30 C-036 AZUL O BLANCO</t>
  </si>
  <si>
    <t>CONO AMARILLO/NEGRO 28"</t>
  </si>
  <si>
    <t>4502701827 - CONO AMARILLO/NEGRO 28"</t>
  </si>
  <si>
    <t>4502701819 - JAULA MODULAR CAPACIDAD 40 CILINDRO</t>
  </si>
  <si>
    <t>4502701800 - BAHCO 808061 JGO. DESTORNILLADORES 1000V</t>
  </si>
  <si>
    <t>LICENCIA GBCLOUD LOS COLORADOS</t>
  </si>
  <si>
    <t>4502701793 - LICENCIA GBCLOUD LOS COLORADOS</t>
  </si>
  <si>
    <t>LICENCIA GBCLOUD CNN</t>
  </si>
  <si>
    <t>4502701793 - LICENCIA GBCLOUD CNN</t>
  </si>
  <si>
    <t>LICENCIA GBCLOUD EL ROMERAL</t>
  </si>
  <si>
    <t>4502701793 - LICENCIA GBCLOUD EL ROMERAL</t>
  </si>
  <si>
    <t>4502701790 - CANDADO FORJADO 40 MM</t>
  </si>
  <si>
    <t>4502701790 - BROCHA PLANA 2"</t>
  </si>
  <si>
    <t>4502701784 - MORTERO SIKA ABRAROCK CL SACO 25KG</t>
  </si>
  <si>
    <t>4502701765 - CAÑERIA GALVANIZADA A53 HILO 1" NPT</t>
  </si>
  <si>
    <t>Chaqueta mujer dayBreack B-Dery  XXL</t>
  </si>
  <si>
    <t>4502701756 - Chaqueta mujer dayBreack B-Dery  XXL</t>
  </si>
  <si>
    <t>CHAQUETA LIVIANA ANTIACIDA VISITA T 2XL</t>
  </si>
  <si>
    <t>4502701745 - CHAQUETA LIVIANA ANTIACIDA VISITA T 2XL</t>
  </si>
  <si>
    <t>CHAQUETA LIVIANA ANTIACIDA VISITA T XL</t>
  </si>
  <si>
    <t>4502701745 - CHAQUETA LIVIANA ANTIACIDA VISITA T XL</t>
  </si>
  <si>
    <t>CHAQUETA LIVIANA ANTIACIDA VISITA T L</t>
  </si>
  <si>
    <t>4502701745 - CHAQUETA LIVIANA ANTIACIDA VISITA T L</t>
  </si>
  <si>
    <t>CHAQUETA LIVIANA ANTIACIDA VISITA T M</t>
  </si>
  <si>
    <t>4502701745 - CHAQUETA LIVIANA ANTIACIDA VISITA T M</t>
  </si>
  <si>
    <t>CHAQUETA LIVIANA ANTIACIDA VISITA T S</t>
  </si>
  <si>
    <t>4502701745 - CHAQUETA LIVIANA ANTIACIDA VISITA T S</t>
  </si>
  <si>
    <t>ETIQUETAS AUTOD. P/IMPRESORA MARCA ZEBRA</t>
  </si>
  <si>
    <t>4502701707 - ETIQUETAS AUTOD. P/IMPRESORA MARCA ZEBRA</t>
  </si>
  <si>
    <t>Chaleco geologo rojo impermeable Enaex</t>
  </si>
  <si>
    <t>4502701590 - Chaleco geologo rojo impermeable Enaex</t>
  </si>
  <si>
    <t>Suministro Mangueras Hidráulicas Jomial</t>
  </si>
  <si>
    <t>4502701444 - Suministro Mangueras Hidráulicas Jomial</t>
  </si>
  <si>
    <t>4502701443 - Suministro Mangueras Hidráulicas Jomial</t>
  </si>
  <si>
    <t>4502701441 - ORING CUERPO FKM P 6855 ABCDEF</t>
  </si>
  <si>
    <t>ASE:ARMADO BOMBA BOWIE ASE</t>
  </si>
  <si>
    <t>4502701440 - ASE:ARMADO BOMBA BOWIE ASE</t>
  </si>
  <si>
    <t>BS: SENSOR EMULSIÓN LLT100/ABB</t>
  </si>
  <si>
    <t>4502701438 - BS: SENSOR EMULSIÓN LLT100/ABB</t>
  </si>
  <si>
    <t>4502701432 - RUEDA PU GIRATORIA CON FRENO 100MM DIAM.</t>
  </si>
  <si>
    <t>4502701415 - AMARRAS PLASTICAS 4,8 X 200 MM</t>
  </si>
  <si>
    <t>4502701400 - LIMPIA CONTACTOS SPRAY</t>
  </si>
  <si>
    <t>4502701390 - INTERRUPTOR BTICINO MAGIC 5001 9/12 16A</t>
  </si>
  <si>
    <t>PINO SECO CEP. C/NIMF-15  -  1X3X320</t>
  </si>
  <si>
    <t>4502701382 - PINO SECO CEP. C/NIMF-15  -  1X3X320</t>
  </si>
  <si>
    <t>PINO SECO CEP. C/NIMF-15  -  2X3X320</t>
  </si>
  <si>
    <t>4502701382 - PINO SECO CEP. C/NIMF-15  -  2X3X320</t>
  </si>
  <si>
    <t>TERCIADO 18 MM C/NIMF-15   - 55,5X85 CMS</t>
  </si>
  <si>
    <t>4502701382 - TERCIADO 18 MM C/NIMF-15   - 55,5X85 CMS</t>
  </si>
  <si>
    <t>TERCIADO 18 MM C/NIMF-15   -  54X85 CMS</t>
  </si>
  <si>
    <t>4502701382 - TERCIADO 18 MM C/NIMF-15   -  54X85 CMS</t>
  </si>
  <si>
    <t>TERCIADO 18 MM C/NIMF-15   -  58X85 CMS</t>
  </si>
  <si>
    <t>4502701382 - TERCIADO 18 MM C/NIMF-15   -  58X85 CMS</t>
  </si>
  <si>
    <t>TERCIADO 18 MM C/NIMF-15   -  54X54 CMS</t>
  </si>
  <si>
    <t>4502701382 - TERCIADO 18 MM C/NIMF-15   -  54X54 CMS</t>
  </si>
  <si>
    <t>4502701330 - CINTA AISLADORA VINYL 3M 35 VERDE</t>
  </si>
  <si>
    <t>4502701319 - BALIZA SOLAR MARINA LED MOD. M650H AMBAR</t>
  </si>
  <si>
    <t>4502701298 - CINTA AISLADORA DE GOMA AUTOFUNDENTE 3M</t>
  </si>
  <si>
    <t>4502701298 - CANDADO BLOQUEO ROJO</t>
  </si>
  <si>
    <t>PERTIGA FULL LED COMPLETO 10 PIES</t>
  </si>
  <si>
    <t>4502701295 - PERTIGA FULL LED COMPLETO 10 PIES</t>
  </si>
  <si>
    <t>ACEITE SINTETICO 28G23 AEON TM PD</t>
  </si>
  <si>
    <t>4502701285 - ACEITE SINTETICO 28G23 AEON TM PD</t>
  </si>
  <si>
    <t>4502701278 - PANEL SOLAR</t>
  </si>
  <si>
    <t>BALIZA SOLAR</t>
  </si>
  <si>
    <t>4502701278 - BALIZA SOLAR</t>
  </si>
  <si>
    <t>TETRAPODO PORTA SENSORES</t>
  </si>
  <si>
    <t>4502701278 - TETRAPODO PORTA SENSORES</t>
  </si>
  <si>
    <t>4502701172 - BOTIN SEGURIDAD VFLEX V-100 N°44</t>
  </si>
  <si>
    <t>4502701166 - CATAVIENTO 2,4 M</t>
  </si>
  <si>
    <t>4502701158 - TAMBOR ELANILLADO 60 LITROS</t>
  </si>
  <si>
    <t>4502701155 - LINTERNA RECARGABLE TK20R FENIX</t>
  </si>
  <si>
    <t>Impresora Officejet 9130</t>
  </si>
  <si>
    <t>4502701141 - Impresora Officejet 9130</t>
  </si>
  <si>
    <t>4502701129 - ENCHUFE MACHO VOLANTE 2 * 16 A. + TIERRA</t>
  </si>
  <si>
    <t>4502701108 - SOFT START SMC3 85 a 200-480V 150-C85NBD</t>
  </si>
  <si>
    <t>4502701107 - BOTIN SEGURIDAD EDELBROCK ED-106 N°44</t>
  </si>
  <si>
    <t>4502701081 - PT-100 SIMPLE, BULBO 1/4" COD.101243</t>
  </si>
  <si>
    <t>CARTRIDGE SOLVENTE IMPRESORA HANJET</t>
  </si>
  <si>
    <t>4502700717 - CARTRIDGE SOLVENTE IMPRESORA HANJET</t>
  </si>
  <si>
    <t>ENTREGAN 21/07</t>
  </si>
  <si>
    <t>4502700709 - FILTRO DE CARTUCHO 5 MICR. DE 2,5" X 30"</t>
  </si>
  <si>
    <t>4502700700 - Panel HMI  2711P--T10C21D8S</t>
  </si>
  <si>
    <t>4502700694 - SKF OBTURADOR . MODEL: TSNA-511-L</t>
  </si>
  <si>
    <t>4502700688 - TUBO LED T8 1200MM 6500K 1600LM 16W FRIA</t>
  </si>
  <si>
    <t>4502700686 - PAPEL LIMPIEZA TORK MOD. 420 A 1X525MTS</t>
  </si>
  <si>
    <t>4502700674 - DISCO CORTE SS Ø7" E=1/16"</t>
  </si>
  <si>
    <t>PROTECTORES AUDITIVOS 3M 1110 CORDON</t>
  </si>
  <si>
    <t>4502700673 - PROTECTORES AUDITIVOS 3M 1110 CORDON</t>
  </si>
  <si>
    <t>4502700666 - ABSORVENTE VEGETAL BOLSA 5KG</t>
  </si>
  <si>
    <t>4502700652 - Nitrato de Plata</t>
  </si>
  <si>
    <t>4502700652 - Nitrato de Potasio</t>
  </si>
  <si>
    <t>4502700649 - Colihues 1.5 metros</t>
  </si>
  <si>
    <t>4502700637 - HIDROXIDO DE SODIO P.A. EN LENTEJAS</t>
  </si>
  <si>
    <t>4502700636 - BUFFER DE SOLUCION PH 10,0</t>
  </si>
  <si>
    <t>4502700627 - Fenolftaleina</t>
  </si>
  <si>
    <t>MERCK INDICADOR MIXTO 5 (ENV. 250ML)</t>
  </si>
  <si>
    <t>4502700623 - MERCK INDICADOR MIXTO 5 (ENV. 250ML)</t>
  </si>
  <si>
    <t>Tartrato de Sodio, estándar de humedad</t>
  </si>
  <si>
    <t>4502700623 - Tartrato de Sodio, estándar de humedad</t>
  </si>
  <si>
    <t>Pasta Térmica Arctic Mx-6, 4 Gramos.</t>
  </si>
  <si>
    <t>4502700604 - Pasta Térmica Arctic Mx-6, 4 Gramos.</t>
  </si>
  <si>
    <t>KTL-TN432E/32G Kingston 32GB DDR4 3200MT</t>
  </si>
  <si>
    <t>4502700604 - KTL-TN432E/32G Kingston 32GB DDR4 3200MT</t>
  </si>
  <si>
    <t>Samsung 970 EVO Plus NVMe M.2 2TB</t>
  </si>
  <si>
    <t>4502700604 - Samsung 970 EVO Plus NVMe M.2 2TB</t>
  </si>
  <si>
    <t>4502700602 - ACIDO SULFURICO P.A.</t>
  </si>
  <si>
    <t>4502700545 - SOLENOIDE 12 VOLTS</t>
  </si>
  <si>
    <t>BIDON POLIETILENO PEAD/HDPE 25LT. C/TAPA</t>
  </si>
  <si>
    <t>4502700531 - BIDON POLIETILENO PEAD/HDPE 25LT. C/TAPA</t>
  </si>
  <si>
    <t>4502700529 - BIDON PLASTICO DE 20 LTS.</t>
  </si>
  <si>
    <t>4502700506 - TERMINAL ARGOLLA AZUL  REF C-01-509  3M</t>
  </si>
  <si>
    <t>4502700498 - MOTOR PASO A PASO [RS 535-0445] 1.89Nm</t>
  </si>
  <si>
    <t>4502700498 - AC SERVO MOTOR FANUC BIS 12/3000HV</t>
  </si>
  <si>
    <t>4502700498 - MOTOR/ REDUCTOR BONFIGLIOLI BN90S4</t>
  </si>
  <si>
    <t>4502700357 - CINTA AISLADORA VINYL 3M 35 NEGRA</t>
  </si>
  <si>
    <t>4502700357 - HEBILLA BAND IT DE 1/2"</t>
  </si>
  <si>
    <t>4502700357 - AJUSTE GOMA UNION CAMLOCK DE 2-1/2"</t>
  </si>
  <si>
    <t>4502700357 - CHAVETA P/OREJA ACOPLE CAMLOCK</t>
  </si>
  <si>
    <t>4502700357 - CINTA BAND IT DE 3/4" ACERO INOX. (ROLLO</t>
  </si>
  <si>
    <t>VASELINA (WHITE PETROLATUM)</t>
  </si>
  <si>
    <t>4502700355 - VASELINA (WHITE PETROLATUM)</t>
  </si>
  <si>
    <t>4502700349 - FAROL LED AMBAR 2.1/2" DIAM.</t>
  </si>
  <si>
    <t>4502700348 - REACTIVO COMBITITRANT 5 KARL FICHER</t>
  </si>
  <si>
    <t>4502700348 - CLOROFORMO   P.A.</t>
  </si>
  <si>
    <t>4502700348 - PEPEL INDIC. ROLLO PH1-14 C/ESC. A COLOR</t>
  </si>
  <si>
    <t>4502700340 - BOTON PARADA EMERGENCIA LEGRAND 24458</t>
  </si>
  <si>
    <t>4502700312 - EMPAQUETADURA TEFLON 2" 300# ESPESOR 1/1</t>
  </si>
  <si>
    <t>4502700312 - EMPAQUETADURA TEFLON 1" 300# ESPESOR 1/1</t>
  </si>
  <si>
    <t>4502700312 - JUNTA TEFLON 1.1/2 X 150 LBS.</t>
  </si>
  <si>
    <t>4502700308 - FLUJOMETRO GPI 3/4" INOXIDABLE</t>
  </si>
  <si>
    <t>4502700308 - FLUJOMETRO GPI 1/2" INOXIDABLE</t>
  </si>
  <si>
    <t>EMPAQUETADURA AGI/316L/316L/FG DE 4" 300</t>
  </si>
  <si>
    <t>4502700306 - EMPAQUETADURA AGI/316L/316L/FG DE 4" 300</t>
  </si>
  <si>
    <t>4502700299 - SPIRAL  CGI Ø6"X150LB 304/FG304/304</t>
  </si>
  <si>
    <t>4502700299 - SPIRAL CGI Ø4"X150LB 304/FG304/304</t>
  </si>
  <si>
    <t>4502700299 - SPIRAL CGI Ø4"X150LB 304/PTFE304/304</t>
  </si>
  <si>
    <t>4502700299 - JUNTA SS 304L 352X328X3.5MM ESPIROMET</t>
  </si>
  <si>
    <t>4502700280 - SPRAY ANTICORROSIVO 485ml</t>
  </si>
  <si>
    <t>COMPUESTO BELZONA 5811</t>
  </si>
  <si>
    <t>4502700246 - COMPUESTO BELZONA 5811</t>
  </si>
  <si>
    <t>4502700157 - PLANCHA TERCIADO MARINO 15 mm</t>
  </si>
  <si>
    <t>4502700157 - TERCIADO MOLDAJE 15 MM</t>
  </si>
  <si>
    <t>4502700140 - SENSOR TRIAXIAL VIBRACION Y TEMP [HF+S]</t>
  </si>
  <si>
    <t>SIEMENS SEALING COMPOUND KN56671</t>
  </si>
  <si>
    <t>4502700112 - SIEMENS SEALING COMPOUND KN56671</t>
  </si>
  <si>
    <t>4502700098 - FILTRO ABSOLUTO 5μM DESCARGA PARKER</t>
  </si>
  <si>
    <t>4502700098 - FILTRO ABSOLUTO 20μM SUCCION PARKER</t>
  </si>
  <si>
    <t>ALCOHOL ISOPROPILICO 70% GRADO TECNICO</t>
  </si>
  <si>
    <t>4502700095 - ALCOHOL ISOPROPILICO 70% GRADO TECNICO</t>
  </si>
  <si>
    <t>4502700093 - ACOPLE CAMLOCK "E" INOX MACHO  2"</t>
  </si>
  <si>
    <t>SENSOR INDUCTIVO M&amp;S SH-M12</t>
  </si>
  <si>
    <t>4502700086 - SENSOR INDUCTIVO M&amp;S SH-M12</t>
  </si>
  <si>
    <t>4502700077 - ADITIVO P/MOTOR ADBLUE</t>
  </si>
  <si>
    <t>4502700039 - AGUA DESTILADA</t>
  </si>
  <si>
    <t>4502700023 - AIRE COMPRIMIDO SPRAY 400ML WURTH</t>
  </si>
  <si>
    <t>PLANCHA SS 304L 3MM X 1000 X 3000</t>
  </si>
  <si>
    <t>4502700021 - PLANCHA SS 304L 3MM X 1000 X 3000</t>
  </si>
  <si>
    <t>VALVULA CONO SW 1" X 150LB SS304</t>
  </si>
  <si>
    <t>ESPERANDO VALIDACIÓN, PEDRO</t>
  </si>
  <si>
    <t>4502700000 - VALVULA CONO SW 1" X 150LB SS304</t>
  </si>
  <si>
    <t>VALVULA COMPUERTA 4"x150LB SS SRC9310A</t>
  </si>
  <si>
    <t>4502699989 - VALVULA COMPUERTA 4"x150LB SS SRC9310A</t>
  </si>
  <si>
    <t>FLANGE WN A182 GR. F304L  1”X150</t>
  </si>
  <si>
    <t>4502699989 - FLANGE WN A182 GR. F304L  1”X150</t>
  </si>
  <si>
    <t>FLANGE WN 6”X150  304 SCH.10</t>
  </si>
  <si>
    <t>4502699989 - FLANGE WN 6”X150  304 SCH.10</t>
  </si>
  <si>
    <t>4502699745 - ORING TAPA SILICONA #36 MOD220 U1 P-6864</t>
  </si>
  <si>
    <t>4502699745 - PERNO SUJECION CUERPO 3/8-18X4,5 P-6864</t>
  </si>
  <si>
    <t>4502699741 - ANTIEMPAÑANTE SPRAY PARA VISERAS Y GAFAS</t>
  </si>
  <si>
    <t>SELLO EXTERIOR CARBONO 98[101682+] 220UL</t>
  </si>
  <si>
    <t>4502699736 - SELLO EXTERIOR CARBONO 98[101682+] 220UL</t>
  </si>
  <si>
    <t>P-202 2-094-008-880 CASING BUSHING</t>
  </si>
  <si>
    <t>4502699733 - P-202 2-094-008-880 CASING BUSHING</t>
  </si>
  <si>
    <t>LIMPIADOR SISTEMA DE ACEITE 325ML WYNNS</t>
  </si>
  <si>
    <t>ESPERANDO RECEPCION, PRILLEX</t>
  </si>
  <si>
    <t>4502699706 - LIMPIADOR SISTEMA DE ACEITE 325ML WYNNS</t>
  </si>
  <si>
    <t>LIMPIADOR FRENOS Y PIEZAS 400ML WURTH</t>
  </si>
  <si>
    <t>ESPERANDO RECECPION, PRILLEX</t>
  </si>
  <si>
    <t>4502699706 - LIMPIADOR FRENOS Y PIEZAS 400ML WURTH</t>
  </si>
  <si>
    <t>extintor PQS 10 Kg con soporte</t>
  </si>
  <si>
    <t>4502699701 - extintor PQS 10 Kg con soporte</t>
  </si>
  <si>
    <t>4502699700 - BATERIA    12   V   165    AMP C/BORNE</t>
  </si>
  <si>
    <t>CONDUCTIVIMETRO WTW MODELO COND 3110</t>
  </si>
  <si>
    <t>4502699660 - CONDUCTIVIMETRO WTW MODELO COND 3110</t>
  </si>
  <si>
    <t>CATALIZADOR DURAPLATE 235 SHERWIN WILLIA</t>
  </si>
  <si>
    <t xml:space="preserve">ESPERANDO RETIRO, PIÑONES </t>
  </si>
  <si>
    <t>4502699640 - CATALIZADOR DURAPLATE 235 SHERWIN WILLIA</t>
  </si>
  <si>
    <t>DURAPLATE 235 SHERWIN WILLIAMS</t>
  </si>
  <si>
    <t>4502699640 - DURAPLATE 235 SHERWIN WILLIAMS</t>
  </si>
  <si>
    <t>4502699441 - POSICIONADOR SRI-986 BHNS1ZZZNY-V02</t>
  </si>
  <si>
    <t>IMPULSOR EIFEL EA80/16 174MM</t>
  </si>
  <si>
    <t>4502699215 - IMPULSOR EIFEL EA80/16 174MM</t>
  </si>
  <si>
    <t>VALVULA SOLENOIDE AIRE 1/2" NPT 24VDC</t>
  </si>
  <si>
    <t>4502699211 - VALVULA SOLENOIDE AIRE 1/2" NPT 24VDC</t>
  </si>
  <si>
    <t>VALVULA BOLA DE 4"  EN ACERO INOXIDABLE</t>
  </si>
  <si>
    <t>4502699211 - VALVULA BOLA DE 4"  EN ACERO INOXIDABLE</t>
  </si>
  <si>
    <t>4502699205 - ESCOBILLAS ACERO CON MANGO</t>
  </si>
  <si>
    <t xml:space="preserve">ESPERANDO RECEPCION, CONSTANZA </t>
  </si>
  <si>
    <t>4502699204 - ADELGAZADOR GTA 220</t>
  </si>
  <si>
    <t>4502699203 - BROCHA PLANA 2"</t>
  </si>
  <si>
    <t>ANTICONGELANTE EXTENDED LIFE 50/50</t>
  </si>
  <si>
    <t>CARUZ</t>
  </si>
  <si>
    <t>4502699202 - ANTICONGELANTE EXTENDED LIFE 50/50</t>
  </si>
  <si>
    <t>4502699202 - ADITIVO P/MOTOR ADBLUE</t>
  </si>
  <si>
    <t>4502699199 - COMPUESTO BELZONA 1111</t>
  </si>
  <si>
    <t>BOMBA BOWIE  3"</t>
  </si>
  <si>
    <t>4502699155 - BOMBA BOWIE  3"</t>
  </si>
  <si>
    <t>LOS FAVORITOS DE CHILE 100 CAPSULAS ORIG</t>
  </si>
  <si>
    <t>4502699140 - LOS FAVORITOS DE CHILE 100 CAPSULAS ORIG</t>
  </si>
  <si>
    <t>LOS PREFERIDOS 200 CAPSULAS ORIGINAL</t>
  </si>
  <si>
    <t>4502699140 - LOS PREFERIDOS 200 CAPSULAS ORIGINAL</t>
  </si>
  <si>
    <t>SELECCIÓN BEST SELLER 200 CAPSULAS VERTU</t>
  </si>
  <si>
    <t>4502699140 - SELECCIÓN BEST SELLER 200 CAPSULAS VERTU</t>
  </si>
  <si>
    <t>PINTURA SPRAY AZUL</t>
  </si>
  <si>
    <t>4502699074 - PINTURA SPRAY AZUL</t>
  </si>
  <si>
    <t>CABLE PASA CORRIENTE 2000AMP X3MTS</t>
  </si>
  <si>
    <t>4502698921 - CABLE PASA CORRIENTE 2000AMP X3MTS</t>
  </si>
  <si>
    <t>CABLE PASA CORRIENTE 2000AMP X6MT REF</t>
  </si>
  <si>
    <t>4502698921 - CABLE PASA CORRIENTE 2000AMP X6MT REF</t>
  </si>
  <si>
    <t>VALVULA GLOBO INOX 316L 1.1/2" NPT</t>
  </si>
  <si>
    <t>4502698869 - VALVULA GLOBO INOX 316L 1.1/2" NPT</t>
  </si>
  <si>
    <t>Despacho</t>
  </si>
  <si>
    <t>4502698848 - Despacho</t>
  </si>
  <si>
    <t>Test Lapiz 6D+Alcohol (Saliva)</t>
  </si>
  <si>
    <t>4502698848 - Test Lapiz 6D+Alcohol (Saliva)</t>
  </si>
  <si>
    <t>4502698822 - PLANCHA DE TEFLON 48" X 48" X 1/16"</t>
  </si>
  <si>
    <t>PINZAS BLOQUEO LOCKOUT</t>
  </si>
  <si>
    <t>4502698776 - PINZAS BLOQUEO LOCKOUT</t>
  </si>
  <si>
    <t>BOMBA PETROLEO VIKING HL4195</t>
  </si>
  <si>
    <t>4502698726 - BOMBA PETROLEO VIKING HL4195</t>
  </si>
  <si>
    <t>4502698547 - FLUJOMETRO GPI 1/2" INOXIDABLE</t>
  </si>
  <si>
    <t>4502698547 - FLUJOMETRO GPI 3/4" INOXIDABLE</t>
  </si>
  <si>
    <t>FLUJOMETRO GPI 1" INOXIDABLE</t>
  </si>
  <si>
    <t>4502698547 - FLUJOMETRO GPI 1" INOXIDABLE</t>
  </si>
  <si>
    <t>VALVULA PROTECCION AIRE 242.0278</t>
  </si>
  <si>
    <t>4502698445 - VALVULA PROTECCION AIRE 242.0278</t>
  </si>
  <si>
    <t>CUERPO SAE 10 PVB32</t>
  </si>
  <si>
    <t>ESPERANDO RECEPCION, GONZA</t>
  </si>
  <si>
    <t>4502698425 - CUERPO SAE 10 PVB32</t>
  </si>
  <si>
    <t>ADAPTADOR KIT DETENTE PVG32</t>
  </si>
  <si>
    <t>4502698425 - ADAPTADOR KIT DETENTE PVG32</t>
  </si>
  <si>
    <t>KIT DETENTE PVG32</t>
  </si>
  <si>
    <t>4502698425 - KIT DETENTE PVG32</t>
  </si>
  <si>
    <t>TAPA SPOOL PVMD32</t>
  </si>
  <si>
    <t>4502698425 - TAPA SPOOL PVMD32</t>
  </si>
  <si>
    <t>4502698421 - FORMULARIO PERMISO DE TRABAJO SEGURO</t>
  </si>
  <si>
    <t>CABLE CEI2022 II CD08/0B/050A1 4 PINES</t>
  </si>
  <si>
    <t>4502698398 - CABLE CEI2022 II CD08/0B/050A1 4 PINES</t>
  </si>
  <si>
    <t>4502698292 - LANA MINERAL EN PL. 2,4*1,0MT*50MM DENSI</t>
  </si>
  <si>
    <t>4502698264 - GRILLETE SS 304L  MOD 209</t>
  </si>
  <si>
    <t>4502698229 - FORMULARIO H.D.S.T. PRILLEX FR</t>
  </si>
  <si>
    <t>4502698229 - TARJETA ROJA DE PELIGRO</t>
  </si>
  <si>
    <t>CILINDRO FRENO TRAS. RH. 47560-EV300</t>
  </si>
  <si>
    <t>4502698213 - CILINDRO FRENO TRAS. RH. 47560-EV300</t>
  </si>
  <si>
    <t>CILINDRO FRENO TRAS. LH. 47570-EV230</t>
  </si>
  <si>
    <t>4502698213 - CILINDRO FRENO TRAS. LH. 47570-EV230</t>
  </si>
  <si>
    <t>CILINDRO FRENO TRAS. RH. 47550-EV270</t>
  </si>
  <si>
    <t>4502698213 - CILINDRO FRENO TRAS. RH. 47550-EV270</t>
  </si>
  <si>
    <t>CILINDRO FRENO TRAS. LH. 47580-EV290</t>
  </si>
  <si>
    <t>4502698213 - CILINDRO FRENO TRAS. LH. 47580-EV290</t>
  </si>
  <si>
    <t>4502698208 - LUMINARIA LED 45W 6000LM 4K DISANO</t>
  </si>
  <si>
    <t>4502698150 - CUBRE FLANGE ANTIACIDO C/VISOR-pH 1"</t>
  </si>
  <si>
    <t>4502698059 - PLUMON PERMANEN. PILOT JUMBO COLOR VERDE</t>
  </si>
  <si>
    <t>4502698059 - PALA PLASTICA PARA BASURA</t>
  </si>
  <si>
    <t>BOTIQUIN GRANDE</t>
  </si>
  <si>
    <t>4502698052 - BOTIQUIN GRANDE</t>
  </si>
  <si>
    <t>Adaptadores de conexión rapida</t>
  </si>
  <si>
    <t>4502698044 - Adaptadores de conexión rapida</t>
  </si>
  <si>
    <t>Filtro acero prosteel 100µm</t>
  </si>
  <si>
    <t>4502698027 - Filtro acero prosteel 100µm</t>
  </si>
  <si>
    <t>PLUMILLA LIMPIA PARABRISAS 26 PLG.</t>
  </si>
  <si>
    <t>4502697730 - PLUMILLA LIMPIA PARABRISAS 26 PLG.</t>
  </si>
  <si>
    <t>TUERCA HEX. INOX. 3/4 10H AISI316</t>
  </si>
  <si>
    <t>4502697695 - TUERCA HEX. INOX. 3/4 10H AISI316</t>
  </si>
  <si>
    <t>STUD BOLT REF: 1/2"X2 1/2"</t>
  </si>
  <si>
    <t>4502697695 - STUD BOLT REF: 1/2"X2 1/2"</t>
  </si>
  <si>
    <t>"ESPARRAGO SS Ø 3/4""  L=4 1/4"" "</t>
  </si>
  <si>
    <t>4502697695 - "ESPARRAGO SS Ø 3/4""  L=4 1/4"" "</t>
  </si>
  <si>
    <t>Esparrago A-193 B8T 1/2"x2 3/4" 2tuercas</t>
  </si>
  <si>
    <t>4502697695 - Esparrago A-193 B8T 1/2"x2 3/4" 2tuercas</t>
  </si>
  <si>
    <t>Esparrago A-193 B8T 5/8"x3 1/2" 2tuercas</t>
  </si>
  <si>
    <t>4502697695 - Esparrago A-193 B8T 5/8"x3 1/2" 2tuercas</t>
  </si>
  <si>
    <t>TUERCA TRAS IZQ MC810635:FUSO</t>
  </si>
  <si>
    <t>4502697673 - TUERCA TRAS IZQ MC810635:FUSO</t>
  </si>
  <si>
    <t>PERNO RUEDA RH MK501080:FUSO</t>
  </si>
  <si>
    <t>4502697673 - PERNO RUEDA RH MK501080:FUSO</t>
  </si>
  <si>
    <t>TUERCA RUEDA TRASERA MW028244:FUSO</t>
  </si>
  <si>
    <t>4502697673 - TUERCA RUEDA TRASERA MW028244:FUSO</t>
  </si>
  <si>
    <t>PERNO RUEDA LH MK501079:FUSO</t>
  </si>
  <si>
    <t>4502697673 - PERNO RUEDA LH MK501079:FUSO</t>
  </si>
  <si>
    <t>TUERCA FE85D MC810636:FUSO</t>
  </si>
  <si>
    <t>4502697673 - TUERCA FE85D MC810636:FUSO</t>
  </si>
  <si>
    <t>PERNO RUEDA INT.IZQ MC806005:FUSO</t>
  </si>
  <si>
    <t>4502697673 - PERNO RUEDA INT.IZQ MC806005:FUSO</t>
  </si>
  <si>
    <t>TUERCA RUEDA DER MC810632:FUSO</t>
  </si>
  <si>
    <t>4502697673 - TUERCA RUEDA DER MC810632:FUSO</t>
  </si>
  <si>
    <t>TUERCA RUEDA IZQ MC810631:FUSO</t>
  </si>
  <si>
    <t>4502697673 - TUERCA RUEDA IZQ MC810631:FUSO</t>
  </si>
  <si>
    <t>PERNO RUEDA TRAS MC806006:FUSO</t>
  </si>
  <si>
    <t>4502697673 - PERNO RUEDA TRAS MC806006:FUSO</t>
  </si>
  <si>
    <t>ADITIVO P/MOTOR 20 LTS</t>
  </si>
  <si>
    <t>4502697666 - ADITIVO P/MOTOR 20 LTS</t>
  </si>
  <si>
    <t>MALLA MEDUSA 210/48x2"x100ma 3 PAÑOS</t>
  </si>
  <si>
    <t>4502697655 - MALLA MEDUSA 210/48x2"x100ma 3 PAÑOS</t>
  </si>
  <si>
    <t>SLACK GRIS EXPLOS 100 ALG VARON T-S</t>
  </si>
  <si>
    <t>4502697594 - SLACK GRIS EXPLOS 100 ALG VARON T-S</t>
  </si>
  <si>
    <t>JUEGOS DE PUNTAS</t>
  </si>
  <si>
    <t>4502697528 - JUEGOS DE PUNTAS</t>
  </si>
  <si>
    <t>PLT MOD MPC-02 D MANUAL</t>
  </si>
  <si>
    <t>4502697528 - PLT MOD MPC-02 D MANUAL</t>
  </si>
  <si>
    <t>SISTEMA TDR SATELITAL</t>
  </si>
  <si>
    <t>4502697522 - SISTEMA TDR SATELITAL</t>
  </si>
  <si>
    <t>INSTRUMENTACIÓN GEOTECNICA /EXTENSOMETRO</t>
  </si>
  <si>
    <t>4502697522 - INSTRUMENTACIÓN GEOTECNICA /EXTENSOMETRO</t>
  </si>
  <si>
    <t>SENSOR PRESIÓN C/PANTALLA IFM PY2033</t>
  </si>
  <si>
    <t>4502697506 - SENSOR PRESIÓN C/PANTALLA IFM PY2033</t>
  </si>
  <si>
    <t>4502697406 - PATA LCS CON ROTULA 1/2 - 20</t>
  </si>
  <si>
    <t>BBA MAGNET P/CLORO MOD.TMR 10-15 P-5203</t>
  </si>
  <si>
    <t>4502697197 - BBA MAGNET P/CLORO MOD.TMR 10-15 P-5203</t>
  </si>
  <si>
    <t>BLOQUEO VALVULA COMPUERTA 2.1/2” A 5”</t>
  </si>
  <si>
    <t>4502697092 - BLOQUEO VALVULA COMPUERTA 2.1/2” A 5”</t>
  </si>
  <si>
    <t>ESMALTE SPRAY ROJO TARRO 350ML</t>
  </si>
  <si>
    <t>4502697092 - ESMALTE SPRAY ROJO TARRO 350ML</t>
  </si>
  <si>
    <t>RODILLO P/PINTAR 18 CMS</t>
  </si>
  <si>
    <t>4502697092 - RODILLO P/PINTAR 18 CMS</t>
  </si>
  <si>
    <t>PERNO ACERO INOX. 3/8" * 1"</t>
  </si>
  <si>
    <t>4502697092 - PERNO ACERO INOX. 3/8" * 1"</t>
  </si>
  <si>
    <t>SILICONA LIQUIDA/CREMA</t>
  </si>
  <si>
    <t>4502697092 - SILICONA LIQUIDA/CREMA</t>
  </si>
  <si>
    <t>BLOQUEO VALVULA BOLA 2” A 8” ABUS</t>
  </si>
  <si>
    <t>4502697092 - BLOQUEO VALVULA BOLA 2” A 8” ABUS</t>
  </si>
  <si>
    <t>UNION AMERICANA GALV. A197 150 1.1/4"</t>
  </si>
  <si>
    <t>4502697092 - UNION AMERICANA GALV. A197 150 1.1/4"</t>
  </si>
  <si>
    <t>1-4 Dioxano</t>
  </si>
  <si>
    <t>4502697082 - 1-4 Dioxano</t>
  </si>
  <si>
    <t>Acido Formico</t>
  </si>
  <si>
    <t>4502697082 - Acido Formico</t>
  </si>
  <si>
    <t>4502697060 - ESLINGA DOBLE TELA ANCHO 50MM LARGO 6MT</t>
  </si>
  <si>
    <t>"RING CLAMP CPLG 4.00" VTP HHP COUPLI NG</t>
  </si>
  <si>
    <t>4502697037 - "RING CLAMP CPLG 4.00" VTP HHP COUPLI NG</t>
  </si>
  <si>
    <t>4502697024 - BUJE SEGUR NM105-B 316 NETCHZ</t>
  </si>
  <si>
    <t>Beeper Arva EVO</t>
  </si>
  <si>
    <t>4502696998 - Beeper Arva EVO</t>
  </si>
  <si>
    <t>CONTROLADOR BOMBA ELÉCTRICA WZ1403672</t>
  </si>
  <si>
    <t>4502696821 - CONTROLADOR BOMBA ELÉCTRICA WZ1403672</t>
  </si>
  <si>
    <t>EMPAQUETADURA TEFLON EXPANDIDO 150 2"</t>
  </si>
  <si>
    <t>4502696797 - EMPAQUETADURA TEFLON EXPANDIDO 150 2"</t>
  </si>
  <si>
    <t>4502696465 - ADITIVO P/MOTOR ADBLUE</t>
  </si>
  <si>
    <t>4502696457 - ADITIVO P/MOTOR ADBLUE</t>
  </si>
  <si>
    <t>VARIADOR FRECUENCIA MOD AC30V 15KW</t>
  </si>
  <si>
    <t>4502696166 - VARIADOR FRECUENCIA MOD AC30V 15KW</t>
  </si>
  <si>
    <t>GENERADOR CUMMINS C1875D5EB AG-3401A/B/C</t>
  </si>
  <si>
    <t>4502696147 - GENERADOR CUMMINS C1875D5EB AG-3401A/B/C</t>
  </si>
  <si>
    <t>EQUIPO A/C SPLIT MURO 18.000 BTU</t>
  </si>
  <si>
    <t xml:space="preserve">Esperando  respuesta </t>
  </si>
  <si>
    <t>4502696135 - EQUIPO A/C SPLIT MURO 18.000 BTU</t>
  </si>
  <si>
    <t>MANGA CONICA CAMION DI:22 DS:40 2,95MT</t>
  </si>
  <si>
    <t>4502696132 - MANGA CONICA CAMION DI:22 DS:40 2,95MT</t>
  </si>
  <si>
    <t>FILTRO SOLOX PARKER EHG05T2T</t>
  </si>
  <si>
    <t>4502696124 - FILTRO SOLOX PARKER EHG05T2T</t>
  </si>
  <si>
    <t>VALVULA GLOBO FLG DN 50 PN 40 INOX. 304</t>
  </si>
  <si>
    <t>4502696104 - VALVULA GLOBO FLG DN 50 PN 40 INOX. 304</t>
  </si>
  <si>
    <t>VALVULA GLOBO DN40 PN16 SS RF</t>
  </si>
  <si>
    <t>4502696104 - VALVULA GLOBO DN40 PN16 SS RF</t>
  </si>
  <si>
    <t>4502696027 - TRAPOS DE LIMPIEZA, BOLSA DE 1 KG.</t>
  </si>
  <si>
    <t>4502696026 - MANGUERA BOMBEO HELIFLEX 1''X 25 MTS</t>
  </si>
  <si>
    <t>4502696023 - PASADOR CI 316 FORMA B 25h8X136 NETCHZ</t>
  </si>
  <si>
    <t>4502696023 - ANILLO PERBUNAN PB 70-8 NETCHZ</t>
  </si>
  <si>
    <t>4502696017 - MANGUERA BOMBEO HELIFLEX 1''X 25 MTS</t>
  </si>
  <si>
    <t>4502696014 - GRASA ROCCOL TUFGEAR 100T ENV 54 KG</t>
  </si>
  <si>
    <t>INTERCAMBIADOR CALOR MOD.T6-B FM ALFA LA</t>
  </si>
  <si>
    <t>4502695982 - INTERCAMBIADOR CALOR MOD.T6-B FM ALFA LA</t>
  </si>
  <si>
    <t>4502695981 - MANGAS CAMION FABRICA</t>
  </si>
  <si>
    <t>ACEITE SHELL TURBO 46 ENV 208L</t>
  </si>
  <si>
    <t>4502695889 - ACEITE SHELL TURBO 46 ENV 208L</t>
  </si>
  <si>
    <t>Cierre velcro para cocer de 2" alta t°</t>
  </si>
  <si>
    <t>4502695870 - Cierre velcro para cocer de 2" alta t°</t>
  </si>
  <si>
    <t xml:space="preserve">ENTREGAN FINALES JULIO </t>
  </si>
  <si>
    <t>4502695247 - EQUIPO CODIFICADOR HAND JET EBS 250</t>
  </si>
  <si>
    <t>4502695214 - FORMULARIO CERTIFICADO DE BLOQUEOS</t>
  </si>
  <si>
    <t>PLACA PULIURETANO 44"X79" 50MM ESPESOR</t>
  </si>
  <si>
    <t>4502695119 - PLACA PULIURETANO 44"X79" 50MM ESPESOR</t>
  </si>
  <si>
    <t>RODAMIENTO BOLA 307-C3 SKF</t>
  </si>
  <si>
    <t>4502694993 - RODAMIENTO BOLA 307-C3 SKF</t>
  </si>
  <si>
    <t>SEMAFORO CONTROL ALEATORIO</t>
  </si>
  <si>
    <t>4502694958 - SEMAFORO CONTROL ALEATORIO</t>
  </si>
  <si>
    <t>Contenedor 40 pies Usado</t>
  </si>
  <si>
    <t>ESPERANDO RECEPCION, RICARDO</t>
  </si>
  <si>
    <t>4502694947 - Contenedor 40 pies Usado</t>
  </si>
  <si>
    <t>ENTREGAN 27/07</t>
  </si>
  <si>
    <t>4502694883 - POLEA MOTRIZ  DIA. 320/65  750 L</t>
  </si>
  <si>
    <t>VALVULA GATE FLG 2" 150 LB INOX. 304</t>
  </si>
  <si>
    <t>4502694877 - VALVULA GATE FLG 2" 150 LB INOX. 304</t>
  </si>
  <si>
    <t>4502694877 - VALVULA COMPUERTA Ø 4" 150LB 304L T-5402</t>
  </si>
  <si>
    <t>4502694826 - BUJE ACL B NM105-B 316 NETCHZ</t>
  </si>
  <si>
    <t>TERMINAL ELECTR OJO 10.5MM 3/8 AZUL</t>
  </si>
  <si>
    <t>4502694824 - TERMINAL ELECTR OJO 10.5MM 3/8 AZUL</t>
  </si>
  <si>
    <t>TERMINAL ELECTR OJO 8.4MM 5/16 AZ 40</t>
  </si>
  <si>
    <t>4502694824 - TERMINAL ELECTR OJO 8.4MM 5/16 AZ 40</t>
  </si>
  <si>
    <t>REGULADOR GAS 3037902-86-000 1510VFC6</t>
  </si>
  <si>
    <t>4502694817 - REGULADOR GAS 3037902-86-000 1510VFC6</t>
  </si>
  <si>
    <t>REGULADOR PRESION PARA CILINDROS GAS</t>
  </si>
  <si>
    <t>4502694817 - REGULADOR PRESION PARA CILINDROS GAS</t>
  </si>
  <si>
    <t>FAB: Cambio de material vinilo branding</t>
  </si>
  <si>
    <t>4502694813 - FAB: Cambio de material vinilo branding</t>
  </si>
  <si>
    <t>EMPAQUETADURA 1.306/1332x3.0 FGx2CRNI189</t>
  </si>
  <si>
    <t>4502694793 - EMPAQUETADURA 1.306/1332x3.0 FGx2CRNI189</t>
  </si>
  <si>
    <t>EMPAQUETADURA DIA. 808/844x4.5 1.4541 FG</t>
  </si>
  <si>
    <t>4502694793 - EMPAQUETADURA DIA. 808/844x4.5 1.4541 FG</t>
  </si>
  <si>
    <t>EMPAQUETADURA 2660/2696x3mm FGx2CRNI189</t>
  </si>
  <si>
    <t>4502694793 - EMPAQUETADURA 2660/2696x3mm FGx2CRNI189</t>
  </si>
  <si>
    <t>GASKET REF: 792X824X3 MM</t>
  </si>
  <si>
    <t>4502694793 - GASKET REF: 792X824X3 MM</t>
  </si>
  <si>
    <t>GASKET REF: DIA:1533/1501X3MM</t>
  </si>
  <si>
    <t>4502694793 - GASKET REF: DIA:1533/1501X3MM</t>
  </si>
  <si>
    <t>Empaque PTFE de 1/8” p.flange 20”x150RF</t>
  </si>
  <si>
    <t>4502694793 - Empaque PTFE de 1/8” p.flange 20”x150RF</t>
  </si>
  <si>
    <t>EMPAQUETADURA 1.386/1418X3.0 FGx2CRNI189</t>
  </si>
  <si>
    <t>4502694793 - EMPAQUETADURA 1.386/1418X3.0 FGx2CRNI189</t>
  </si>
  <si>
    <t>4502694763 - PERTIGA 12' COMPLETA</t>
  </si>
  <si>
    <t>4502694671 - GUANTE CUERO LARGO P-13 REFORZADO</t>
  </si>
  <si>
    <t>BOTIN V-FLEX V7 BOA N°36</t>
  </si>
  <si>
    <t>4502694661 - BOTIN V-FLEX V7 BOA N°36</t>
  </si>
  <si>
    <t>4502694626 - BOTIN DEFENDER MONTEGO KDF-500 N-41</t>
  </si>
  <si>
    <t>CONJ 1ra CAPA AZUL 100 ALG DAMA T-L</t>
  </si>
  <si>
    <t>4502694572 - CONJ 1ra CAPA AZUL 100 ALG DAMA T-L</t>
  </si>
  <si>
    <t>JERSEY DE LANA CORPORATIVO T-56</t>
  </si>
  <si>
    <t>4502694572 - JERSEY DE LANA CORPORATIVO T-56</t>
  </si>
  <si>
    <t>4502694446 - POLEA DE COLA  DIA. 285/50  600 L</t>
  </si>
  <si>
    <t>BOTOTO TERRA T-43</t>
  </si>
  <si>
    <t>4502694418 - BOTOTO TERRA T-43</t>
  </si>
  <si>
    <t>BOTOTO TERRA T-41</t>
  </si>
  <si>
    <t>4502694418 - BOTOTO TERRA T-41</t>
  </si>
  <si>
    <t>BOTOTO NEVEX T-37</t>
  </si>
  <si>
    <t>4502694418 - BOTOTO NEVEX T-37</t>
  </si>
  <si>
    <t>BOTOTO NEVEX T-36</t>
  </si>
  <si>
    <t>4502694418 - BOTOTO NEVEX T-36</t>
  </si>
  <si>
    <t>BOMBA HYDRO LEDUC PISTONES TXV-150 INDEX</t>
  </si>
  <si>
    <t>4502694410 - BOMBA HYDRO LEDUC PISTONES TXV-150 INDEX</t>
  </si>
  <si>
    <t>ACEITE ISO46 20 LTS</t>
  </si>
  <si>
    <t>4502694409 - ACEITE ISO46 20 LTS</t>
  </si>
  <si>
    <t>BOMBA NETZSCH NM090SY 02S12B</t>
  </si>
  <si>
    <t>4502694380 - BOMBA NETZSCH NM090SY 02S12B</t>
  </si>
  <si>
    <t>4502694378 - TRAPOS DE LIMPIEZA, BOLSA DE 1 KG.</t>
  </si>
  <si>
    <t>SELLO DE RUPTURA DE 200 PSI</t>
  </si>
  <si>
    <t>4502694309 - SELLO DE RUPTURA DE 200 PSI</t>
  </si>
  <si>
    <t>ESTATOR NM090.03S SBE POS 3005 P-6857</t>
  </si>
  <si>
    <t>4502693670 - ESTATOR NM090.03S SBE POS 3005 P-6857</t>
  </si>
  <si>
    <t>4502693669 - ADITIVO P/MOTOR ADBLUE</t>
  </si>
  <si>
    <t>4502693668 - ABB MOTOREDUCTOR 5,5KW. H4701AB/H4705</t>
  </si>
  <si>
    <t>GATE VALVE SRCO320A 1/2"</t>
  </si>
  <si>
    <t>4502692788 - GATE VALVE SRCO320A 1/2"</t>
  </si>
  <si>
    <t>4502692460 - PLATO DE TECHNYL MAQUINA COILER</t>
  </si>
  <si>
    <t>FAROL FAENERO LED 12-24</t>
  </si>
  <si>
    <t>4502692417 - FAROL FAENERO LED 12-24</t>
  </si>
  <si>
    <t>FAROL TROCHA LED AMBAR 2x4</t>
  </si>
  <si>
    <t>4502692364 - FAROL TROCHA LED AMBAR 2x4</t>
  </si>
  <si>
    <t>PERTICA LED 12VOLT 3.5FT (1MT)</t>
  </si>
  <si>
    <t>4502692340 - PERTICA LED 12VOLT 3.5FT (1MT)</t>
  </si>
  <si>
    <t>KIT SELLOS Y ORING MOTOR STAFFA HMB-100</t>
  </si>
  <si>
    <t>4502692307 - KIT SELLOS Y ORING MOTOR STAFFA HMB-100</t>
  </si>
  <si>
    <t>4502692098 - GUANTES NITRILO AZUL T.S (50 pares)</t>
  </si>
  <si>
    <t>4502692092 - TENIDA PU/PVC ANTIACIDA 2 pzs. T-L</t>
  </si>
  <si>
    <t>SELLO DE RUP. ZOOK INVERTED 1,5" 200 PSI</t>
  </si>
  <si>
    <t>4502691893 - SELLO DE RUP. ZOOK INVERTED 1,5" 200 PSI</t>
  </si>
  <si>
    <t>PERNO  Ø1 1/4"X 3 3/4"A.C C/C M30</t>
  </si>
  <si>
    <t>4502691781 - PERNO  Ø1 1/4"X 3 3/4"A.C C/C M30</t>
  </si>
  <si>
    <t>Esparrago HEX 1 1/4" L=6 1/2"C/TUERCA AC</t>
  </si>
  <si>
    <t>4502691781 - Esparrago HEX 1 1/4" L=6 1/2"C/TUERCA AC</t>
  </si>
  <si>
    <t>Esparrago HEX 1 1/4"L=8" 1/2"C/TUERCA AC</t>
  </si>
  <si>
    <t>4502691781 - Esparrago HEX 1 1/4"L=8" 1/2"C/TUERCA AC</t>
  </si>
  <si>
    <t>AGUA PURIFICADA EN BOTELLON 12LTS</t>
  </si>
  <si>
    <t xml:space="preserve">ENTREGA PARCIALIZADA </t>
  </si>
  <si>
    <t>4502691689 - AGUA PURIFICADA EN BOTELLON 12LTS</t>
  </si>
  <si>
    <t>AGUA PURIFICADA EN BOTELLON</t>
  </si>
  <si>
    <t>4502691686 - AGUA PURIFICADA EN BOTELLON</t>
  </si>
  <si>
    <t>Enfriador de aceite 24V 200 LPM Parker</t>
  </si>
  <si>
    <t xml:space="preserve">ESPERANDO RECEPCION, VICTOR </t>
  </si>
  <si>
    <t>4502691474 - Enfriador de aceite 24V 200 LPM Parker</t>
  </si>
  <si>
    <t>FILTRO METALICO 595X595X40MM F-9301 INOX</t>
  </si>
  <si>
    <t>4502691448 - FILTRO METALICO 595X595X40MM F-9301 INOX</t>
  </si>
  <si>
    <t>VALVULA CONO 3"X150 RF SS CF8 VHC0310A</t>
  </si>
  <si>
    <t>4502691396 - VALVULA CONO 3"X150 RF SS CF8 VHC0310A</t>
  </si>
  <si>
    <t>ESTRUCTURA AUSCULTACIÓN POZOS</t>
  </si>
  <si>
    <t>4502691252 - ESTRUCTURA AUSCULTACIÓN POZOS</t>
  </si>
  <si>
    <t>4502691241 - POLIN GUIA  DIA. 63/140L  M16 X 40</t>
  </si>
  <si>
    <t>UNION CLAMP 3" - EPDM 70° SHORE</t>
  </si>
  <si>
    <t>4502691203 - UNION CLAMP 3" - EPDM 70° SHORE</t>
  </si>
  <si>
    <t>SENSOR CAUDAL PNP/NPN LONG: 45mm. SA5010</t>
  </si>
  <si>
    <t>4502690992 - SENSOR CAUDAL PNP/NPN LONG: 45mm. SA5010</t>
  </si>
  <si>
    <t>JGO JUNTAS WE 6.6X/ER900357573 XV-8186A</t>
  </si>
  <si>
    <t>4502690865 - JGO JUNTAS WE 6.6X/ER900357573 XV-8186A</t>
  </si>
  <si>
    <t>Conector 3P Z5L M12-240 SPEZ XV-8186A</t>
  </si>
  <si>
    <t>4502690865 - Conector 3P Z5L M12-240 SPEZ XV-8186A</t>
  </si>
  <si>
    <t>VALVE 4/2 WAY GATE (ITEM 69) PROTECTION</t>
  </si>
  <si>
    <t>4502690865 - VALVE 4/2 WAY GATE (ITEM 69) PROTECTION</t>
  </si>
  <si>
    <t>VALVE 4/2 WAY GATE (ITEM 67) PROTECTION</t>
  </si>
  <si>
    <t>4502690865 - VALVE 4/2 WAY GATE (ITEM 67) PROTECTION</t>
  </si>
  <si>
    <t>CUÑA POLIURETANO PARA CAMION</t>
  </si>
  <si>
    <t>4502690862 - CUÑA POLIURETANO PARA CAMION</t>
  </si>
  <si>
    <t>VALVULA BOLA 1/2 SCH 80 CPVC</t>
  </si>
  <si>
    <t>4502690861 - VALVULA BOLA 1/2 SCH 80 CPVC</t>
  </si>
  <si>
    <t>VALVULA BOLA 1 SCH 80 CPVC</t>
  </si>
  <si>
    <t>4502690861 - VALVULA BOLA 1 SCH 80 CPVC</t>
  </si>
  <si>
    <t>FLANGE 1'' CPVC GRIS</t>
  </si>
  <si>
    <t>4502690861 - FLANGE 1'' CPVC GRIS</t>
  </si>
  <si>
    <t>FLANGE 1 SCH 80 CPVC</t>
  </si>
  <si>
    <t>4502690861 - FLANGE 1 SCH 80 CPVC</t>
  </si>
  <si>
    <t>UNION AMERICANA 1'' CPVC GRIS</t>
  </si>
  <si>
    <t>4502690861 - UNION AMERICANA 1'' CPVC GRIS</t>
  </si>
  <si>
    <t>WTF FLANGE GASKET</t>
  </si>
  <si>
    <t>4502690861 - WTF FLANGE GASKET</t>
  </si>
  <si>
    <t>ADAPTADOR MACHO 1/2 GREY</t>
  </si>
  <si>
    <t>4502690861 - ADAPTADOR MACHO 1/2 GREY</t>
  </si>
  <si>
    <t>BUSHING REDUCTOR 3/4-1/2 GREY</t>
  </si>
  <si>
    <t>4502690861 - BUSHING REDUCTOR 3/4-1/2 GREY</t>
  </si>
  <si>
    <t>BUSHING 1 A 3/4 SCH 80 CPVC</t>
  </si>
  <si>
    <t>4502690861 - BUSHING 1 A 3/4 SCH 80 CPVC</t>
  </si>
  <si>
    <t>4502690847 - Despacho</t>
  </si>
  <si>
    <t>4502690847 - Test Lapiz 6D+Alcohol (Saliva)</t>
  </si>
  <si>
    <t>SOPORTE ESCALERA INOXIDABLE 3M/AKSIOM</t>
  </si>
  <si>
    <t>4502690761 - SOPORTE ESCALERA INOXIDABLE 3M/AKSIOM</t>
  </si>
  <si>
    <t>RETRACTIL 6 METROS 3M/AKSIOM</t>
  </si>
  <si>
    <t>4502690761 - RETRACTIL 6 METROS 3M/AKSIOM</t>
  </si>
  <si>
    <t>SOPORTE ESCALERA INOXIDABLE 3M.</t>
  </si>
  <si>
    <t>4502690761 - SOPORTE ESCALERA INOXIDABLE 3M.</t>
  </si>
  <si>
    <t>BS:SOPORTE ESCALERA INOXIDABLE 3M/AKSIOM</t>
  </si>
  <si>
    <t>4502690761 - BS:SOPORTE ESCALERA INOXIDABLE 3M/AKSIOM</t>
  </si>
  <si>
    <t>4502690633 - CUERDA VIDA L=1.8M GANCHO ESTRUCTURERO</t>
  </si>
  <si>
    <t>Chaqueta Adulto Mujer Spry SteamPro L</t>
  </si>
  <si>
    <t>4502690619 - Chaqueta Adulto Mujer Spry SteamPro L</t>
  </si>
  <si>
    <t>Chaqueta Adulto Hombre Spry SteamPro XXL</t>
  </si>
  <si>
    <t>4502690619 - Chaqueta Adulto Hombre Spry SteamPro XXL</t>
  </si>
  <si>
    <t>Chaqueta Adulto Hombre Spry SteamPro XL</t>
  </si>
  <si>
    <t>4502690619 - Chaqueta Adulto Hombre Spry SteamPro XL</t>
  </si>
  <si>
    <t>Chaqueta Adulto Hombre Spry SteamPro T-L</t>
  </si>
  <si>
    <t>4502690619 - Chaqueta Adulto Hombre Spry SteamPro T-L</t>
  </si>
  <si>
    <t>Chaqueta Adulto Hombre Spry SteamPro T-M</t>
  </si>
  <si>
    <t>4502690619 - Chaqueta Adulto Hombre Spry SteamPro T-M</t>
  </si>
  <si>
    <t>Chaqueta Adulto Hombre Spry SteamPro T-S</t>
  </si>
  <si>
    <t>4502690619 - Chaqueta Adulto Hombre Spry SteamPro T-S</t>
  </si>
  <si>
    <t>Fuente de Alimentación  Aplica</t>
  </si>
  <si>
    <t>4502690612 - Fuente de Alimentación  Aplica</t>
  </si>
  <si>
    <t>4502690587 - Papel filtro N°131</t>
  </si>
  <si>
    <t>ENTRADA ANALOGA MODULO SM 1231 8AI</t>
  </si>
  <si>
    <t>4502690584 - ENTRADA ANALOGA MODULO SM 1231 8AI</t>
  </si>
  <si>
    <t>FLEXITALLIC TIPO CGI DE 708 X 682 X 626</t>
  </si>
  <si>
    <t>4502690583 - FLEXITALLIC TIPO CGI DE 708 X 682 X 626</t>
  </si>
  <si>
    <t>JUNTA 831X863X3.2 MM ESPIROMET SS</t>
  </si>
  <si>
    <t>4502690566 - JUNTA 831X863X3.2 MM ESPIROMET SS</t>
  </si>
  <si>
    <t>CINTA TEFLON EXPANDIDO 1/2"X15MT</t>
  </si>
  <si>
    <t>4502690566 - CINTA TEFLON EXPANDIDO 1/2"X15MT</t>
  </si>
  <si>
    <t>punteras de seguridad visitas</t>
  </si>
  <si>
    <t>4502690272 - punteras de seguridad visitas</t>
  </si>
  <si>
    <t xml:space="preserve">ESPERANDO REGULARIZACION </t>
  </si>
  <si>
    <t>4502690193 - GUANTE  NITRILO KLEENGUARD G10 FLEX T M</t>
  </si>
  <si>
    <t>MOT. ELEC. 220-380V  0.18 KW  RPM 1370</t>
  </si>
  <si>
    <t>4502689525 - MOT. ELEC. 220-380V  0.18 KW  RPM 1370</t>
  </si>
  <si>
    <t>CABLE INTERFAZ CAN BUS - USB</t>
  </si>
  <si>
    <t>4502689389 - CABLE INTERFAZ CAN BUS - USB</t>
  </si>
  <si>
    <t>POLERA PIQUE ML AZUL 100 ALG VARON T-XL</t>
  </si>
  <si>
    <t>4502689188 - POLERA PIQUE ML AZUL 100 ALG VARON T-XL</t>
  </si>
  <si>
    <t>4502689155 - LOCTITE 495 3 ML. ADHESIVO RAPIDO</t>
  </si>
  <si>
    <t>RECARGA 20 LTS</t>
  </si>
  <si>
    <t>ESPERANDO RECEPCION, CAROLA</t>
  </si>
  <si>
    <t>4502689086 - RECARGA 20 LTS</t>
  </si>
  <si>
    <t>AGUA SIN GAS 1.5 LTS</t>
  </si>
  <si>
    <t>4502689086 - AGUA SIN GAS 1.5 LTS</t>
  </si>
  <si>
    <t>RETEN SELLO NBR902A 30X42X7 EJE DIN3760</t>
  </si>
  <si>
    <t xml:space="preserve">RECHAZO, FELIPE </t>
  </si>
  <si>
    <t>4502689043 - RETEN SELLO NBR902A 30X42X7 EJE DIN3760</t>
  </si>
  <si>
    <t>BUJE INFERIOR BEARING BUSH RULON P-9212</t>
  </si>
  <si>
    <t>4502689004 - BUJE INFERIOR BEARING BUSH RULON P-9212</t>
  </si>
  <si>
    <t>CUCHARON ALUMINIO OLLA APD</t>
  </si>
  <si>
    <t>4502688979 - CUCHARON ALUMINIO OLLA APD</t>
  </si>
  <si>
    <t>4502688800 - PILA DURACELL AAA  1,5 V.</t>
  </si>
  <si>
    <t>PERNO M4 L=15MM SS316 C/TUERCA</t>
  </si>
  <si>
    <t>4502688709 - PERNO M4 L=15MM SS316 C/TUERCA</t>
  </si>
  <si>
    <t>RUBBER BELT L=25M 800 EP400/3 4+2 BERGIN</t>
  </si>
  <si>
    <t>4502688589 - RUBBER BELT L=25M 800 EP400/3 4+2 BERGIN</t>
  </si>
  <si>
    <t>ELIMINOX REF P-3115 DE NALCO</t>
  </si>
  <si>
    <t xml:space="preserve">SAMEX </t>
  </si>
  <si>
    <t>4502688421 - ELIMINOX REF P-3115 DE NALCO</t>
  </si>
  <si>
    <t>ELIMINOX REGEANTS 460-SO196 ENV. 100ML</t>
  </si>
  <si>
    <t>4502688421 - ELIMINOX REGEANTS 460-SO196 ENV. 100ML</t>
  </si>
  <si>
    <t>TIG PORTA TUGSTENO (10N25)</t>
  </si>
  <si>
    <t>4502688101 - TIG PORTA TUGSTENO (10N25)</t>
  </si>
  <si>
    <t>TIG CERAMICA N6 (10N48)</t>
  </si>
  <si>
    <t>4502688101 - TIG CERAMICA N6 (10N48)</t>
  </si>
  <si>
    <t>TIG DIFUSOR GAS LENS (45V26)</t>
  </si>
  <si>
    <t>4502688101 - TIG DIFUSOR GAS LENS (45V26)</t>
  </si>
  <si>
    <t>TIG CERAMICA LENS MED (54N16)</t>
  </si>
  <si>
    <t>4502688101 - TIG CERAMICA LENS MED (54N16)</t>
  </si>
  <si>
    <t>Pistola TIG WP-26 máquina WTC-250 AC/DC</t>
  </si>
  <si>
    <t>4502688101 - Pistola TIG WP-26 máquina WTC-250 AC/DC</t>
  </si>
  <si>
    <t>Sulfato de Amonio y Hierro (III) dodecac</t>
  </si>
  <si>
    <t>4502688081 - Sulfato de Amonio y Hierro (III) dodecac</t>
  </si>
  <si>
    <t>SULFATO HIERRO II (frasco 1 kg)</t>
  </si>
  <si>
    <t>4502688081 - SULFATO HIERRO II (frasco 1 kg)</t>
  </si>
  <si>
    <t>BOX DOMOTZ PRO</t>
  </si>
  <si>
    <t>4502688012 - BOX DOMOTZ PRO</t>
  </si>
  <si>
    <t>UPS LEGRAND KEOR MOD 100KVA VFI 380V 3F</t>
  </si>
  <si>
    <t>4502687994 - UPS LEGRAND KEOR MOD 100KVA VFI 380V 3F</t>
  </si>
  <si>
    <t>Batería PMO 12V 700CCA 100A (+ izq. medi</t>
  </si>
  <si>
    <t>4502687898 - Batería PMO 12V 700CCA 100A (+ izq. medi</t>
  </si>
  <si>
    <t>Batería camión MACK 12V 1000CCA (+ izq.</t>
  </si>
  <si>
    <t>4502687898 - Batería camión MACK 12V 1000CCA (+ izq.</t>
  </si>
  <si>
    <t>Batería camioneta L200 12V 650CCA 90A</t>
  </si>
  <si>
    <t>4502687898 - Batería camioneta L200 12V 650CCA 90A</t>
  </si>
  <si>
    <t>INF:CABLE CONEXION/EVT006/IFM</t>
  </si>
  <si>
    <t xml:space="preserve">ESPERANDO RECEPCION, DIEGO </t>
  </si>
  <si>
    <t>4502687835 - INF:CABLE CONEXION/EVT006/IFM</t>
  </si>
  <si>
    <t>MOTOR HIDRAULICO  STAFFA MHB</t>
  </si>
  <si>
    <t>4502687813 - MOTOR HIDRAULICO  STAFFA MHB</t>
  </si>
  <si>
    <t>CPU 1214C - DC/DC/RELAY - 14DI/10DO/2AI</t>
  </si>
  <si>
    <t>4502687801 - CPU 1214C - DC/DC/RELAY - 14DI/10DO/2AI</t>
  </si>
  <si>
    <t>TAPA DE BOTELLA  HI9X3  SOLV/DESCARTE</t>
  </si>
  <si>
    <t xml:space="preserve">ENTREGARON FALTA UNA </t>
  </si>
  <si>
    <t>4502687522 - TAPA DE BOTELLA  HI9X3  SOLV/DESCARTE</t>
  </si>
  <si>
    <t>Rieles Metalicos</t>
  </si>
  <si>
    <t>4502687519 - Rieles Metalicos</t>
  </si>
  <si>
    <t>PAÑO DE LIMPIEZA MAXWIPE ROLLO 300MTS</t>
  </si>
  <si>
    <t>4502687499 - PAÑO DE LIMPIEZA MAXWIPE ROLLO 300MTS</t>
  </si>
  <si>
    <t>VALV SOLENOIDE 3/4" 230VAC VXS2-55H-Z2E</t>
  </si>
  <si>
    <t>4502687485 - VALV SOLENOIDE 3/4" 230VAC VXS2-55H-Z2E</t>
  </si>
  <si>
    <t>CABLE NEBU-M8G3-K-2,5-M8G4</t>
  </si>
  <si>
    <t>4502687469 - CABLE NEBU-M8G3-K-2,5-M8G4</t>
  </si>
  <si>
    <t>UNION CLAMP 2" - EPDM 70° SHORE</t>
  </si>
  <si>
    <t>4502687387 - UNION CLAMP 2" - EPDM 70° SHORE</t>
  </si>
  <si>
    <t>SELLO CLAMP VITON DE PORTA FILTRO</t>
  </si>
  <si>
    <t>4502687387 - SELLO CLAMP VITON DE PORTA FILTRO</t>
  </si>
  <si>
    <t>B.S.: FAB.VIGA Y PATIN/ANT.75%/PETRICIO</t>
  </si>
  <si>
    <t>4502687294 - B.S.: FAB.VIGA Y PATIN/ANT.75%/PETRICIO</t>
  </si>
  <si>
    <t>CHAQUETA AZUL IGNÍFUGA VERANO  T.  M</t>
  </si>
  <si>
    <t>4502687248 - CHAQUETA AZUL IGNÍFUGA VERANO  T.  M</t>
  </si>
  <si>
    <t>POLERA PIQUE ML AZUL 100 ALG VARON T-L</t>
  </si>
  <si>
    <t>4502687248 - POLERA PIQUE ML AZUL 100 ALG VARON T-L</t>
  </si>
  <si>
    <t>SLACK GRIS VITRIOLEN D/TELA VARON T-3XL</t>
  </si>
  <si>
    <t>4502687248 - SLACK GRIS VITRIOLEN D/TELA VARON T-3XL</t>
  </si>
  <si>
    <t>FILTRO SILENCIADOR BOMBA PE - 20</t>
  </si>
  <si>
    <t>4502687084 - FILTRO SILENCIADOR BOMBA PE - 20</t>
  </si>
  <si>
    <t>GAS NO ECOCAL 400 PPM BAL N2</t>
  </si>
  <si>
    <t>4502686928 - GAS NO ECOCAL 400 PPM BAL N2</t>
  </si>
  <si>
    <t>CINTURON DE SEGURIDAD RETRACTIL 3PT CERT</t>
  </si>
  <si>
    <t>4502686758 - CINTURON DE SEGURIDAD RETRACTIL 3PT CERT</t>
  </si>
  <si>
    <t>BALIZA ROJA IMA LED 12VOLT</t>
  </si>
  <si>
    <t>4502686758 - BALIZA ROJA IMA LED 12VOLT</t>
  </si>
  <si>
    <t>BALIZA BLANCA IMA LED 12VOLT</t>
  </si>
  <si>
    <t>4502686758 - BALIZA BLANCA IMA LED 12VOLT</t>
  </si>
  <si>
    <t>INDICADOR CHECK POINT 21MM</t>
  </si>
  <si>
    <t>4502686758 - INDICADOR CHECK POINT 21MM</t>
  </si>
  <si>
    <t>GAS REFRIGERANTE R-134 13,6KG</t>
  </si>
  <si>
    <t>4502686758 - GAS REFRIGERANTE R-134 13,6KG</t>
  </si>
  <si>
    <t>KIT PEPAS DE VALVULAS AH135-245AC</t>
  </si>
  <si>
    <t>4502686758 - KIT PEPAS DE VALVULAS AH135-245AC</t>
  </si>
  <si>
    <t>UPS 10KVA 380 A 220 VAC WARE 9155BV-5202</t>
  </si>
  <si>
    <t>4502686730 - UPS 10KVA 380 A 220 VAC WARE 9155BV-5202</t>
  </si>
  <si>
    <t>Hidroxido de Potasio</t>
  </si>
  <si>
    <t>4502686713 - Hidroxido de Potasio</t>
  </si>
  <si>
    <t>4502686713 - BUFFER DE SOLUCION PH 10,0</t>
  </si>
  <si>
    <t>PULLMAN</t>
  </si>
  <si>
    <t>4502686686 - SOLENOIDE 12 VOLTS</t>
  </si>
  <si>
    <t>VALVULA MANUAL PVC DN= 65 TYP 317   PN-1</t>
  </si>
  <si>
    <t>4502686374 - VALVULA MANUAL PVC DN= 65 TYP 317   PN-1</t>
  </si>
  <si>
    <t>DISCO DE RUPTURA GRAFITO 3" 200 PSI</t>
  </si>
  <si>
    <t>4502686330 - DISCO DE RUPTURA GRAFITO 3" 200 PSI</t>
  </si>
  <si>
    <t>VALVULA GATE ф 2" 800LB SW SS</t>
  </si>
  <si>
    <t>4502686311 - VALVULA GATE ф 2" 800LB SW SS</t>
  </si>
  <si>
    <t>PANTALONTERM. HW IRON NEGRO MUJER T-XXL</t>
  </si>
  <si>
    <t>4502685954 - PANTALONTERM. HW IRON NEGRO MUJER T-XXL</t>
  </si>
  <si>
    <t>PATALON EJEC.CASUAL ANDERLAND BEIGE T-46</t>
  </si>
  <si>
    <t>4502685954 - PATALON EJEC.CASUAL ANDERLAND BEIGE T-46</t>
  </si>
  <si>
    <t>CALCETIN DE HILO HW COOLMAX</t>
  </si>
  <si>
    <t>4502685954 - CALCETIN DE HILO HW COOLMAX</t>
  </si>
  <si>
    <t>CONJ 1ra CAPA AZUL 100 ALG DAMA T-3XL</t>
  </si>
  <si>
    <t>4502685368 - CONJ 1ra CAPA AZUL 100 ALG DAMA T-3XL</t>
  </si>
  <si>
    <t>MANOMETRO DIGITAL SKF 100MPA THGD 100C</t>
  </si>
  <si>
    <t>4502685363 - MANOMETRO DIGITAL SKF 100MPA THGD 100C</t>
  </si>
  <si>
    <t>BOTÍN EDELBROCK ED – 102 TALLA 42</t>
  </si>
  <si>
    <t>4502685353 - BOTÍN EDELBROCK ED – 102 TALLA 42</t>
  </si>
  <si>
    <t>ENTREGARON</t>
  </si>
  <si>
    <t>4502685346 - ZAPATO NORSEG KATRINA T/ 37</t>
  </si>
  <si>
    <t>SWITCH DE NIVEL MAGNETRAL MODELO LMS - A</t>
  </si>
  <si>
    <t>4502685305 - SWITCH DE NIVEL MAGNETRAL MODELO LMS - A</t>
  </si>
  <si>
    <t xml:space="preserve">ENTREGAN 10/09 </t>
  </si>
  <si>
    <t>4502685162 - CLOROFORMO   P.A.</t>
  </si>
  <si>
    <t>4502685143 - BOMBA BOWIE  3"</t>
  </si>
  <si>
    <t>Casing insert L3MG 90/152 P-81</t>
  </si>
  <si>
    <t>4502684707 - Casing insert L3MG 90/152 P-81</t>
  </si>
  <si>
    <t>Suporting Disk tornillo L3MG90/152 P-81</t>
  </si>
  <si>
    <t>4502684707 - Suporting Disk tornillo L3MG90/152 P-81</t>
  </si>
  <si>
    <t>4502684575 - LAVAOJOS AXION SP65</t>
  </si>
  <si>
    <t xml:space="preserve">FALTA RECEPCION </t>
  </si>
  <si>
    <t>4502684531 - ADITIVO P/MOTOR ADBLUE</t>
  </si>
  <si>
    <t>ENTREGAN 05/08</t>
  </si>
  <si>
    <t>4502684529 - GENERADOR CUMMINS C1875D5EB AG-3401A/B/C</t>
  </si>
  <si>
    <t xml:space="preserve">ESPERANDO PAGOS </t>
  </si>
  <si>
    <t>4502684024 - HUINCHA AISLADORA SUPER 33 NEGRA 3M</t>
  </si>
  <si>
    <t>BOMBA NETZSCH NM063SY02S</t>
  </si>
  <si>
    <t xml:space="preserve">ENTREGAN 24/07 </t>
  </si>
  <si>
    <t>4502684020 - BOMBA NETZSCH NM063SY02S</t>
  </si>
  <si>
    <t>BOMBA NETZSCH MOD NM031SY02S12B</t>
  </si>
  <si>
    <t>4502684020 - BOMBA NETZSCH MOD NM031SY02S12B</t>
  </si>
  <si>
    <t>4502683988 - SUPPORT ROLLER AND SHAFT</t>
  </si>
  <si>
    <t>Arnes esp n/p MK667897 FUSO</t>
  </si>
  <si>
    <t>ENTREGAN EN 120 DÍAS, 09/06</t>
  </si>
  <si>
    <t>4502683644 - Arnes esp n/p MK667897 FUSO</t>
  </si>
  <si>
    <t>Arnés puerta fr. Der. n/p MK649576 FUSO</t>
  </si>
  <si>
    <t>4502683644 - Arnés puerta fr. Der. n/p MK649576 FUSO</t>
  </si>
  <si>
    <t>Ramal A/C n/p MK649530 FUSO</t>
  </si>
  <si>
    <t>4502683644 - Ramal A/C n/p MK649530 FUSO</t>
  </si>
  <si>
    <t>Ramal tablero n/p ML221733 FUSO</t>
  </si>
  <si>
    <t>4502683644 - Ramal tablero n/p ML221733 FUSO</t>
  </si>
  <si>
    <t>Mazo de cables sec. n/p ML204649 FUSO</t>
  </si>
  <si>
    <t>4502683644 - Mazo de cables sec. n/p ML204649 FUSO</t>
  </si>
  <si>
    <t>Arnés sensor velocidad n/p ML205097 FUSO</t>
  </si>
  <si>
    <t>4502683644 - Arnés sensor velocidad n/p ML205097 FUSO</t>
  </si>
  <si>
    <t>Arnes sensor urea n/p MK395299 FUSO</t>
  </si>
  <si>
    <t>4502683644 - Arnes sensor urea n/p MK395299 FUSO</t>
  </si>
  <si>
    <t>Arnés BE631 principal n/p MK649638 FUSO</t>
  </si>
  <si>
    <t>4502683644 - Arnés BE631 principal n/p MK649638 FUSO</t>
  </si>
  <si>
    <t>Arnés puerta fr lh  n/p MK649558 FUSO</t>
  </si>
  <si>
    <t>4502683644 - Arnés puerta fr lh  n/p MK649558 FUSO</t>
  </si>
  <si>
    <t>Arnés chasis  rr  n/p MK395213 FUSO</t>
  </si>
  <si>
    <t>4502683644 - Arnés chasis  rr  n/p MK395213 FUSO</t>
  </si>
  <si>
    <t>Arnés motor n/p QC000676 FUSO</t>
  </si>
  <si>
    <t>4502683644 - Arnés motor n/p QC000676 FUSO</t>
  </si>
  <si>
    <t>Arnés chasis n/p ML287966 FUSO</t>
  </si>
  <si>
    <t>4502683644 - Arnés chasis n/p ML287966 FUSO</t>
  </si>
  <si>
    <t>BAR.AISL.MARCA MOD.KFD2-ST2-EX2 PEPPERL+</t>
  </si>
  <si>
    <t>4502683521 - BAR.AISL.MARCA MOD.KFD2-ST2-EX2 PEPPERL+</t>
  </si>
  <si>
    <t>SENSOR P/MOTOR CHARLYNN 263.5419</t>
  </si>
  <si>
    <t xml:space="preserve">QUEDAN PENDIENTES 8 DE RECEPCION </t>
  </si>
  <si>
    <t>4502683482 - SENSOR P/MOTOR CHARLYNN 263.5419</t>
  </si>
  <si>
    <t>POLEA VENT. 280MM 6CANALES BUTAPER 60MM</t>
  </si>
  <si>
    <t>4502683428 - POLEA VENT. 280MM 6CANALES BUTAPER 60MM</t>
  </si>
  <si>
    <t>ROADBOSS SUPER-02 325/95R24 24PR</t>
  </si>
  <si>
    <t>ESPERANDO APROBACION, PARA ENTREGA</t>
  </si>
  <si>
    <t>4502683416 - ROADBOSS SUPER-02 325/95R24 24PR</t>
  </si>
  <si>
    <t>MOTORREDUCTOR 15 KW SUMITOMO H-4103</t>
  </si>
  <si>
    <t>4502683110 - MOTORREDUCTOR 15 KW SUMITOMO H-4103</t>
  </si>
  <si>
    <t>SENSOR DE NIVEL LONG: 273 MM. LI5142</t>
  </si>
  <si>
    <t xml:space="preserve">DESCONTINUADO </t>
  </si>
  <si>
    <t>4502682682 - SENSOR DE NIVEL LONG: 273 MM. LI5142</t>
  </si>
  <si>
    <t>LAINA SS 150X5000MM E= 0,20MM</t>
  </si>
  <si>
    <t>4502682528 - LAINA SS 150X5000MM E= 0,20MM</t>
  </si>
  <si>
    <t>4502682357 - ORING TAPA SILICONA #36 MOD220 U1 P-6864</t>
  </si>
  <si>
    <t>4502682207 - THERMOCOUPLA DOBLE WIKA ORDER CODE 17592</t>
  </si>
  <si>
    <t>FLUJOMETRO DOSIMASS 8BE25 DN 25 1"</t>
  </si>
  <si>
    <t>4502682175 - FLUJOMETRO DOSIMASS 8BE25 DN 25 1"</t>
  </si>
  <si>
    <t>4502681921 - VALVULA GLOBO DN40 PN16 SS RF</t>
  </si>
  <si>
    <t>4502681822 - Cilin. 80PPM NO2(NOX); Bal Aire; PN3/4</t>
  </si>
  <si>
    <t>SWITCH NIVEL MAGNETROL    TAG LSHL-8171</t>
  </si>
  <si>
    <t>4502681670 - SWITCH NIVEL MAGNETROL    TAG LSHL-8171</t>
  </si>
  <si>
    <t>4502681664 - SWITCH NIVEL MAGNETROL    TAG LSHL-8171</t>
  </si>
  <si>
    <t>GORRO DE LONA</t>
  </si>
  <si>
    <t>4502681429 - GORRO DE LONA</t>
  </si>
  <si>
    <t xml:space="preserve">ESPERANDO RECEPCION, ALEXANDRO </t>
  </si>
  <si>
    <t>4502681276 - POLIN DIA: 20/89MM LARGO:380MM.</t>
  </si>
  <si>
    <t>MOTOR 1LE0102-1DB4-3-4AA4 15KW RPM 1460</t>
  </si>
  <si>
    <t>4502681190 - MOTOR 1LE0102-1DB4-3-4AA4 15KW RPM 1460</t>
  </si>
  <si>
    <t>MOTOR MOD1LE0102-1BB2 3-4AA4 4KW RPM1445</t>
  </si>
  <si>
    <t>4502681190 - MOTOR MOD1LE0102-1BB2 3-4AA4 4KW RPM1445</t>
  </si>
  <si>
    <t>FILTRO METALICO 595X595X590 F-1401</t>
  </si>
  <si>
    <t>SE RECHAZO, VIENDO CON PROVEEDOR</t>
  </si>
  <si>
    <t>4502681163 - FILTRO METALICO 595X595X590 F-1401</t>
  </si>
  <si>
    <t>CONSUMIBLE MAQUINA G-L CINNAMOND &amp; CANDI</t>
  </si>
  <si>
    <t xml:space="preserve">NO LLEGO </t>
  </si>
  <si>
    <t>4502680373 - CONSUMIBLE MAQUINA G-L CINNAMOND &amp; CANDI</t>
  </si>
  <si>
    <t>SILLA TOSSY NEGRA</t>
  </si>
  <si>
    <t>4502679877 - SILLA TOSSY NEGRA</t>
  </si>
  <si>
    <t>ESCRITORIO ANALISTA</t>
  </si>
  <si>
    <t>4502679877 - ESCRITORIO ANALISTA</t>
  </si>
  <si>
    <t>DEFLECTOR 9-8243 PARA PLASMA</t>
  </si>
  <si>
    <t xml:space="preserve">ENTREGARON, MEJILLONES </t>
  </si>
  <si>
    <t>4502679848 - DEFLECTOR 9-8243 PARA PLASMA</t>
  </si>
  <si>
    <t>BOQUILLA PLASMA CORTE 120A</t>
  </si>
  <si>
    <t>4502679848 - BOQUILLA PLASMA CORTE 120A</t>
  </si>
  <si>
    <t>Soporte para pantallas gráficas EC0732</t>
  </si>
  <si>
    <t>ESPERANDO RECEPCION, VICTOR</t>
  </si>
  <si>
    <t>4502679152 - Soporte para pantallas gráficas EC0732</t>
  </si>
  <si>
    <t>Cable conexión HMI CR1204 - IFM E2M275</t>
  </si>
  <si>
    <t>4502679152 - Cable conexión HMI CR1204 - IFM E2M275</t>
  </si>
  <si>
    <t>Pantalla gráfica programable CR1204</t>
  </si>
  <si>
    <t>4502679152 - Pantalla gráfica programable CR1204</t>
  </si>
  <si>
    <t>4502679143 - Nitrogeno 99,9999%; PN3/4</t>
  </si>
  <si>
    <t>Maleta Rack instalación en Brasil</t>
  </si>
  <si>
    <t>4502678991 - Maleta Rack instalación en Brasil</t>
  </si>
  <si>
    <t>Maleta Rack instalación en Perú</t>
  </si>
  <si>
    <t>4502678991 - Maleta Rack instalación en Perú</t>
  </si>
  <si>
    <t>Maleta Rack instalación en Chile</t>
  </si>
  <si>
    <t>ENTREGAN 07/07</t>
  </si>
  <si>
    <t>4502678991 - Maleta Rack instalación en Chile</t>
  </si>
  <si>
    <t>CHA: SENSOR TPMS</t>
  </si>
  <si>
    <t>4502678882 - CHA: SENSOR TPMS</t>
  </si>
  <si>
    <t>CONTACTO AUXILIAR</t>
  </si>
  <si>
    <t>4502678832 - CONTACTO AUXILIAR</t>
  </si>
  <si>
    <t>MANDO ROTATORIO 41310</t>
  </si>
  <si>
    <t>4502678832 - MANDO ROTATORIO 41310</t>
  </si>
  <si>
    <t>INTERRUPTOR AUTOMATIC TERMOMAGNET 160AMP</t>
  </si>
  <si>
    <t>4502678832 - INTERRUPTOR AUTOMATIC TERMOMAGNET 160AMP</t>
  </si>
  <si>
    <t>CONTACTOR MARCA AEG , MODELO LS 107</t>
  </si>
  <si>
    <t>4502678832 - CONTACTOR MARCA AEG , MODELO LS 107</t>
  </si>
  <si>
    <t>CONTACTOR AEG-GE LS45K CL09A</t>
  </si>
  <si>
    <t>4502678832 - CONTACTOR AEG-GE LS45K CL09A</t>
  </si>
  <si>
    <t>CONJ 1ra CAPA AZUL 100 ALG DAMA T-XL</t>
  </si>
  <si>
    <t>4502678808 - CONJ 1ra CAPA AZUL 100 ALG DAMA T-XL</t>
  </si>
  <si>
    <t>TABLET 11" 8G 128 RAM C/LAPIZ</t>
  </si>
  <si>
    <t>4502678787 - TABLET 11" 8G 128 RAM C/LAPIZ</t>
  </si>
  <si>
    <t>CONO NARANJA 2 BANDAS BLANCAS 28"</t>
  </si>
  <si>
    <t>4502678691 - CONO NARANJA 2 BANDAS BLANCAS 28"</t>
  </si>
  <si>
    <t>TUERCA SEGURO DE 1/2"</t>
  </si>
  <si>
    <t>4502678211 - TUERCA SEGURO DE 1/2"</t>
  </si>
  <si>
    <t>Lentes Milwaukee Red Mirror</t>
  </si>
  <si>
    <t>4502678210 - Lentes Milwaukee Red Mirror</t>
  </si>
  <si>
    <t>Lentes Mountain Af espejado  Steelpro</t>
  </si>
  <si>
    <t>4502678210 - Lentes Mountain Af espejado  Steelpro</t>
  </si>
  <si>
    <t>DENSIMETRO 1,300-1,400 = 0,001 gr/cc</t>
  </si>
  <si>
    <t xml:space="preserve">ESPERANDO, RIO LOA </t>
  </si>
  <si>
    <t>4502678123 - DENSIMETRO 1,300-1,400 = 0,001 gr/cc</t>
  </si>
  <si>
    <t>MOTOR CHARLYNN 101-1033 SERIE H</t>
  </si>
  <si>
    <t>4502677927 - MOTOR CHARLYNN 101-1033 SERIE H</t>
  </si>
  <si>
    <t>GANCHO OJO FIJO CIERRE POSITIVO</t>
  </si>
  <si>
    <t>4502677758 - GANCHO OJO FIJO CIERRE POSITIVO</t>
  </si>
  <si>
    <t xml:space="preserve">ESPERANDO RECEPCION, MARCELO </t>
  </si>
  <si>
    <t>4502676716 - Manometro 0-25 BAR 233.50.160mm 1/2 NPT</t>
  </si>
  <si>
    <t>TRAMPA VAPOR UNA46Ahl FLANGED PN40, DN40</t>
  </si>
  <si>
    <t>ENTREGAN 10/08</t>
  </si>
  <si>
    <t>4502676672 - TRAMPA VAPOR UNA46Ahl FLANGED PN40, DN40</t>
  </si>
  <si>
    <t>TRAMPA VAPOR UNA46Ahl 1.1/2”,ANSI150RF</t>
  </si>
  <si>
    <t>4502676672 - TRAMPA VAPOR UNA46Ahl 1.1/2”,ANSI150RF</t>
  </si>
  <si>
    <t>CONJ 1ra CAPA AZUL 100 ALG VARON T-4XL</t>
  </si>
  <si>
    <t>4502676021 - CONJ 1ra CAPA AZUL 100 ALG VARON T-4XL</t>
  </si>
  <si>
    <t>SLACK GRIS VITRIOLEN D/TELA VARON T-L</t>
  </si>
  <si>
    <t>4502676021 - SLACK GRIS VITRIOLEN D/TELA VARON T-L</t>
  </si>
  <si>
    <t>CALEFACTOR ROSCA 2" NPT</t>
  </si>
  <si>
    <t xml:space="preserve">CORDINANDO RETIRO </t>
  </si>
  <si>
    <t>4502675969 - CALEFACTOR ROSCA 2" NPT</t>
  </si>
  <si>
    <t>JERSEY DE LANA CORPORATIVO T-46</t>
  </si>
  <si>
    <t>4502675733 - JERSEY DE LANA CORPORATIVO T-46</t>
  </si>
  <si>
    <t>ACOPLE RECTO 1/4" NPT x 3/8"</t>
  </si>
  <si>
    <t>4502675235 - ACOPLE RECTO 1/4" NPT x 3/8"</t>
  </si>
  <si>
    <t>BOMBA INLINE BOOSTER MOD.2ST4J9G4 P-16</t>
  </si>
  <si>
    <t>4502675229 - BOMBA INLINE BOOSTER MOD.2ST4J9G4 P-16</t>
  </si>
  <si>
    <t>ACOPLAMIENTO ES-3 MECANIZADO ITT 3299</t>
  </si>
  <si>
    <t xml:space="preserve">ENTREGAN 20/07 </t>
  </si>
  <si>
    <t>4502675211 - ACOPLAMIENTO ES-3 MECANIZADO ITT 3299</t>
  </si>
  <si>
    <t>CONJUNTO RODAMIENTO INTERIOR [117D] 3299</t>
  </si>
  <si>
    <t>4502675211 - CONJUNTO RODAMIENTO INTERIOR [117D] 3299</t>
  </si>
  <si>
    <t xml:space="preserve">ENTREGAN FINALES DE JULIO </t>
  </si>
  <si>
    <t>4502675200 - AMPLIFICADOR SAMSON 3710 PART N°2541893</t>
  </si>
  <si>
    <t>Cilin. N2O 2000PPM;120PPM NO;Bal N2;PN3</t>
  </si>
  <si>
    <t>4502675036 - Cilin. N2O 2000PPM;120PPM NO;Bal N2;PN3</t>
  </si>
  <si>
    <t>CILINDRO EPA C3H8, N2O, NO, BCE N2</t>
  </si>
  <si>
    <t>4502675036 - CILINDRO EPA C3H8, N2O, NO, BCE N2</t>
  </si>
  <si>
    <t xml:space="preserve">ESPERANDO VB </t>
  </si>
  <si>
    <t>4502674443 - ETIQUETA RESIDUO CLASE 6 TOXICO</t>
  </si>
  <si>
    <t>4502674443 - ETIQUETA RESIDUO CLASE 5.1 COMBURENTE</t>
  </si>
  <si>
    <t>4502674388 - ETIQUETA RESIDUO NO PELIGROSO</t>
  </si>
  <si>
    <t>4502674388 - ETIQUETA RESIDUO CLASE 4 SOLIDO INFL.</t>
  </si>
  <si>
    <t>4502674388 - ETIQUETA RESIDUO CLASE 3 LIQUIDO INFL.</t>
  </si>
  <si>
    <t>INF:MUEBLES OFICINA INFRAESTRUCTURA</t>
  </si>
  <si>
    <t>4502674040 - INF:MUEBLES OFICINA INFRAESTRUCTURA</t>
  </si>
  <si>
    <t>KIT REPUESTOS LV-46004</t>
  </si>
  <si>
    <t>4502674038 - KIT REPUESTOS LV-46004</t>
  </si>
  <si>
    <t>MANGUERA 3" ROYALFLEX</t>
  </si>
  <si>
    <t>4502673973 - MANGUERA 3" ROYALFLEX</t>
  </si>
  <si>
    <t>MANGUEIRA 2.1/2" TIPO ROYALFLEX</t>
  </si>
  <si>
    <t>4502673973 - MANGUEIRA 2.1/2" TIPO ROYALFLEX</t>
  </si>
  <si>
    <t>Cilin. 80PPM Propano;Balance N2;PN3</t>
  </si>
  <si>
    <t xml:space="preserve">ESPERANDO VALIDACION, CRISTIAN </t>
  </si>
  <si>
    <t>4502673727 - Cilin. 80PPM Propano;Balance N2;PN3</t>
  </si>
  <si>
    <t>RESPIRADOR ADVANTAGE MSA-200 T-M</t>
  </si>
  <si>
    <t>4502673368 - RESPIRADOR ADVANTAGE MSA-200 T-M</t>
  </si>
  <si>
    <t>4502673363 - CODO 90° 1/2" 800 LB S.W.  AC</t>
  </si>
  <si>
    <t>ZAPATOS EDELBROCK 160 N°40</t>
  </si>
  <si>
    <t xml:space="preserve">ANULAR </t>
  </si>
  <si>
    <t>4502672620 - ZAPATOS EDELBROCK 160 N°40</t>
  </si>
  <si>
    <t>Transmisor de presión STG74L Honeywell</t>
  </si>
  <si>
    <t>4502671889 - Transmisor de presión STG74L Honeywell</t>
  </si>
  <si>
    <t>BALANZA DE PRECISION ENTRIS II 2200G</t>
  </si>
  <si>
    <t>4502671484 - BALANZA DE PRECISION ENTRIS II 2200G</t>
  </si>
  <si>
    <t>BALANZA DE PRECISION ENTRIS II  5200G</t>
  </si>
  <si>
    <t>4502671484 - BALANZA DE PRECISION ENTRIS II  5200G</t>
  </si>
  <si>
    <t>GUANTE ANTI IMPACTO T-M</t>
  </si>
  <si>
    <t>4502671393 - GUANTE ANTI IMPACTO T-M</t>
  </si>
  <si>
    <t>GUANTE ANTI IMPACTO T-S</t>
  </si>
  <si>
    <t>4502671393 - GUANTE ANTI IMPACTO T-S</t>
  </si>
  <si>
    <t>Multimetro digital FLUKE 106 portatil AC</t>
  </si>
  <si>
    <t>4502670000 - Multimetro digital FLUKE 106 portatil AC</t>
  </si>
  <si>
    <t>BAGUETA VIDRIO MACIZO 25 CM LARGO</t>
  </si>
  <si>
    <t xml:space="preserve">ENTREGAN 13/05, ESPERANDO GUIA </t>
  </si>
  <si>
    <t>4502669859 - BAGUETA VIDRIO MACIZO 25 CM LARGO</t>
  </si>
  <si>
    <t>PROBETA 250 ML</t>
  </si>
  <si>
    <t>4502669859 - PROBETA 250 ML</t>
  </si>
  <si>
    <t>PROBETA  1000 ML.</t>
  </si>
  <si>
    <t>4502669859 - PROBETA  1000 ML.</t>
  </si>
  <si>
    <t>PROBETA 500 ML.</t>
  </si>
  <si>
    <t>4502669859 - PROBETA 500 ML.</t>
  </si>
  <si>
    <t>MATRAZ  CASSIA  100 ML</t>
  </si>
  <si>
    <t>4502669859 - MATRAZ  CASSIA  100 ML</t>
  </si>
  <si>
    <t>ACEITE MOBIL DTE 26 (ISO68)</t>
  </si>
  <si>
    <t>4502669605 - ACEITE MOBIL DTE 26 (ISO68)</t>
  </si>
  <si>
    <t>MALLA TIPO SACO 5 KILOS AMARILLA</t>
  </si>
  <si>
    <t>4502669405 - MALLA TIPO SACO 5 KILOS AMARILLA</t>
  </si>
  <si>
    <t>VALVULA GATE SW SS 304   1" X 800</t>
  </si>
  <si>
    <t>4502669002 - VALVULA GATE SW SS 304   1" X 800</t>
  </si>
  <si>
    <t>4502668973 - MANGUEIRA 2.1/2" TIPO ROYALFLEX</t>
  </si>
  <si>
    <t>4502668973 - MANGUERA 3" ROYALFLEX</t>
  </si>
  <si>
    <t>4502668886 - BBA EVAC. CONDENSADO MAXI ORANGE FP2210</t>
  </si>
  <si>
    <t>4502668628 - LUMINARIA VIAL LED ELE SIGNUS-5 150W DS1</t>
  </si>
  <si>
    <t>4502667945 - CORREA A. 650MM EP 400/3 4X2. L=52 MTS.</t>
  </si>
  <si>
    <t xml:space="preserve">ENTREGA PARCIAL </t>
  </si>
  <si>
    <t>4502666756 - OXIGENO EN TUBOS</t>
  </si>
  <si>
    <t>4502665932 - DISCO STINGRAY ANGULADO GR36 COD 768502</t>
  </si>
  <si>
    <t>CAJA DE PALLET PLÁSTICA</t>
  </si>
  <si>
    <t xml:space="preserve">PROVEEDOR NO TIENE MATERIAL </t>
  </si>
  <si>
    <t>4502665123 - CAJA DE PALLET PLÁSTICA</t>
  </si>
  <si>
    <t>4502664866 - SPRAY ANTICORROSIVO 485ml</t>
  </si>
  <si>
    <t>BOMBA CENTRIFUGA CEHY 6108 TF4AL VVI BK</t>
  </si>
  <si>
    <t>4502663853 - BOMBA CENTRIFUGA CEHY 6108 TF4AL VVI BK</t>
  </si>
  <si>
    <t>Llave doble, medida 30-36 mm</t>
  </si>
  <si>
    <t>RECHAZO, FELIPE</t>
  </si>
  <si>
    <t>4502663827 - Llave doble, medida 30-36 mm</t>
  </si>
  <si>
    <t>Surtido de tizas, varios colores</t>
  </si>
  <si>
    <t>4502663827 - Surtido de tizas, varios colores</t>
  </si>
  <si>
    <t>Gato hidráulico de botella, 10 toneladas</t>
  </si>
  <si>
    <t>4502663827 - Gato hidráulico de botella, 10 toneladas</t>
  </si>
  <si>
    <t>NSELL-HYFLEX 11-849 143810 T- 9</t>
  </si>
  <si>
    <t>4502663348 - NSELL-HYFLEX 11-849 143810 T- 9</t>
  </si>
  <si>
    <t>NSELL-HYFLEX 11-849 143810 T- 10</t>
  </si>
  <si>
    <t>4502663348 - NSELL-HYFLEX 11-849 143810 T- 10</t>
  </si>
  <si>
    <t>ACTUADOR BOMBA DOSIFICADORA P4607A/B</t>
  </si>
  <si>
    <t>4502663016 - ACTUADOR BOMBA DOSIFICADORA P4607A/B</t>
  </si>
  <si>
    <t>BOMBA DOSIFICADORA P4607A/B  B+L NOV H1</t>
  </si>
  <si>
    <t>4502663016 - BOMBA DOSIFICADORA P4607A/B  B+L NOV H1</t>
  </si>
  <si>
    <t>RELE CONTROLADOR T° E5CNHR2M500 V-5141</t>
  </si>
  <si>
    <t xml:space="preserve">ESPERANDO PAGO, CONI </t>
  </si>
  <si>
    <t>4502662920 - RELE CONTROLADOR T° E5CNHR2M500 V-5141</t>
  </si>
  <si>
    <t>4502662897 - PUNTILLA COMPRESION 0.75MM 500 UN</t>
  </si>
  <si>
    <t>FOCO PORTATIL STREAMLIGHT SCENE 45671</t>
  </si>
  <si>
    <t>4502662744 - FOCO PORTATIL STREAMLIGHT SCENE 45671</t>
  </si>
  <si>
    <t>4502662156 - Gato hidráulico de botella, 10 toneladas</t>
  </si>
  <si>
    <t>MANGUERA 2" PVC - DENSIEX</t>
  </si>
  <si>
    <t xml:space="preserve">VIENDO PAGO, SOFI </t>
  </si>
  <si>
    <t>4502661823 - MANGUERA 2" PVC - DENSIEX</t>
  </si>
  <si>
    <t>RELE MULTILIN 850 RETROFIT</t>
  </si>
  <si>
    <t>4502661573 - RELE MULTILIN 850 RETROFIT</t>
  </si>
  <si>
    <t>Modificación Sobre Chasis</t>
  </si>
  <si>
    <t xml:space="preserve">TODAVIA NO MANDAN CHASIS A PROVEEDOR </t>
  </si>
  <si>
    <t>4502660682 - Modificación Sobre Chasis</t>
  </si>
  <si>
    <t>Raspador p/correa E34EZP1 26" SS H-9211</t>
  </si>
  <si>
    <t>4502660045 - Raspador p/correa E34EZP1 26" SS H-9211</t>
  </si>
  <si>
    <t>Raspador p/correa E34EZP1 20" SS H-9202</t>
  </si>
  <si>
    <t>4502660045 - Raspador p/correa E34EZP1 20" SS H-9202</t>
  </si>
  <si>
    <t>Raspador p/correa E34EZP1 40" SS H-9201</t>
  </si>
  <si>
    <t>4502660045 - Raspador p/correa E34EZP1 40" SS H-9201</t>
  </si>
  <si>
    <t>ACEITE SHELL CORENA S-46</t>
  </si>
  <si>
    <t xml:space="preserve">NO TIENE STOCK </t>
  </si>
  <si>
    <t>4502659336 - ACEITE SHELL CORENA S-46</t>
  </si>
  <si>
    <t>Medidor de presión linea de 3"</t>
  </si>
  <si>
    <t xml:space="preserve">EN PLANTA SOLO FALTA RECEPCIONAR </t>
  </si>
  <si>
    <t>4502659304 - Medidor de presión linea de 3"</t>
  </si>
  <si>
    <t>CORREA A. 650MM EP 400/3 4X2. L=121 MTS.</t>
  </si>
  <si>
    <t xml:space="preserve">ENTREGAN 27/07 </t>
  </si>
  <si>
    <t>4502659295 - CORREA A. 650MM EP 400/3 4X2. L=121 MTS.</t>
  </si>
  <si>
    <t>Cuerda trenzada de 7/8</t>
  </si>
  <si>
    <t>4502658767 - Cuerda trenzada de 7/8</t>
  </si>
  <si>
    <t>CONSUMIBLE MAQUINA G-L PUMPKIN SPICE CAK</t>
  </si>
  <si>
    <t xml:space="preserve">NO SE RECEPCIONO </t>
  </si>
  <si>
    <t>4502658565 - CONSUMIBLE MAQUINA G-L PUMPKIN SPICE CAK</t>
  </si>
  <si>
    <t>CONSUMIBLE MAQUINA G-L MAPLE PECAN</t>
  </si>
  <si>
    <t>4502658565 - CONSUMIBLE MAQUINA G-L MAPLE PECAN</t>
  </si>
  <si>
    <t>Valvula de control completa TV-9231 A</t>
  </si>
  <si>
    <t>ENTREGAN FINALES DE AGOSTO</t>
  </si>
  <si>
    <t>4502658492 - Valvula de control completa TV-9231 A</t>
  </si>
  <si>
    <t>KIT REPUESTOS TV-9231 A FOXBORO</t>
  </si>
  <si>
    <t>4502658492 - KIT REPUESTOS TV-9231 A FOXBORO</t>
  </si>
  <si>
    <t>Valvula de control completa TV-9232 A</t>
  </si>
  <si>
    <t>4502658492 - Valvula de control completa TV-9232 A</t>
  </si>
  <si>
    <t>KIT REPUESTOS TV-9232 A FOXBORO</t>
  </si>
  <si>
    <t>4502658492 - KIT REPUESTOS TV-9232 A FOXBORO</t>
  </si>
  <si>
    <t>KIT REPUESTOS LV-9201 FOXBORO</t>
  </si>
  <si>
    <t>4502658492 - KIT REPUESTOS LV-9201 FOXBORO</t>
  </si>
  <si>
    <t>Valvula de control completa LV-9201</t>
  </si>
  <si>
    <t>4502658492 - Valvula de control completa LV-9201</t>
  </si>
  <si>
    <t>LUMINARIA SOLAR 180W 1800K DS1</t>
  </si>
  <si>
    <t>4502655614 - LUMINARIA SOLAR 180W 1800K DS1</t>
  </si>
  <si>
    <t>KIT REPUESTOS VALVULA SAMSON XV45012</t>
  </si>
  <si>
    <t xml:space="preserve">ENTREGAN SEGUNDA SEMANA JULIO </t>
  </si>
  <si>
    <t>4502655035 - KIT REPUESTOS VALVULA SAMSON XV45012</t>
  </si>
  <si>
    <t>KIT REPUESTOS VALVULA SAMSON PV45006C</t>
  </si>
  <si>
    <t>4502655035 - KIT REPUESTOS VALVULA SAMSON PV45006C</t>
  </si>
  <si>
    <t>KIT REPUESTOS VALVULA SAMSON FV45021</t>
  </si>
  <si>
    <t>4502655035 - KIT REPUESTOS VALVULA SAMSON FV45021</t>
  </si>
  <si>
    <t>KIT REPUESTOS PARA VALVULA AV-47002</t>
  </si>
  <si>
    <t>4502655035 - KIT REPUESTOS PARA VALVULA AV-47002</t>
  </si>
  <si>
    <t>GRAPHITE GASKET 40X52X1, 1.4401</t>
  </si>
  <si>
    <t>4502655035 - GRAPHITE GASKET 40X52X1, 1.4401</t>
  </si>
  <si>
    <t>GRAPHITE GASKET  8414 - 1493</t>
  </si>
  <si>
    <t>4502655035 - GRAPHITE GASKET  8414 - 1493</t>
  </si>
  <si>
    <t>4502655035 - POSICIONADOR SAMSON MOD.3730-3 C/SWITCH</t>
  </si>
  <si>
    <t>KIT DE REPUESTOS VALVULA  PV-45036</t>
  </si>
  <si>
    <t>4502655035 - KIT DE REPUESTOS VALVULA  PV-45036</t>
  </si>
  <si>
    <t>KIT DE REPUESTOS VALVULA  LV-45019B</t>
  </si>
  <si>
    <t>4502655035 - KIT DE REPUESTOS VALVULA  LV-45019B</t>
  </si>
  <si>
    <t>KIT DE REPUESTOS VALVULA  LV-45019A</t>
  </si>
  <si>
    <t>4502655035 - KIT DE REPUESTOS VALVULA  LV-45019A</t>
  </si>
  <si>
    <t>Empaque PTFE 2 1/2" a 3", gasket 102x120</t>
  </si>
  <si>
    <t>4502655035 - Empaque PTFE 2 1/2" a 3", gasket 102x120</t>
  </si>
  <si>
    <t>Actuador neumático 3277 240 cm2</t>
  </si>
  <si>
    <t>4502655035 - Actuador neumático 3277 240 cm2</t>
  </si>
  <si>
    <t>Empaque PTFE 1 1/2" a 2", gasket 73x88</t>
  </si>
  <si>
    <t>4502655035 - Empaque PTFE 1 1/2" a 2", gasket 73x88</t>
  </si>
  <si>
    <t>Empaque PTFE 1/2" a 1", gasket 40x52x0,5</t>
  </si>
  <si>
    <t>4502655035 - Empaque PTFE 1/2" a 1", gasket 40x52x0,5</t>
  </si>
  <si>
    <t>Empaque grafito 4", gasket 130x150x1</t>
  </si>
  <si>
    <t>4502655035 - Empaque grafito 4", gasket 130x150x1</t>
  </si>
  <si>
    <t>Sello PTFE 4" a 6", Ajusta packing</t>
  </si>
  <si>
    <t>4502655035 - Sello PTFE 4" a 6", Ajusta packing</t>
  </si>
  <si>
    <t>Sello grafito 4"a 6", Ajusta packing</t>
  </si>
  <si>
    <t>4502655035 - Sello grafito 4"a 6", Ajusta packing</t>
  </si>
  <si>
    <t>Sello NPS 4"a 6",packing DN 4" a 6"</t>
  </si>
  <si>
    <t>4502655035 - Sello NPS 4"a 6",packing DN 4" a 6"</t>
  </si>
  <si>
    <t>KIT REPUESTOS PARA XV-47004</t>
  </si>
  <si>
    <t>4502655035 - KIT REPUESTOS PARA XV-47004</t>
  </si>
  <si>
    <t>KIT REPUESTOS PARA TV-47026</t>
  </si>
  <si>
    <t>4502655035 - KIT REPUESTOS PARA TV-47026</t>
  </si>
  <si>
    <t>KIT REPUESTOS PARA TV 47006B</t>
  </si>
  <si>
    <t>4502655035 - KIT REPUESTOS PARA TV 47006B</t>
  </si>
  <si>
    <t>KIT REPUESTOS PARA FV-47031</t>
  </si>
  <si>
    <t>4502655035 - KIT REPUESTOS PARA FV-47031</t>
  </si>
  <si>
    <t>KIT VALVULA CONTROL PV-51426</t>
  </si>
  <si>
    <t>4502655035 - KIT VALVULA CONTROL PV-51426</t>
  </si>
  <si>
    <t>TRAJE ENCAPSULADO A/ACIDO C3128T TN T-XL</t>
  </si>
  <si>
    <t>4502655022 - TRAJE ENCAPSULADO A/ACIDO C3128T TN T-XL</t>
  </si>
  <si>
    <t>SPIRAL CGI Ø20"X300LB MAT 304/FG304/304</t>
  </si>
  <si>
    <t>4502655014 - SPIRAL CGI Ø20"X300LB MAT 304/FG304/304</t>
  </si>
  <si>
    <t>4502655014 - SPIRAL CGI Ø2"X300LB MAT  304/FG304/304</t>
  </si>
  <si>
    <t>4502655014 - SPIRAL CGI Ø2"X150LB 304/PTFE304/304</t>
  </si>
  <si>
    <t>DENSIMETRO 1,400-1,500 = 0,001 gr/cc</t>
  </si>
  <si>
    <t xml:space="preserve">LLEGARON LAS DOS EN MAL ESTADO </t>
  </si>
  <si>
    <t>4502654807 - DENSIMETRO 1,400-1,500 = 0,001 gr/cc</t>
  </si>
  <si>
    <t>Sensor de radar 80 GHz Micropilot FMR67B</t>
  </si>
  <si>
    <t>4502654795 - Sensor de radar 80 GHz Micropilot FMR67B</t>
  </si>
  <si>
    <t>VALVULA TEFLONVITON MIC-SWITCH 3" INOX</t>
  </si>
  <si>
    <t>4502654757 - VALVULA TEFLONVITON MIC-SWITCH 3" INOX</t>
  </si>
  <si>
    <t>VALVULA TEFLONVITON MIC-SWITCH 3"FO INOX</t>
  </si>
  <si>
    <t>4502654757 - VALVULA TEFLONVITON MIC-SWITCH 3"FO INOX</t>
  </si>
  <si>
    <t>SIMATIC ET200M/LINK IM153-2 (BA02-0XB0)</t>
  </si>
  <si>
    <t>4502654545 - SIMATIC ET200M/LINK IM153-2 (BA02-0XB0)</t>
  </si>
  <si>
    <t>4502653533 - CUÑA POLIURETANO PARA CAMIONETA</t>
  </si>
  <si>
    <t>CUÑA POLIURETANO 20 TON</t>
  </si>
  <si>
    <t>4502653533 - CUÑA POLIURETANO 20 TON</t>
  </si>
  <si>
    <t>ANILLO EMPUJE DIVIDIDO PN82239070 P5201A</t>
  </si>
  <si>
    <t>4502653318 - ANILLO EMPUJE DIVIDIDO PN82239070 P5201A</t>
  </si>
  <si>
    <t>JERSEY DE LANA CORPORATIVO T-42</t>
  </si>
  <si>
    <t>4502653123 - JERSEY DE LANA CORPORATIVO T-42</t>
  </si>
  <si>
    <t>VALVULA PLUG 1" #150 BW API STD 599 A182</t>
  </si>
  <si>
    <t>ENTREGAN 13/07</t>
  </si>
  <si>
    <t>4502652766 - VALVULA PLUG 1" #150 BW API STD 599 A182</t>
  </si>
  <si>
    <t>PLUG VALVE 3/4"150# ASME B16,10 F-304 RF</t>
  </si>
  <si>
    <t>4502652766 - PLUG VALVE 3/4"150# ASME B16,10 F-304 RF</t>
  </si>
  <si>
    <t>ESTANQUE SEMI HORIZONTAL 30TON</t>
  </si>
  <si>
    <t xml:space="preserve">Jorge </t>
  </si>
  <si>
    <t>4502650925 - ESTANQUE SEMI HORIZONTAL 30TON</t>
  </si>
  <si>
    <t>4502649855 - CINTURON MINERO P/AUTORESCATADOR</t>
  </si>
  <si>
    <t>FABRICACION CASET UBT + CARROCERIA</t>
  </si>
  <si>
    <t>ENTREGAN 20/05</t>
  </si>
  <si>
    <t>4502649839 - FABRICACION CASET UBT + CARROCERIA</t>
  </si>
  <si>
    <t>TRANSM TEMPERATURA 1/2 NPT 50mm. TA2313</t>
  </si>
  <si>
    <t xml:space="preserve">ESPERANDO RECEPCIÓN </t>
  </si>
  <si>
    <t>4502649792 - TRANSM TEMPERATURA 1/2 NPT 50mm. TA2313</t>
  </si>
  <si>
    <t>Válvula Check Pre ajust  Inox 3 a 50 psi</t>
  </si>
  <si>
    <t>PROVEEDOR ENTREGO MAL, ESPERANDO A VICTOR</t>
  </si>
  <si>
    <t>4502649104 - Válvula Check Pre ajust  Inox 3 a 50 psi</t>
  </si>
  <si>
    <t>PANTALON AZUL IGNIFUGO ANTIAC ANTIEST 50</t>
  </si>
  <si>
    <t>ENTREGAN 20/04</t>
  </si>
  <si>
    <t>4502648952 - PANTALON AZUL IGNIFUGO ANTIAC ANTIEST 50</t>
  </si>
  <si>
    <t>CAMISA GRIS IGNIFUG ANTIAC ANTIESTA T-XL</t>
  </si>
  <si>
    <t>4502648952 - CAMISA GRIS IGNIFUG ANTIAC ANTIESTA T-XL</t>
  </si>
  <si>
    <t>BOTELLA LAVAOJOS CON SOPORTE STEELPRO</t>
  </si>
  <si>
    <t xml:space="preserve">ESPERANDO RECEPCIÓN, BLADIMIR </t>
  </si>
  <si>
    <t>4502648871 - BOTELLA LAVAOJOS CON SOPORTE STEELPRO</t>
  </si>
  <si>
    <t xml:space="preserve">MANDARN 12, TIENEN QUIEBRE </t>
  </si>
  <si>
    <t>4502648474 - LÁMPARA MINERA INALÁMBRICA KL 6000 STEEL</t>
  </si>
  <si>
    <t>ACOPLE CAMLOCK "C" INOX. HEMBRA  3"</t>
  </si>
  <si>
    <t>4502648342 - ACOPLE CAMLOCK "C" INOX. HEMBRA  3"</t>
  </si>
  <si>
    <t>LAMINA PROTECCION TP-177B (pack 10 un.)</t>
  </si>
  <si>
    <t xml:space="preserve">EN GIL, CAMBIO </t>
  </si>
  <si>
    <t>4502648023 - LAMINA PROTECCION TP-177B (pack 10 un.)</t>
  </si>
  <si>
    <t>SENSOR INDUCTIVO TURCK N15-P12SK-AP6X</t>
  </si>
  <si>
    <t>4502648023 - SENSOR INDUCTIVO TURCK N15-P12SK-AP6X</t>
  </si>
  <si>
    <t>ENTREGAN 29/05</t>
  </si>
  <si>
    <t>4502647366 - Enfriador de aceite 24V 200 LPM Parker</t>
  </si>
  <si>
    <t>AGUA DESALADA</t>
  </si>
  <si>
    <t>4502647303 - AGUA DESALADA</t>
  </si>
  <si>
    <t>AGUA DESMINERALIZADA</t>
  </si>
  <si>
    <t xml:space="preserve">ESPERANDO A PAULA RUIZ </t>
  </si>
  <si>
    <t>4502647290 - AGUA DESMINERALIZADA</t>
  </si>
  <si>
    <t>BISAGRA BRONCE DE  4"</t>
  </si>
  <si>
    <t>4502646160 - BISAGRA BRONCE DE  4"</t>
  </si>
  <si>
    <t>ACEITE SHELL TELLUS S2MX46 18,9 Lts.</t>
  </si>
  <si>
    <t xml:space="preserve">CONSUELO VIENDO PRECIO </t>
  </si>
  <si>
    <t>4502643959 - ACEITE SHELL TELLUS S2MX46 18,9 Lts.</t>
  </si>
  <si>
    <t>Estanque Reforzado 10000 L</t>
  </si>
  <si>
    <t>4502643651 - Estanque Reforzado 10000 L</t>
  </si>
  <si>
    <t>4502642873 - PANTALON MEZCLILLA VARON /46</t>
  </si>
  <si>
    <t>4502642873 - PANTALON MEZCLILLA VARON /44</t>
  </si>
  <si>
    <t>GORRO PESCADOR GABARDINA C/LOGO ENAEX</t>
  </si>
  <si>
    <t xml:space="preserve">FALTA RECEPCIÓN, CESAR PIZARRO </t>
  </si>
  <si>
    <t>4502642872 - GORRO PESCADOR GABARDINA C/LOGO ENAEX</t>
  </si>
  <si>
    <t>4502642421 - AGUA DESMINERALIZADA</t>
  </si>
  <si>
    <t>STUB END ELECTROFU PN16 PE100 Ꝋ 315 mm</t>
  </si>
  <si>
    <t>4502641722 - STUB END ELECTROFU PN16 PE100 Ꝋ 315 mm</t>
  </si>
  <si>
    <t>4502640423 - SUPPORT ROLLER AND SHAFT</t>
  </si>
  <si>
    <t>4502640423 - THRUST ROLLER SHAFT AND BASE</t>
  </si>
  <si>
    <t>Lente, 3M SF407SGAF-BLU SELLADO In/Out</t>
  </si>
  <si>
    <t>4502640240 - Lente, 3M SF407SGAF-BLU SELLADO In/Out</t>
  </si>
  <si>
    <t>DISPENSADOR P/TOALLA NOVA</t>
  </si>
  <si>
    <t xml:space="preserve">ESPERANDO RECEPCION,SERGIO </t>
  </si>
  <si>
    <t>4502638202 - DISPENSADOR P/TOALLA NOVA</t>
  </si>
  <si>
    <t>MEDIDOR NIVEL DE AGUA ESTANQUE</t>
  </si>
  <si>
    <t>DESPACHO 19/02</t>
  </si>
  <si>
    <t>4502638151 - MEDIDOR NIVEL DE AGUA ESTANQUE</t>
  </si>
  <si>
    <t>KIT REPARACION BOMBA ITT GOULDS 3299 S</t>
  </si>
  <si>
    <t>4502636613 - KIT REPARACION BOMBA ITT GOULDS 3299 S</t>
  </si>
  <si>
    <t>ANHIDRIDO CARBONICO CO2 EN TUBOS</t>
  </si>
  <si>
    <t>4502636123 - ANHIDRIDO CARBONICO CO2 EN TUBOS</t>
  </si>
  <si>
    <t>BASE RELE MINI 11P</t>
  </si>
  <si>
    <t>4502633344 - BASE RELE MINI 11P</t>
  </si>
  <si>
    <t>INTERRUPTOR HORARIO DATA MICRO 2cc</t>
  </si>
  <si>
    <t>4502633344 - INTERRUPTOR HORARIO DATA MICRO 2cc</t>
  </si>
  <si>
    <t>CABLE THHN N°14 BLANCO</t>
  </si>
  <si>
    <t>4502633344 - CABLE THHN N°14 BLANCO</t>
  </si>
  <si>
    <t>COMPRA PACK AGUA NATURAL  12 X 500 CC</t>
  </si>
  <si>
    <t>4502632752 - COMPRA PACK AGUA NATURAL  12 X 500 CC</t>
  </si>
  <si>
    <t>COMPRA DE BOTELLONES  DE AGUA 20 LTS.</t>
  </si>
  <si>
    <t>4502632752 - COMPRA DE BOTELLONES  DE AGUA 20 LTS.</t>
  </si>
  <si>
    <t>COMPRA DE AGUA INDUSTRIAL RIEGO MENSUAL</t>
  </si>
  <si>
    <t xml:space="preserve">SE VA PAGANDO EN EL AÑO </t>
  </si>
  <si>
    <t>4502632744 - COMPRA DE AGUA INDUSTRIAL RIEGO MENSUAL</t>
  </si>
  <si>
    <t xml:space="preserve">NO LLEGARON LAS 9 </t>
  </si>
  <si>
    <t>4502631739 - FORMULARIO PERMISO DE TRABAJO SEGURO</t>
  </si>
  <si>
    <t>ESLINGA AMARRA 2" 9MT C/CHICH 5 TON</t>
  </si>
  <si>
    <t>4502631571 - ESLINGA AMARRA 2" 9MT C/CHICH 5 TON</t>
  </si>
  <si>
    <t>ENTREGAN 10/09</t>
  </si>
  <si>
    <t>4502631216 - TRANSMISOR PH ROSEMOUNT MOD 5081 P</t>
  </si>
  <si>
    <t>VALVULA DIAFRAGMA DN50 PN10 RF FD EPDM</t>
  </si>
  <si>
    <t xml:space="preserve">ENTREGAN FINES DE SEPTIEMBRE </t>
  </si>
  <si>
    <t>4502630963 - VALVULA DIAFRAGMA DN50 PN10 RF FD EPDM</t>
  </si>
  <si>
    <t>MOTOR CHARLYNN 101-2416</t>
  </si>
  <si>
    <t xml:space="preserve">ESPERANDO RECEPCION, SANTIAGO </t>
  </si>
  <si>
    <t>4502628964 - MOTOR CHARLYNN 101-2416</t>
  </si>
  <si>
    <t>ANTICONGELANTE (FREEZE) 50%</t>
  </si>
  <si>
    <t xml:space="preserve">ESPERANDO FECHA </t>
  </si>
  <si>
    <t>4502622123 - ANTICONGELANTE (FREEZE) 50%</t>
  </si>
  <si>
    <t>JUNTA CUERPO BOMBA POS 4590 P-4506ABC</t>
  </si>
  <si>
    <t>4502621886 - JUNTA CUERPO BOMBA POS 4590 P-4506ABC</t>
  </si>
  <si>
    <t>ANILLO ESTANQUIEDAD POS4330 P-4506ABC</t>
  </si>
  <si>
    <t>4502621886 - ANILLO ESTANQUIEDAD POS4330 P-4506ABC</t>
  </si>
  <si>
    <t>RING OILER REF.3861 P-4506</t>
  </si>
  <si>
    <t>4502621886 - RING OILER REF.3861 P-4506</t>
  </si>
  <si>
    <t>TUERCA SUJECIÓN ROD. POS3712 P-4506ABC</t>
  </si>
  <si>
    <t>4502621886 - TUERCA SUJECIÓN ROD. POS3712 P-4506ABC</t>
  </si>
  <si>
    <t>AXIAL BALL BEARING O/DRIVE/S REF.3043</t>
  </si>
  <si>
    <t>4502621886 - AXIAL BALL BEARING O/DRIVE/S REF.3043</t>
  </si>
  <si>
    <t>RADIAL BALL BEARING DRIVE SIDE REF.3041</t>
  </si>
  <si>
    <t>4502621886 - RADIAL BALL BEARING DRIVE SIDE REF.3041</t>
  </si>
  <si>
    <t>JUNTA DEFLECTOR EXTER POS 4610 P-4506C</t>
  </si>
  <si>
    <t>4502621886 - JUNTA DEFLECTOR EXTER POS 4610 P-4506C</t>
  </si>
  <si>
    <t>JUNTA DEFLECTOR INTER POS 4610,1 P-4506C</t>
  </si>
  <si>
    <t>4502621886 - JUNTA DEFLECTOR INTER POS 4610,1 P-4506C</t>
  </si>
  <si>
    <t>DEFLECTOR INTERIOR POS2540.2  P-4506ABC</t>
  </si>
  <si>
    <t>4502621886 - DEFLECTOR INTERIOR POS2540.2  P-4506ABC</t>
  </si>
  <si>
    <t>COJINETE ESTANQ CENTRAL POS 1610 P-4506C</t>
  </si>
  <si>
    <t>4502621886 - COJINETE ESTANQ CENTRAL POS 1610 P-4506C</t>
  </si>
  <si>
    <t>CAMISA ANILLO POS 2491.1 P-4506ABC</t>
  </si>
  <si>
    <t>4502621886 - CAMISA ANILLO POS 2491.1 P-4506ABC</t>
  </si>
  <si>
    <t>CAMISA ANILLO POS 2491 P-4506ABC</t>
  </si>
  <si>
    <t>4502621886 - CAMISA ANILLO POS 2491 P-4506ABC</t>
  </si>
  <si>
    <t>Arandela freno tuerca rod POS 6542 P4506</t>
  </si>
  <si>
    <t>4502621886 - Arandela freno tuerca rod POS 6542 P4506</t>
  </si>
  <si>
    <t>Junta camisa eje POS4610,3 JU0669 P-4506</t>
  </si>
  <si>
    <t>4502621886 - Junta camisa eje POS4610,3 JU0669 P-4506</t>
  </si>
  <si>
    <t>Junta deflector interior POS4610,2 P4506</t>
  </si>
  <si>
    <t>4502621886 - Junta deflector interior POS4610,2 P4506</t>
  </si>
  <si>
    <t>Junta caja cierre POS4590,2 JU0969 P4506</t>
  </si>
  <si>
    <t>4502621886 - Junta caja cierre POS4590,2 JU0969 P4506</t>
  </si>
  <si>
    <t>Anillo estanq INT L/O/ACOP Pos4330,2</t>
  </si>
  <si>
    <t>4502621886 - Anillo estanq INT L/O/ACOP Pos4330,2</t>
  </si>
  <si>
    <t>Anillo estanq INT L/ACOP Pos4330,1 P4506</t>
  </si>
  <si>
    <t>4502621886 - Anillo estanq INT L/ACOP Pos4330,1 P4506</t>
  </si>
  <si>
    <t>Tope de fondo POS4132 P-4506C</t>
  </si>
  <si>
    <t>4502621886 - Tope de fondo POS4132 P-4506C</t>
  </si>
  <si>
    <t>DEFLECTOR INTERIOR POS2540.1  P-4506ABC</t>
  </si>
  <si>
    <t>4502621886 - DEFLECTOR INTERIOR POS2540.1  P-4506ABC</t>
  </si>
  <si>
    <t>Pasador aro degaste cuerpo POS 2931,2</t>
  </si>
  <si>
    <t>4502621886 - Pasador aro degaste cuerpo POS 2931,2</t>
  </si>
  <si>
    <t>Pasador cojinete equilibrio POS 2931,1</t>
  </si>
  <si>
    <t>4502621886 - Pasador cojinete equilibrio POS 2931,1</t>
  </si>
  <si>
    <t>Pasador cojinete estanquiedad POS 2931</t>
  </si>
  <si>
    <t>4502621886 - Pasador cojinete estanquiedad POS 2931</t>
  </si>
  <si>
    <t>Anillo apoyo rodamiento POS2483 P-4506C</t>
  </si>
  <si>
    <t>4502621886 - Anillo apoyo rodamiento POS2483 P-4506C</t>
  </si>
  <si>
    <t>Camisa reglaje rodamiento POS2461 P4506C</t>
  </si>
  <si>
    <t>4502621886 - Camisa reglaje rodamiento POS2461 P4506C</t>
  </si>
  <si>
    <t>Conjunto rotor bomba DVMX 3x4x9HH P-4506</t>
  </si>
  <si>
    <t>4502621886 - Conjunto rotor bomba DVMX 3x4x9HH P-4506</t>
  </si>
  <si>
    <t>JUNTA CUB. SOPORTE POS 4590.1 P-4506ABC</t>
  </si>
  <si>
    <t>4502621886 - JUNTA CUB. SOPORTE POS 4590.1 P-4506ABC</t>
  </si>
  <si>
    <t>SELLO MEC Ø2 7/8"8B1/GR1S1/PG P-4506ABC</t>
  </si>
  <si>
    <t>4502621886 - SELLO MEC Ø2 7/8"8B1/GR1S1/PG P-4506ABC</t>
  </si>
  <si>
    <t>COUPLING KEY REF.6742 P-4506</t>
  </si>
  <si>
    <t>4502621886 - COUPLING KEY REF.6742 P-4506</t>
  </si>
  <si>
    <t>BALANCING BUSHING REF.6231 P-4506</t>
  </si>
  <si>
    <t>4502621886 - BALANCING BUSHING REF.6231 P-4506</t>
  </si>
  <si>
    <t>DEFLECTOR EXTERIOR POS2540  P-4506ABC</t>
  </si>
  <si>
    <t>4502621886 - DEFLECTOR EXTERIOR POS2540  P-4506ABC</t>
  </si>
  <si>
    <t>Llega 03/01</t>
  </si>
  <si>
    <t>4502621594 - GRASA MOBIL POLYREX EM 103 ENV 16KG</t>
  </si>
  <si>
    <t>4502620991 - PERNO INOX. 1/2" x 1.1/2" C/TUERCA</t>
  </si>
  <si>
    <t>ACEITE RHENUS OGS 24 17Lts.</t>
  </si>
  <si>
    <t>4502619469 - ACEITE RHENUS OGS 24 17Lts.</t>
  </si>
  <si>
    <t>ACEITE SHELL OMALA S4 WE 220 TIN. 20 LTS</t>
  </si>
  <si>
    <t>4502619469 - ACEITE SHELL OMALA S4 WE 220 TIN. 20 LTS</t>
  </si>
  <si>
    <t>MOTOR AEG AM315SM4 110KW-1485RPM</t>
  </si>
  <si>
    <t>4502616520 - MOTOR AEG AM315SM4 110KW-1485RPM</t>
  </si>
  <si>
    <t>4502614423 - LAMINA PROTECCION TP-177B (pack 10 un.)</t>
  </si>
  <si>
    <t xml:space="preserve">ENTREGAN 2DA SEMANA JULIO </t>
  </si>
  <si>
    <t>4502611854 - TYRES LLANTA LADO ALIMENTACION SECADOR</t>
  </si>
  <si>
    <t>GATE VALVE SRC0110A 6"</t>
  </si>
  <si>
    <t>ESPERANDO VALIDACION, PEDRO</t>
  </si>
  <si>
    <t>4502611588 - GATE VALVE SRC0110A 6"</t>
  </si>
  <si>
    <t>POLICARBONATO EN PLANCHA LISA MACIZA 4mm</t>
  </si>
  <si>
    <t>4502611557 - POLICARBONATO EN PLANCHA LISA MACIZA 4mm</t>
  </si>
  <si>
    <t>RESISTENCIA SOLENOIDE ANSUL73327 NP73606</t>
  </si>
  <si>
    <t>4502606234 - RESISTENCIA SOLENOIDE ANSUL73327 NP73606</t>
  </si>
  <si>
    <t>4502603384 - COLIHUES DE 1.5 MTS</t>
  </si>
  <si>
    <t>llave para abrir tambores</t>
  </si>
  <si>
    <t>4502593373 - llave para abrir tambores</t>
  </si>
  <si>
    <t>IR Detector C3H8 CaF2 42714098V31 XSTREA</t>
  </si>
  <si>
    <t>ENTREGAN 10/01</t>
  </si>
  <si>
    <t>4502592802 - IR Detector C3H8 CaF2 42714098V31 XSTREA</t>
  </si>
  <si>
    <t>IR-source CaF2 C/CABLE 42717153 X-STREAM</t>
  </si>
  <si>
    <t>4502592802 - IR-source CaF2 C/CABLE 42717153 X-STREAM</t>
  </si>
  <si>
    <t>FAB:QUADRA 28T/SKC/Q1067</t>
  </si>
  <si>
    <t>4502589219 - FAB:QUADRA 28T/SKC/Q1067</t>
  </si>
  <si>
    <t>FAB:QUADRA 28T/SKC/Q1066</t>
  </si>
  <si>
    <t>4502589219 - FAB:QUADRA 28T/SKC/Q1066</t>
  </si>
  <si>
    <t>FAB:QUADRA 28T/SKC/Q1065</t>
  </si>
  <si>
    <t>4502589219 - FAB:QUADRA 28T/SKC/Q1065</t>
  </si>
  <si>
    <t>MANGUERA GOMA PURA 2" INT. 1/4" ESP.</t>
  </si>
  <si>
    <t>4502584630 - MANGUERA GOMA PURA 2" INT. 1/4" ESP.</t>
  </si>
  <si>
    <t>ETIQUETA RFID</t>
  </si>
  <si>
    <t>4502580325 - ETIQUETA RFID</t>
  </si>
  <si>
    <t>Fabricación cuchillos 1470 x 230 x 20</t>
  </si>
  <si>
    <t>4502580088 - Fabricación cuchillos 1470 x 230 x 20</t>
  </si>
  <si>
    <t>Fabricación cuchillos 510 x 230 x 20</t>
  </si>
  <si>
    <t>4502580088 - Fabricación cuchillos 510 x 230 x 20</t>
  </si>
  <si>
    <t>COMPRA DE BOTELLONES DE  AGUA  20 LTS.</t>
  </si>
  <si>
    <t>4502578540 - COMPRA DE BOTELLONES DE  AGUA  20 LTS.</t>
  </si>
  <si>
    <t>CONECTOR CODO A CAJA 16 MM</t>
  </si>
  <si>
    <t>4502578370 - CONECTOR CODO A CAJA 16 MM</t>
  </si>
  <si>
    <t>4502575379 - CONJ. EJE-PIÑON SECADOR PN C2063-RDMD-01</t>
  </si>
  <si>
    <t>MANOMETRO 0-3000 C/ATRAS</t>
  </si>
  <si>
    <t>4502559494 - MANOMETRO 0-3000 C/ATRAS</t>
  </si>
  <si>
    <t>GRASA VALVOLINE LITHIUM GREASE EP-2</t>
  </si>
  <si>
    <t>4502558668 - GRASA VALVOLINE LITHIUM GREASE EP-2</t>
  </si>
  <si>
    <t>PERNO ACERO GR.2  1/2" * 1" C/TUERCA</t>
  </si>
  <si>
    <t>4502558038 - PERNO ACERO GR.2  1/2" * 1" C/TUERCA</t>
  </si>
  <si>
    <t>LUMINARIA SOLAR EXTERIOR 90W 1800K DS1</t>
  </si>
  <si>
    <t>4502557640 - LUMINARIA SOLAR EXTERIOR 90W 1800K DS1</t>
  </si>
  <si>
    <t>BOMBA TRANSVASIJE TELESCOPICA</t>
  </si>
  <si>
    <t>4502552059 - BOMBA TRANSVASIJE TELESCOPICA</t>
  </si>
  <si>
    <t>BOTIN DE SEG. PF0142ND PROFLEX - T/37</t>
  </si>
  <si>
    <t>Pedido en FedEx, esperando pagos</t>
  </si>
  <si>
    <t>4502551871 - BOTIN DE SEG. PF0142ND PROFLEX - T/37</t>
  </si>
  <si>
    <t>BOTIN DE SEG. PF0142ND PROFLEX - T/36</t>
  </si>
  <si>
    <t>4502551871 - BOTIN DE SEG. PF0142ND PROFLEX - T/36</t>
  </si>
  <si>
    <t>BOTIN DE SEG. PF0142ND PROFLEX - T/35</t>
  </si>
  <si>
    <t>4502551871 - BOTIN DE SEG. PF0142ND PROFLEX - T/35</t>
  </si>
  <si>
    <t>BOTIN DE SEG. PF0142CD PROFLEX - T/37</t>
  </si>
  <si>
    <t>4502551871 - BOTIN DE SEG. PF0142CD PROFLEX - T/37</t>
  </si>
  <si>
    <t>BOTIN DE SEG. PF0142CD PROFLEX - T/36</t>
  </si>
  <si>
    <t>4502551871 - BOTIN DE SEG. PF0142CD PROFLEX - T/36</t>
  </si>
  <si>
    <t>BOTIN DE SEG. PF0142CD PROFLEX - T/35</t>
  </si>
  <si>
    <t>4502551871 - BOTIN DE SEG. PF0142CD PROFLEX - T/35</t>
  </si>
  <si>
    <t>DESCANSO SOPORTE TENSOR UCT-206</t>
  </si>
  <si>
    <t>4502540261 - DESCANSO SOPORTE TENSOR UCT-206</t>
  </si>
  <si>
    <t>4502539480 - ACEITE RHENUS OGS 24 17Lts.</t>
  </si>
  <si>
    <t>4502531872 - AGUA DESALADA</t>
  </si>
  <si>
    <t>ADHESIVO ARALDIT RAPIDO 2 * 100 GRS.</t>
  </si>
  <si>
    <t>En teoría llego, esperando recepción</t>
  </si>
  <si>
    <t>4502527765 - ADHESIVO ARALDIT RAPIDO 2 * 100 GRS.</t>
  </si>
  <si>
    <t>ALICATE CORTANTE 160MM BRONCE ANTICHISPA</t>
  </si>
  <si>
    <t xml:space="preserve">SE ELIMINARA </t>
  </si>
  <si>
    <t>4502523929 - ALICATE CORTANTE 160MM BRONCE ANTICHISPA</t>
  </si>
  <si>
    <t>GAS LICUADO DOMICILIARIO 15KGS.</t>
  </si>
  <si>
    <t>4502519178 - GAS LICUADO DOMICILIARIO 15KGS.</t>
  </si>
  <si>
    <t>ESPATULA DE ACERO DE 23CM LARGO</t>
  </si>
  <si>
    <t>4502514425 - ESPATULA DE ACERO DE 23CM LARGO</t>
  </si>
  <si>
    <t>Radio Motorola Portatil DGP8550e</t>
  </si>
  <si>
    <t>-</t>
  </si>
  <si>
    <t>4502513186 - Radio Motorola Portatil DGP8550e</t>
  </si>
  <si>
    <t>Pechera Motorola HLN6602</t>
  </si>
  <si>
    <t>4502513186 - Pechera Motorola HLN6602</t>
  </si>
  <si>
    <t>4502511982 - ACOPLE RAPIDO 3/4" HEMBRA HE INOX</t>
  </si>
  <si>
    <t>ABRAZADERA ZINCADA OMEGA 1,1/2"</t>
  </si>
  <si>
    <t>4502511055 - ABRAZADERA ZINCADA OMEGA 1,1/2"</t>
  </si>
  <si>
    <t>AMPOLLETA DICROICA GU-10 LED</t>
  </si>
  <si>
    <t>4502509107 - AMPOLLETA DICROICA GU-10 LED</t>
  </si>
  <si>
    <t>PINTURA TRAFICO COLOR AMARILLO</t>
  </si>
  <si>
    <t>4502508530 - PINTURA TRAFICO COLOR AMARILLO</t>
  </si>
  <si>
    <t>WATER RING 3" 287.0218</t>
  </si>
  <si>
    <t>4502508212 - WATER RING 3" 287.0218</t>
  </si>
  <si>
    <t>ACOPLE RECTO 3/8" NPT x 3/8"</t>
  </si>
  <si>
    <t>4502507713 - ACOPLE RECTO 3/8" NPT x 3/8"</t>
  </si>
  <si>
    <t>ENTREGAN 22/07</t>
  </si>
  <si>
    <t>4502507367 - TERMINAL OJO 16-14 AWG AZUL</t>
  </si>
  <si>
    <t>CABLE COAXIAL RG6 305 MT CON CONECTOR</t>
  </si>
  <si>
    <t>4502507265 - CABLE COAXIAL RG6 305 MT CON CONECTOR</t>
  </si>
  <si>
    <t>MOLDURA BLANCA C/TAPA 20 x 12,5 mm</t>
  </si>
  <si>
    <t>4502507044 - MOLDURA BLANCA C/TAPA 20 x 12,5 mm</t>
  </si>
  <si>
    <t>MOLDURA BLANCA C/TAPA 80 x 50 mm</t>
  </si>
  <si>
    <t>4502507044 - MOLDURA BLANCA C/TAPA 80 x 50 mm</t>
  </si>
  <si>
    <t>MOLDURA BLANCA C/TAPA 105 x 50 mm</t>
  </si>
  <si>
    <t>4502507044 - MOLDURA BLANCA C/TAPA 105 x 50 mm</t>
  </si>
  <si>
    <t>4502506019 - TERCIADO MOLDAJE 15 MM</t>
  </si>
  <si>
    <t>HUMIDIFICADOR VM-8  24 lbs.  DE VAPOR</t>
  </si>
  <si>
    <t>4502505980 - HUMIDIFICADOR VM-8  24 lbs.  DE VAPOR</t>
  </si>
  <si>
    <t>HUMIDIFICADOR DRISTEEM MV8 10.9KG/H 8KWH</t>
  </si>
  <si>
    <t>4502505980 - HUMIDIFICADOR DRISTEEM MV8 10.9KG/H 8KWH</t>
  </si>
  <si>
    <t>4502505914 - ABRAZADERA ZINCADA OMEGA 1,1/2"</t>
  </si>
  <si>
    <t>4502503608 - VISOR ACEITE M20 X 1,5 130U1 P-6854/67</t>
  </si>
  <si>
    <t>Caja metalica con tapa y Manilla</t>
  </si>
  <si>
    <t>4502496645 - Caja metalica con tapa y Manilla</t>
  </si>
  <si>
    <t>ASSET BEACON BT</t>
  </si>
  <si>
    <t>4502495015 - ASSET BEACON BT</t>
  </si>
  <si>
    <t>4502493665 - AGUA DESALADA</t>
  </si>
  <si>
    <t>4502493665 - AGUA DESMINERALIZADA</t>
  </si>
  <si>
    <t>Tarjetas de medición</t>
  </si>
  <si>
    <t>4502493417 - Tarjetas de medición</t>
  </si>
  <si>
    <t>Disco de grafito para alivio de presión</t>
  </si>
  <si>
    <t>4502487514 - Disco de grafito para alivio de presión</t>
  </si>
  <si>
    <t>LUMINARIA VIAL LED SOLAR 200W</t>
  </si>
  <si>
    <t>4502486666 - LUMINARIA VIAL LED SOLAR 200W</t>
  </si>
  <si>
    <t xml:space="preserve">ENTREGAN 26/06 </t>
  </si>
  <si>
    <t>4502486323 - POSICIONADOR SIMPLE SRI986 BIDS7ZZZNA-FA</t>
  </si>
  <si>
    <t>GAS P/SOLDADURA DOMICILIARIA BENZOMATIC</t>
  </si>
  <si>
    <t>4502484904 - GAS P/SOLDADURA DOMICILIARIA BENZOMATIC</t>
  </si>
  <si>
    <t>INDICADORES DE TUERCA DE RUEDA 32 MM</t>
  </si>
  <si>
    <t>4502478852 - INDICADORES DE TUERCA DE RUEDA 32 MM</t>
  </si>
  <si>
    <t>PAÑO ABSORBENTE HIDROCARBURO CJ 100 UN</t>
  </si>
  <si>
    <t>4502475877 - PAÑO ABSORBENTE HIDROCARBURO CJ 100 UN</t>
  </si>
  <si>
    <t>CODO BRONCE 1/4" SOLDABLE</t>
  </si>
  <si>
    <t>4502474054 - CODO BRONCE 1/4" SOLDABLE</t>
  </si>
  <si>
    <t>Letrero Metálico Pedestal</t>
  </si>
  <si>
    <t>4502473393 - Letrero Metálico Pedestal</t>
  </si>
  <si>
    <t>CABLE COAXIAL RG6 CON CONECTOR ANSTALADO</t>
  </si>
  <si>
    <t>4502473359 - CABLE COAXIAL RG6 CON CONECTOR ANSTALADO</t>
  </si>
  <si>
    <t>BANDERAS AMARILLO NEGRO COT. 968</t>
  </si>
  <si>
    <t>4502471965 - BANDERAS AMARILLO NEGRO COT. 968</t>
  </si>
  <si>
    <t>Mangas Cobertura</t>
  </si>
  <si>
    <t>4502468453 - Mangas Cobertura</t>
  </si>
  <si>
    <t>Dado Magneticos</t>
  </si>
  <si>
    <t>4502468453 - Dado Magneticos</t>
  </si>
  <si>
    <t>Pernos Autoperforantes</t>
  </si>
  <si>
    <t>4502468453 - Pernos Autoperforantes</t>
  </si>
  <si>
    <t>BOOK COVER KEYBOARD GALAXYTAB S9 FE PLUS</t>
  </si>
  <si>
    <t>4502468232 - BOOK COVER KEYBOARD GALAXYTAB S9 FE PLUS</t>
  </si>
  <si>
    <t>PAPEL CONFORT P/DISPERNSADOR</t>
  </si>
  <si>
    <t>4502468217 - PAPEL CONFORT P/DISPERNSADOR</t>
  </si>
  <si>
    <t>PAPEL TOALLA PARA DISPENSADOR</t>
  </si>
  <si>
    <t>4502468217 - PAPEL TOALLA PARA DISPENSADOR</t>
  </si>
  <si>
    <t>Bateria Motorola DEP450 NNTN4497</t>
  </si>
  <si>
    <t>4502467196 - Bateria Motorola DEP450 NNTN4497</t>
  </si>
  <si>
    <t>Radio Motorola Portatil DEP450</t>
  </si>
  <si>
    <t>4502467196 - Radio Motorola Portatil DEP450</t>
  </si>
  <si>
    <t>Cartucho de tinta HP 954 XL Negra</t>
  </si>
  <si>
    <t>4502467065 - Cartucho de tinta HP 954 XL Negra</t>
  </si>
  <si>
    <t>Cartucho de tinta HP 954 XL Magenta</t>
  </si>
  <si>
    <t>4502467065 - Cartucho de tinta HP 954 XL Magenta</t>
  </si>
  <si>
    <t>Cartucho de tinta HP 954 XL  Amarilla</t>
  </si>
  <si>
    <t>4502467065 - Cartucho de tinta HP 954 XL  Amarilla</t>
  </si>
  <si>
    <t>Cartucho de tinta HP 954 XL color Cian</t>
  </si>
  <si>
    <t>4502467065 - Cartucho de tinta HP 954 XL color Cian</t>
  </si>
  <si>
    <t>VERLAN BOTAS 082 G.Y.M.HIDROFUG CAFE T36</t>
  </si>
  <si>
    <t>4502465669 - VERLAN BOTAS 082 G.Y.M.HIDROFUG CAFE T36</t>
  </si>
  <si>
    <t>LIMPIA CONTACTO</t>
  </si>
  <si>
    <t>4502461819 - LIMPIA CONTACTO</t>
  </si>
  <si>
    <t>PROTECTORES SENSORES DE SILO 1 Y 2</t>
  </si>
  <si>
    <t>4502460458 - PROTECTORES SENSORES DE SILO 1 Y 2</t>
  </si>
  <si>
    <t>4502459122 - BOTA V-FLEX V-33 N°42</t>
  </si>
  <si>
    <t>4502459122 - BOTA V-FLEX V-33 N°41</t>
  </si>
  <si>
    <t>ADITIVO LAVAOJOS HYDROSEP PACK 4x236ml</t>
  </si>
  <si>
    <t>4502458707 - ADITIVO LAVAOJOS HYDROSEP PACK 4x236ml</t>
  </si>
  <si>
    <t>MODULO DLP INTERRUPTOR SIMPLE 9/12 10A</t>
  </si>
  <si>
    <t>4502458254 - MODULO DLP INTERRUPTOR SIMPLE 9/12 10A</t>
  </si>
  <si>
    <t>OBTURADOR TSN 313G 516-613 SKF</t>
  </si>
  <si>
    <t>4502457395 - OBTURADOR TSN 313G 516-613 SKF</t>
  </si>
  <si>
    <t>BOTA NIEVE HIMALAYA T-44</t>
  </si>
  <si>
    <t>4502455220 - BOTA NIEVE HIMALAYA T-44</t>
  </si>
  <si>
    <t>BOTA NIEVE HIMALAYA T-40</t>
  </si>
  <si>
    <t>4502455220 - BOTA NIEVE HIMALAYA T-40</t>
  </si>
  <si>
    <t>BOTA NIEVE HIMALAYA T-43</t>
  </si>
  <si>
    <t>4502455220 - BOTA NIEVE HIMALAYA T-43</t>
  </si>
  <si>
    <t>BOTA NIEVE HIMALAYA T-42</t>
  </si>
  <si>
    <t>4502455220 - BOTA NIEVE HIMALAYA T-42</t>
  </si>
  <si>
    <t>BOTA NIEVE HIMALAYA T-41</t>
  </si>
  <si>
    <t>4502455220 - BOTA NIEVE HIMALAYA T-41</t>
  </si>
  <si>
    <t xml:space="preserve">ESPERANDO RESPUESTA, PAULA RUIZ </t>
  </si>
  <si>
    <t>4502454677 - AGUA DESALADA</t>
  </si>
  <si>
    <t>4502453641 - AGUA DESMINERALIZADA</t>
  </si>
  <si>
    <t>Regalos golden ticket espiritu 2024</t>
  </si>
  <si>
    <t>4502451967 - Regalos golden ticket espiritu 2024</t>
  </si>
  <si>
    <t>AMARRA PLASTICA 150 MM</t>
  </si>
  <si>
    <t>4502450624 - AMARRA PLASTICA 150 MM</t>
  </si>
  <si>
    <t>MONITOR 7" MLC-2483</t>
  </si>
  <si>
    <t>4502450496 - MONITOR 7" MLC-2483</t>
  </si>
  <si>
    <t>4502449758 - COLIHUES DE 1.5 MTS</t>
  </si>
  <si>
    <t>CABLE COAXIAL (305 MT)</t>
  </si>
  <si>
    <t>4502449303 - CABLE COAXIAL (305 MT)</t>
  </si>
  <si>
    <t>4502448282 - COLIHUES DE 1.5 MTS</t>
  </si>
  <si>
    <t>ACEITE PLUS 50 II 15W40 (5G)</t>
  </si>
  <si>
    <t>4502446912 - ACEITE PLUS 50 II 15W40 (5G)</t>
  </si>
  <si>
    <t>Sobres Plásticos Enaex</t>
  </si>
  <si>
    <t>4502445388 - Sobres Plásticos Enaex</t>
  </si>
  <si>
    <t>4502440837 - ANTICONGELANTE (FREEZE) 50%</t>
  </si>
  <si>
    <t>EXTINTOR, SOPORTE, INSTALACIÓN</t>
  </si>
  <si>
    <t>4502438680 - EXTINTOR, SOPORTE, INSTALACIÓN</t>
  </si>
  <si>
    <t>Licencia Adobe Acrobat PRO, 1 año</t>
  </si>
  <si>
    <t>4502438679 - Licencia Adobe Acrobat PRO, 1 año</t>
  </si>
  <si>
    <t>4502438641 - Licencia Adobe Acrobat PRO, 1 año</t>
  </si>
  <si>
    <t>Servicio De transporte</t>
  </si>
  <si>
    <t>4502436143 - Servicio De transporte</t>
  </si>
  <si>
    <t>RODILLO CON CHIPORRO 4"</t>
  </si>
  <si>
    <t>4502435957 - RODILLO CON CHIPORRO 4"</t>
  </si>
  <si>
    <t>ROLLO DE CINTA PAPEL</t>
  </si>
  <si>
    <t>4502435957 - ROLLO DE CINTA PAPEL</t>
  </si>
  <si>
    <t>KIT Plástico en Frío TWINCRIL Amarilla R</t>
  </si>
  <si>
    <t>4502435957 - KIT Plástico en Frío TWINCRIL Amarilla R</t>
  </si>
  <si>
    <t>Camara Grabacion Frontal e Instalacion</t>
  </si>
  <si>
    <t>4502435753 - Camara Grabacion Frontal e Instalacion</t>
  </si>
  <si>
    <t>BUSHING ZINCADO IEC 25MM ECB25</t>
  </si>
  <si>
    <t>4502434879 - BUSHING ZINCADO IEC 25MM ECB25</t>
  </si>
  <si>
    <t>SOPORTE MONTAJE DE PERFIL ALTO</t>
  </si>
  <si>
    <t>4502434213 - SOPORTE MONTAJE DE PERFIL ALTO</t>
  </si>
  <si>
    <t>12V CLAVE PARA BAJO PODER 1-25W</t>
  </si>
  <si>
    <t>4502434213 - 12V CLAVE PARA BAJO PODER 1-25W</t>
  </si>
  <si>
    <t>KIT INSTALACION VEHICULOS MENORES</t>
  </si>
  <si>
    <t>4502434213 - KIT INSTALACION VEHICULOS MENORES</t>
  </si>
  <si>
    <t>ESTANTE ALMINIO 5 PISOS</t>
  </si>
  <si>
    <t>4502432530 - ESTANTE ALMINIO 5 PISOS</t>
  </si>
  <si>
    <t>CONTROL NIVEL 1317BJ3 25mm</t>
  </si>
  <si>
    <t>4502432181 - CONTROL NIVEL 1317BJ3 25mm</t>
  </si>
  <si>
    <t>ESPATULA LISA 3″ ACERO INOX M/MADERA</t>
  </si>
  <si>
    <t>4502430921 - ESPATULA LISA 3″ ACERO INOX M/MADERA</t>
  </si>
  <si>
    <t>BOTAS DE SEGURIDAD DEFENDER N° 43</t>
  </si>
  <si>
    <t>4502430856 - BOTAS DE SEGURIDAD DEFENDER N° 43</t>
  </si>
  <si>
    <t>BOTAS DE SEGURIDAD DEFENDER N° 45</t>
  </si>
  <si>
    <t>4502430856 - BOTAS DE SEGURIDAD DEFENDER N° 45</t>
  </si>
  <si>
    <t>4502430124 - Bateria Mot DGP8550/8050-DEP550 PMNN4544</t>
  </si>
  <si>
    <t>4502430101 - TRAPOS DE LIMPIEZA, BOLSA DE 1 KG.</t>
  </si>
  <si>
    <t>4502430101 - COLIHUES DE 1.5 MTS</t>
  </si>
  <si>
    <t>ESCALERA TIPO AVION 500 EN PERFIL CON PA</t>
  </si>
  <si>
    <t>4502428744 - ESCALERA TIPO AVION 500 EN PERFIL CON PA</t>
  </si>
  <si>
    <t>BOTA VL082  FREDO TALLA 39</t>
  </si>
  <si>
    <t>4502427043 - BOTA VL082  FREDO TALLA 39</t>
  </si>
  <si>
    <t>CHECK POINT TIPO GOTA 21MM PAQUETE 25UN</t>
  </si>
  <si>
    <t>4502425301 - CHECK POINT TIPO GOTA 21MM PAQUETE 25UN</t>
  </si>
  <si>
    <t>4502422634 - ACEITE MOBIL DTE 26 (ISO68)</t>
  </si>
  <si>
    <t>WIPER METALICO TAPA VASTAGO 50MM</t>
  </si>
  <si>
    <t>4502422529 - WIPER METALICO TAPA VASTAGO 50MM</t>
  </si>
  <si>
    <t>ANTICONGELANTE</t>
  </si>
  <si>
    <t>4502422427 - ANTICONGELANTE</t>
  </si>
  <si>
    <t>INSUMOS (LLAVES CRECE Y VARIOS)</t>
  </si>
  <si>
    <t>4502422089 - INSUMOS (LLAVES CRECE Y VARIOS)</t>
  </si>
  <si>
    <t>ARNES PARACAIDISTA 3 ARG. MSA 278451 T/S</t>
  </si>
  <si>
    <t>4502420223 - ARNES PARACAIDISTA 3 ARG. MSA 278451 T/S</t>
  </si>
  <si>
    <t>CARRO ESTRUJADOR DE 20 LITROS</t>
  </si>
  <si>
    <t>4502420086 - CARRO ESTRUJADOR DE 20 LITROS</t>
  </si>
  <si>
    <t>COMPRA RECARGA BOTELLONES 20 LTS.</t>
  </si>
  <si>
    <t>4502418730 - COMPRA RECARGA BOTELLONES 20 LTS.</t>
  </si>
  <si>
    <t>4502418482 - ADITIVO P/MOTOR ADBLUE</t>
  </si>
  <si>
    <t>Pertiga Led Industrial RJI-1161</t>
  </si>
  <si>
    <t>4502418227 - Pertiga Led Industrial RJI-1161</t>
  </si>
  <si>
    <t>4502418225 - Pertiga Led Industrial RJI-1161</t>
  </si>
  <si>
    <t>LT 900 CUMBRE BROWN TALLA N°35</t>
  </si>
  <si>
    <t>4502416170 - LT 900 CUMBRE BROWN TALLA N°35</t>
  </si>
  <si>
    <t>BOTA MARCA VERLAN 082 G.Y.W HIDROFU N°35</t>
  </si>
  <si>
    <t>4502416170 - BOTA MARCA VERLAN 082 G.Y.W HIDROFU N°35</t>
  </si>
  <si>
    <t>4502412027 - AGUA DESMINERALIZADA</t>
  </si>
  <si>
    <t>HUINCHA AISLADORA TEMFLEX 1500 BLANCO</t>
  </si>
  <si>
    <t>4502410392 - HUINCHA AISLADORA TEMFLEX 1500 BLANCO</t>
  </si>
  <si>
    <t>ARNE SEG 4 ARG SIMPLE 278341 T-L</t>
  </si>
  <si>
    <t>4502409681 - ARNE SEG 4 ARG SIMPLE 278341 T-L</t>
  </si>
  <si>
    <t>insumos y herramientas para mecanicos</t>
  </si>
  <si>
    <t>4502409603 - insumos y herramientas para mecanicos</t>
  </si>
  <si>
    <t>MICROFONO PARLANTE COMPACTO DGM</t>
  </si>
  <si>
    <t>4502409542 - MICROFONO PARLANTE COMPACTO DGM</t>
  </si>
  <si>
    <t>REPARACION RADIO BASE CON INFORME</t>
  </si>
  <si>
    <t>4502409542 - REPARACION RADIO BASE CON INFORME</t>
  </si>
  <si>
    <t>MANGAS CAMION FABRICA COBERTURA 650</t>
  </si>
  <si>
    <t>4502408966 - MANGAS CAMION FABRICA COBERTURA 650</t>
  </si>
  <si>
    <t>Equipo carga puntual digital marca Bellt</t>
  </si>
  <si>
    <t>4502406512 - Equipo carga puntual digital marca Bellt</t>
  </si>
  <si>
    <t>TENZADOR MANUAL PARA ZUNCHO</t>
  </si>
  <si>
    <t>4502404089 - TENZADOR MANUAL PARA ZUNCHO</t>
  </si>
  <si>
    <t>EQUIPO DE CARGA PUNTUAL</t>
  </si>
  <si>
    <t>4502401911 - EQUIPO DE CARGA PUNTUAL</t>
  </si>
  <si>
    <t>CINTA ENMASCARAR 40 X 48 CMS</t>
  </si>
  <si>
    <t>4502400642 - CINTA ENMASCARAR 40 X 48 CMS</t>
  </si>
  <si>
    <t>DILUYENTES SINTETICO DE 1LTS</t>
  </si>
  <si>
    <t>4502400642 - DILUYENTES SINTETICO DE 1LTS</t>
  </si>
  <si>
    <t>4502399951 - GUANTES NITRILO AZUL TALLA L</t>
  </si>
  <si>
    <t>PERNO 5/8"x170MM 11UNC A.C GR12,9</t>
  </si>
  <si>
    <t>4502399795 - PERNO 5/8"x170MM 11UNC A.C GR12,9</t>
  </si>
  <si>
    <t>PARLANTE</t>
  </si>
  <si>
    <t>4502398641 - PARLANTE</t>
  </si>
  <si>
    <t>MANTENCION EQUIPO MOVIL</t>
  </si>
  <si>
    <t>4502398641 - MANTENCION EQUIPO MOVIL</t>
  </si>
  <si>
    <t>CANDADO DIELECTRICO 40-40</t>
  </si>
  <si>
    <t>4502398639 - CANDADO DIELECTRICO 40-40</t>
  </si>
  <si>
    <t>KIT ANTENA VHF 5/8 ONDA MARCA TRAM</t>
  </si>
  <si>
    <t>4502398638 - KIT ANTENA VHF 5/8 ONDA MARCA TRAM</t>
  </si>
  <si>
    <t>Licencia LTP</t>
  </si>
  <si>
    <t>4502397606 - Licencia LTP</t>
  </si>
  <si>
    <t>Batería 12V 9Ah Ciclo Profundo Para UPS</t>
  </si>
  <si>
    <t>4502397254 - Batería 12V 9Ah Ciclo Profundo Para UPS</t>
  </si>
  <si>
    <t>4502396485 - BUZO DESECHABLE DE PAPEL TYVEK T-XL</t>
  </si>
  <si>
    <t>CINTA TRANSPORTADORA PED</t>
  </si>
  <si>
    <t>4502396471 - CINTA TRANSPORTADORA PED</t>
  </si>
  <si>
    <t>BLOQUEO VALVULA COMPUERTA 5” A 6.1/2”</t>
  </si>
  <si>
    <t>4502396188 - BLOQUEO VALVULA COMPUERTA 5” A 6.1/2”</t>
  </si>
  <si>
    <t>Bota Verlan 082 G.Y.W FORRO CUERO T43</t>
  </si>
  <si>
    <t>4502394887 - Bota Verlan 082 G.Y.W FORRO CUERO T43</t>
  </si>
  <si>
    <t>BROCA COBALTO HSS-CO DIAMETRO 12MM</t>
  </si>
  <si>
    <t>4502393345 - BROCA COBALTO HSS-CO DIAMETRO 12MM</t>
  </si>
  <si>
    <t>BROCA COBALTO HSS-CO DAIMETRO 5MM</t>
  </si>
  <si>
    <t>4502393345 - BROCA COBALTO HSS-CO DAIMETRO 5MM</t>
  </si>
  <si>
    <t>Transmisor de Nivel Matriz</t>
  </si>
  <si>
    <t>4502392562 - Transmisor de Nivel Matriz</t>
  </si>
  <si>
    <t>Aceite compresor</t>
  </si>
  <si>
    <t>4502391620 - Aceite compresor</t>
  </si>
  <si>
    <t>ARNES PARACAIDISTA 3 ARG. MSA 278451 T/M</t>
  </si>
  <si>
    <t>4502391571 - ARNES PARACAIDISTA 3 ARG. MSA 278451 T/M</t>
  </si>
  <si>
    <t>VALVULA DE SEGURIDAD AIRE 70 PSI</t>
  </si>
  <si>
    <t>4502388479 - VALVULA DE SEGURIDAD AIRE 70 PSI</t>
  </si>
  <si>
    <t>MESA ELEVADORA 200 KGS. ELEV.HIDRAULICA</t>
  </si>
  <si>
    <t>4502385900 - MESA ELEVADORA 200 KGS. ELEV.HIDRAULICA</t>
  </si>
  <si>
    <t>Temperature sensor Motor Tatra TW02499</t>
  </si>
  <si>
    <t>4502385682 - Temperature sensor Motor Tatra TW02499</t>
  </si>
  <si>
    <t>PERFIL ANGULO INOX  40 x 40 x 3 mm</t>
  </si>
  <si>
    <t>4502383473 - PERFIL ANGULO INOX  40 x 40 x 3 mm</t>
  </si>
  <si>
    <t>licencia paradigm</t>
  </si>
  <si>
    <t>4502383165 - licencia paradigm</t>
  </si>
  <si>
    <t>SIMATIC S7 MICRO MEMORY CARD P.S7-300/C7</t>
  </si>
  <si>
    <t>4502382650 - SIMATIC S7 MICRO MEMORY CARD P.S7-300/C7</t>
  </si>
  <si>
    <t>CHAQUETA HW GOOSE VARON (GRIS/NEGRO)/ L</t>
  </si>
  <si>
    <t>4502381803 - CHAQUETA HW GOOSE VARON (GRIS/NEGRO)/ L</t>
  </si>
  <si>
    <t>CHAQUETA HW GOOSE MUJER (TURQUESA/NEGRO)</t>
  </si>
  <si>
    <t>4502381803 - CHAQUETA HW GOOSE MUJER (TURQUESA/NEGRO)</t>
  </si>
  <si>
    <t>CABLE UTP CAT 5E MULTIFILAR 100%CU</t>
  </si>
  <si>
    <t>4502381110 - CABLE UTP CAT 5E MULTIFILAR 100%CU</t>
  </si>
  <si>
    <t>ARNE SEG. CUERPO COMPLETO 4 ARGOLLA T-M</t>
  </si>
  <si>
    <t>4502379309 - ARNE SEG. CUERPO COMPLETO 4 ARGOLLA T-M</t>
  </si>
  <si>
    <t>ARNE SEG. CUERPO COMPLETO 4 ARGOLLA T-L</t>
  </si>
  <si>
    <t>4502379309 - ARNE SEG. CUERPO COMPLETO 4 ARGOLLA T-L</t>
  </si>
  <si>
    <t>ARNE SEG. CUERPO COMPLETO 4 ARGOLLA T-XL</t>
  </si>
  <si>
    <t>4502379296 - ARNE SEG. CUERPO COMPLETO 4 ARGOLLA T-XL</t>
  </si>
  <si>
    <t>CABLE HDMI 1.4 4K/30HZ M/M 10M BLINDADO</t>
  </si>
  <si>
    <t>4502378737 - CABLE HDMI 1.4 4K/30HZ M/M 10M BLINDADO</t>
  </si>
  <si>
    <t>Cadena + Candado Rueda Rpto Antinapoleon</t>
  </si>
  <si>
    <t>4502378733 - Cadena + Candado Rueda Rpto Antinapoleon</t>
  </si>
  <si>
    <t>Traba Ruedas Camionetas</t>
  </si>
  <si>
    <t>4502378733 - Traba Ruedas Camionetas</t>
  </si>
  <si>
    <t>Cinta Reflect,Amarilla Limon 3M 5.08x45</t>
  </si>
  <si>
    <t>4502378721 - Cinta Reflect,Amarilla Limon 3M 5.08x45</t>
  </si>
  <si>
    <t>BROCA COBALTO HSS-CO DIAMETRO 3MM</t>
  </si>
  <si>
    <t>4502378716 - BROCA COBALTO HSS-CO DIAMETRO 3MM</t>
  </si>
  <si>
    <t>SHAFT ENCODER #700917</t>
  </si>
  <si>
    <t>4502378545 - SHAFT ENCODER #700917</t>
  </si>
  <si>
    <t>ARNES PARACAIDISTA 4 ARGOLLAS MSA T- M</t>
  </si>
  <si>
    <t>4502377310 - ARNES PARACAIDISTA 4 ARGOLLAS MSA T- M</t>
  </si>
  <si>
    <t>ARNES PARACAIDISTA 4  ARGOLLAS MSA T-XL</t>
  </si>
  <si>
    <t>4502377310 - ARNES PARACAIDISTA 4  ARGOLLAS MSA T-XL</t>
  </si>
  <si>
    <t>4502377279 - GRASA VALVOLINE LITHIUM GREASE EP-2</t>
  </si>
  <si>
    <t>SELLO DE RUP  ZOOK INVERTED 1 1/2" 200</t>
  </si>
  <si>
    <t>4502377256 - SELLO DE RUP  ZOOK INVERTED 1 1/2" 200</t>
  </si>
  <si>
    <t>BROCA CILINDRICA 1/16"</t>
  </si>
  <si>
    <t>4502377016 - BROCA CILINDRICA 1/16"</t>
  </si>
  <si>
    <t>PERNO INOX. 5/16" X 1 1/4"</t>
  </si>
  <si>
    <t>4502377009 - PERNO INOX. 5/16" X 1 1/4"</t>
  </si>
  <si>
    <t>4502376613 - ELECTRODO 6010  Ø1/8"</t>
  </si>
  <si>
    <t>Chalecos geologos visitas</t>
  </si>
  <si>
    <t>4502375895 - Chalecos geologos visitas</t>
  </si>
  <si>
    <t>Poleras pique m/larga con logo</t>
  </si>
  <si>
    <t>4502375895 - Poleras pique m/larga con logo</t>
  </si>
  <si>
    <t>Poleras Jersey negra con logo</t>
  </si>
  <si>
    <t>4502375895 - Poleras Jersey negra con logo</t>
  </si>
  <si>
    <t>4502375230 - HUINCHA AISLADORA TEMFLEX 1500 NEGRA</t>
  </si>
  <si>
    <t>BOTELLA ALUMINIO 1000ML DOITE COLORES</t>
  </si>
  <si>
    <t>4502375122 - BOTELLA ALUMINIO 1000ML DOITE COLORES</t>
  </si>
  <si>
    <t>TARJETAS CONTROL TRONADURAS</t>
  </si>
  <si>
    <t xml:space="preserve">esperanod que aprueben el credito </t>
  </si>
  <si>
    <t>4502373294 - TARJETAS CONTROL TRONADURAS</t>
  </si>
  <si>
    <t>TUERCA SEGURO 5/8"</t>
  </si>
  <si>
    <t>4502372822 - TUERCA SEGURO 5/8"</t>
  </si>
  <si>
    <t>Repuesto Baterias Motorola</t>
  </si>
  <si>
    <t>4502372504 - Repuesto Baterias Motorola</t>
  </si>
  <si>
    <t>4502372313 - ARNES PARACAIDISTA 3 ARG. MSA 278451 T/M</t>
  </si>
  <si>
    <t>GUANTE NITRILO VERDE N°9</t>
  </si>
  <si>
    <t>4502372313 - GUANTE NITRILO VERDE N°9</t>
  </si>
  <si>
    <t>4502371843 - ESMALTE SPRAY ROJO TARRO 350ML</t>
  </si>
  <si>
    <t>ALCOHOL AL 70% INDIV 130 ML REG ISP SIMO</t>
  </si>
  <si>
    <t>4502367664 - ALCOHOL AL 70% INDIV 130 ML REG ISP SIMO</t>
  </si>
  <si>
    <t>MASCARILLA DESECHABLE KN95 / UNIDAD</t>
  </si>
  <si>
    <t>4502367664 - MASCARILLA DESECHABLE KN95 / UNIDAD</t>
  </si>
  <si>
    <t>COMPRAS DE REGALOS WORKSHOP I+D VPQ (K00</t>
  </si>
  <si>
    <t>4502367650 - COMPRAS DE REGALOS WORKSHOP I+D VPQ (K00</t>
  </si>
  <si>
    <t>PERNO INOX. 1/4" X 3/4"  CON TUERCA</t>
  </si>
  <si>
    <t>4502365530 - PERNO INOX. 1/4" X 3/4"  CON TUERCA</t>
  </si>
  <si>
    <t>PERNO INOX.  1/4"  X  1" CON TUERCA</t>
  </si>
  <si>
    <t>4502365530 - PERNO INOX.  1/4"  X  1" CON TUERCA</t>
  </si>
  <si>
    <t>PERNO INOX. 1/2 X 2 1/2" CON TUERCA</t>
  </si>
  <si>
    <t>4502365530 - PERNO INOX. 1/2 X 2 1/2" CON TUERCA</t>
  </si>
  <si>
    <t>PERNO INOX 1/2X1.1/2" C/TUERCA</t>
  </si>
  <si>
    <t>4502365530 - PERNO INOX 1/2X1.1/2" C/TUERCA</t>
  </si>
  <si>
    <t>Dispensador jabón líquido simple (TORK)</t>
  </si>
  <si>
    <t>4502364949 - Dispensador jabón líquido simple (TORK)</t>
  </si>
  <si>
    <t>CONEXION AIRE</t>
  </si>
  <si>
    <t>4502364187 - CONEXION AIRE</t>
  </si>
  <si>
    <t>BARROTE EXTENSION LLAVE 3/4</t>
  </si>
  <si>
    <t>4502364156 - BARROTE EXTENSION LLAVE 3/4</t>
  </si>
  <si>
    <t>LLAVE TORQUE 3/4-600LBS</t>
  </si>
  <si>
    <t>4502364156 - LLAVE TORQUE 3/4-600LBS</t>
  </si>
  <si>
    <t>EPOXYFLOOR GARBAR EC-30. CONDUCTOR COLOR</t>
  </si>
  <si>
    <t>4502363551 - EPOXYFLOOR GARBAR EC-30. CONDUCTOR COLOR</t>
  </si>
  <si>
    <t>CABLE COAXIAL RG6, CARRETE DE 305 MT</t>
  </si>
  <si>
    <t>4502357836 - CABLE COAXIAL RG6, CARRETE DE 305 MT</t>
  </si>
  <si>
    <t>HUINCHA MEDIR TIPO CRUCETA 30M TRUPER</t>
  </si>
  <si>
    <t>4502357682 - HUINCHA MEDIR TIPO CRUCETA 30M TRUPER</t>
  </si>
  <si>
    <t>ZAPATOS DE SEGURIDAD</t>
  </si>
  <si>
    <t>4502351647 - ZAPATOS DE SEGURIDAD</t>
  </si>
  <si>
    <t>COMPRA DE BOLIGRAFOS BURNAS CON LOGO</t>
  </si>
  <si>
    <t>4502350253 - COMPRA DE BOLIGRAFOS BURNAS CON LOGO</t>
  </si>
  <si>
    <t>TACHO DE ALUMINIO PARA 1 LT</t>
  </si>
  <si>
    <t>4502349976 - TACHO DE ALUMINIO PARA 1 LT</t>
  </si>
  <si>
    <t>BANDERA AMARILLO/NEGRO</t>
  </si>
  <si>
    <t>4502348608 - BANDERA AMARILLO/NEGRO</t>
  </si>
  <si>
    <t>CONECTOR RECTO 1"</t>
  </si>
  <si>
    <t>4502348599 - CONECTOR RECTO 1"</t>
  </si>
  <si>
    <t>Tineta pintura SIGMAFAST 278</t>
  </si>
  <si>
    <t>4502348006 - Tineta pintura SIGMAFAST 278</t>
  </si>
  <si>
    <t>Guante Anti impacto Grip A722 Talla 9</t>
  </si>
  <si>
    <t>4502346010 - Guante Anti impacto Grip A722 Talla 9</t>
  </si>
  <si>
    <t>ACEITE VALVOLINE ATF DIII</t>
  </si>
  <si>
    <t>4502342657 - ACEITE VALVOLINE ATF DIII</t>
  </si>
  <si>
    <t>Fabricación de tornillo centraL Q-149</t>
  </si>
  <si>
    <t>4502341852 - Fabricación de tornillo centraL Q-149</t>
  </si>
  <si>
    <t>CONECTOR RECTO 3/4 P/FLEXIBLE</t>
  </si>
  <si>
    <t>4502341437 - CONECTOR RECTO 3/4 P/FLEXIBLE</t>
  </si>
  <si>
    <t>BARRAS CONO EXPAND 2 15 MT AMARIL/NEGRA</t>
  </si>
  <si>
    <t>4502340965 - BARRAS CONO EXPAND 2 15 MT AMARIL/NEGRA</t>
  </si>
  <si>
    <t>Pertiga 3,6 metros</t>
  </si>
  <si>
    <t>4502340924 - Pertiga 3,6 metros</t>
  </si>
  <si>
    <t>Huincha aisladora color amarilla</t>
  </si>
  <si>
    <t>4502339996 - Huincha aisladora color amarilla</t>
  </si>
  <si>
    <t>Huincha aisladora Color Blanca</t>
  </si>
  <si>
    <t>4502339988 - Huincha aisladora Color Blanca</t>
  </si>
  <si>
    <t>CUÑA DE SEGURIDAD 5-10 TONELADAS</t>
  </si>
  <si>
    <t>4502339988 - CUÑA DE SEGURIDAD 5-10 TONELADAS</t>
  </si>
  <si>
    <t>cintas aisladoras verde</t>
  </si>
  <si>
    <t>4502339988 - cintas aisladoras verde</t>
  </si>
  <si>
    <t>cintas aisladoras azul</t>
  </si>
  <si>
    <t>4502339988 - cintas aisladoras azul</t>
  </si>
  <si>
    <t>SACO DE TRAPO LIMPIEZA 25 KG</t>
  </si>
  <si>
    <t>4502339984 - SACO DE TRAPO LIMPIEZA 25 KG</t>
  </si>
  <si>
    <t>4502339984 - TRAPOS DE LIMPIEZA, BOLSA DE 1 KG.</t>
  </si>
  <si>
    <t>Lentes Bolle Baxter platinium Codigo 402</t>
  </si>
  <si>
    <t>Tecera semana Enero OVH</t>
  </si>
  <si>
    <t>4502339874 - Lentes Bolle Baxter platinium Codigo 402</t>
  </si>
  <si>
    <t>PERFILCUADRADO DOBLADO INOX 50X50X5MM</t>
  </si>
  <si>
    <t>4502335267 - PERFILCUADRADO DOBLADO INOX 50X50X5MM</t>
  </si>
  <si>
    <t>PERFIL RECTANGULAR DOBLADO INOX 100X50X5</t>
  </si>
  <si>
    <t>4502335267 - PERFIL RECTANGULAR DOBLADO INOX 100X50X5</t>
  </si>
  <si>
    <t>TERMINAL OJAL AMARILLO 10-12 AWG</t>
  </si>
  <si>
    <t>4502327746 - TERMINAL OJAL AMARILLO 10-12 AWG</t>
  </si>
  <si>
    <t>4502318099 - Radio Motorola Portatil DGP8550e</t>
  </si>
  <si>
    <t>Silicona liquida 5 Lts</t>
  </si>
  <si>
    <t>4502317048 - Silicona liquida 5 Lts</t>
  </si>
  <si>
    <t>Saco Trapo Limpieza 50 kg.</t>
  </si>
  <si>
    <t>4502317048 - Saco Trapo Limpieza 50 kg.</t>
  </si>
  <si>
    <t>Huincha medir 30 m stanley fibra vidrio</t>
  </si>
  <si>
    <t>4502317048 - Huincha medir 30 m stanley fibra vidrio</t>
  </si>
  <si>
    <t>4502317048 - HUINCHA AISLADORA SUPER 33 NEGRA 3M</t>
  </si>
  <si>
    <t>Licencia Motorola CAP. MAX. HKVN4338A</t>
  </si>
  <si>
    <t>4502316096 - Licencia Motorola CAP. MAX. HKVN4338A</t>
  </si>
  <si>
    <t>4502316072 - HUINCHA AISLADORA SUPER 33 NEGRA 3M</t>
  </si>
  <si>
    <t>ORING SELLO SILICONA #81 MOD130U1 P-6870</t>
  </si>
  <si>
    <t>4502315835 - ORING SELLO SILICONA #81 MOD130U1 P-6870</t>
  </si>
  <si>
    <t>TAPON ACEITE M20 X 1,5 220U1 P-6864/67</t>
  </si>
  <si>
    <t>4502315779 - TAPON ACEITE M20 X 1,5 220U1 P-6864/67</t>
  </si>
  <si>
    <t>4502315065 - AGUA DESALADA</t>
  </si>
  <si>
    <t>Alcohol Gel 140 ml sanyfarm</t>
  </si>
  <si>
    <t>4502311292 - Alcohol Gel 140 ml sanyfarm</t>
  </si>
  <si>
    <t>MALLAS FRUTERAS</t>
  </si>
  <si>
    <t>4502310938 - MALLAS FRUTERAS</t>
  </si>
  <si>
    <t>Linterna streamlight survivor pilas alca</t>
  </si>
  <si>
    <t>4502310861 - Linterna streamlight survivor pilas alca</t>
  </si>
  <si>
    <t>4502310385 - Lentes Bolle Baxter platinium Codigo 402</t>
  </si>
  <si>
    <t>ESPATULA ALBAÑILERIA 4"</t>
  </si>
  <si>
    <t>4502308327 - ESPATULA ALBAÑILERIA 4"</t>
  </si>
  <si>
    <t>Impresiones graficas</t>
  </si>
  <si>
    <t>4502306811 - Impresiones graficas</t>
  </si>
  <si>
    <t>NEUMATICO 1200 X 24 TRACCIONAL</t>
  </si>
  <si>
    <t>4502305623 - NEUMATICO 1200 X 24 TRACCIONAL</t>
  </si>
  <si>
    <t>4502303895 - ADITIVO P/MOTOR ADBLUE</t>
  </si>
  <si>
    <t>RFID PU protection</t>
  </si>
  <si>
    <t>4502303436 - RFID PU protection</t>
  </si>
  <si>
    <t>AGUA EMBO PLEITO DIFERENCIA NOV. 23</t>
  </si>
  <si>
    <t>4502303424 - AGUA EMBO PLEITO DIFERENCIA NOV. 23</t>
  </si>
  <si>
    <t>AGUA EMBO ROMERAL DIFERENCIA NOV.23</t>
  </si>
  <si>
    <t>4502303424 - AGUA EMBO ROMERAL DIFERENCIA NOV.23</t>
  </si>
  <si>
    <t>SOPORTE METALICO P/ EXT-01 KG</t>
  </si>
  <si>
    <t>4502302599 - SOPORTE METALICO P/ EXT-01 KG</t>
  </si>
  <si>
    <t>CAÑERIA HDPE PE-100  PN-10   160 MM.</t>
  </si>
  <si>
    <t>4502301478 - CAÑERIA HDPE PE-100  PN-10   160 MM.</t>
  </si>
  <si>
    <t>CAÑERIA HDPE PE-100 PN-125 160 MM.</t>
  </si>
  <si>
    <t>4502301478 - CAÑERIA HDPE PE-100 PN-125 160 MM.</t>
  </si>
  <si>
    <t>4502300350 - Óptico Monofocal Fotocromático Volt</t>
  </si>
  <si>
    <t>TRASLADO ANTOFAGASTA - MINERA CENTINELA</t>
  </si>
  <si>
    <t>4502298869 - TRASLADO ANTOFAGASTA - MINERA CENTINELA</t>
  </si>
  <si>
    <t>SOPORTE PLASTICO P/ EXT-01 KG</t>
  </si>
  <si>
    <t>4502298869 - SOPORTE PLASTICO P/ EXT-01 KG</t>
  </si>
  <si>
    <t>MORRALES DE ACCESORIOS</t>
  </si>
  <si>
    <t>4502297655 - MORRALES DE ACCESORIOS</t>
  </si>
  <si>
    <t>Alcohol gel 70% 140 ml</t>
  </si>
  <si>
    <t>4502295938 - Alcohol gel 70% 140 ml</t>
  </si>
  <si>
    <t>Polin Ac. inox. pieza 4 y 5 Pl. Ubex D24</t>
  </si>
  <si>
    <t>4502295497 - Polin Ac. inox. pieza 4 y 5 Pl. Ubex D24</t>
  </si>
  <si>
    <t>Tripode Trabajos en Espacios Confinados</t>
  </si>
  <si>
    <t>4502293159 - Tripode Trabajos en Espacios Confinados</t>
  </si>
  <si>
    <t>POLERAS CPHS RIO LOA</t>
  </si>
  <si>
    <t>4502290572 - POLERAS CPHS RIO LOA</t>
  </si>
  <si>
    <t>VALVULA RELIEF HIDRAU CT-10-C 1.1/4" NPT</t>
  </si>
  <si>
    <t>4502286581 - VALVULA RELIEF HIDRAU CT-10-C 1.1/4" NPT</t>
  </si>
  <si>
    <t>AMARRA PLASTICA 7.9 X 350 MM</t>
  </si>
  <si>
    <t>4502286417 - AMARRA PLASTICA 7.9 X 350 MM</t>
  </si>
  <si>
    <t>ANILLO - O N°P.8060 P-400</t>
  </si>
  <si>
    <t>4502283016 - ANILLO - O N°P.8060 P-400</t>
  </si>
  <si>
    <t>BUJE CORTO N°P. 5440 P-400</t>
  </si>
  <si>
    <t>4502283016 - BUJE CORTO N°P. 5440 P-400</t>
  </si>
  <si>
    <t>OVEROL IGNIFUGO TALLA L-XXXL-XXXXL</t>
  </si>
  <si>
    <t>4502278503 - OVEROL IGNIFUGO TALLA L-XXXL-XXXXL</t>
  </si>
  <si>
    <t>Estacion de Emergencia Faena</t>
  </si>
  <si>
    <t>4502277122 - Estacion de Emergencia Faena</t>
  </si>
  <si>
    <t>VALVULA GATE Ø 1" 150LB RF A.C.</t>
  </si>
  <si>
    <t>4502276366 - VALVULA GATE Ø 1" 150LB RF A.C.</t>
  </si>
  <si>
    <t>VALVULA GATE FLG 1 1/2" 150 LB A.C.</t>
  </si>
  <si>
    <t>4502276366 - VALVULA GATE FLG 1 1/2" 150 LB A.C.</t>
  </si>
  <si>
    <t>Banderolas Amariilo Negro</t>
  </si>
  <si>
    <t>4502274955 - Banderolas Amariilo Negro</t>
  </si>
  <si>
    <t>Interruptor Automatico 10A 2F Curva C</t>
  </si>
  <si>
    <t>4502273037 - Interruptor Automatico 10A 2F Curva C</t>
  </si>
  <si>
    <t>Interruptor Automatico 40A 2F Curva</t>
  </si>
  <si>
    <t>4502273037 - Interruptor Automatico 40A 2F Curva</t>
  </si>
  <si>
    <t>4502272737 - TACHO DE ALUMINIO PARA 1 LT</t>
  </si>
  <si>
    <t>TUBO LED 16W 740G HV 1200MM 220V 50/60HZ</t>
  </si>
  <si>
    <t>4502270694 - TUBO LED 16W 740G HV 1200MM 220V 50/60HZ</t>
  </si>
  <si>
    <t>ARNES PARACAIDISTA 3 ARG. MSA 278451 T/L</t>
  </si>
  <si>
    <t>4502269785 - ARNES PARACAIDISTA 3 ARG. MSA 278451 T/L</t>
  </si>
  <si>
    <t>4502269785 - ARNES PARACAIDISTA 3 ARG. MSA 278451 T/M</t>
  </si>
  <si>
    <t>BOTIN 040 GYM ACERO CUERO</t>
  </si>
  <si>
    <t>4502266846 - BOTIN 040 GYM ACERO CUERO</t>
  </si>
  <si>
    <t>4502262319 - Óptico Multifocal Fotocromático Volt</t>
  </si>
  <si>
    <t>BALANZA DIGITAL PORTATIL 3 kg</t>
  </si>
  <si>
    <t>4502261101 - BALANZA DIGITAL PORTATIL 3 kg</t>
  </si>
  <si>
    <t>GLOBE VALVE V-C0320A 4"</t>
  </si>
  <si>
    <t>4502260787 - GLOBE VALVE V-C0320A 4"</t>
  </si>
  <si>
    <t>ADHESIVOS RECORDATORIO USO DE EPR EN VEH</t>
  </si>
  <si>
    <t>4502259770 - ADHESIVOS RECORDATORIO USO DE EPR EN VEH</t>
  </si>
  <si>
    <t>PIZARRA DE CORCHO MULTIUSO ( 90X70 CMS).</t>
  </si>
  <si>
    <t>4502259770 - PIZARRA DE CORCHO MULTIUSO ( 90X70 CMS).</t>
  </si>
  <si>
    <t>PIZARRAS DE ACRILICO PARA POLVORINES MOV</t>
  </si>
  <si>
    <t>4502259770 - PIZARRAS DE ACRILICO PARA POLVORINES MOV</t>
  </si>
  <si>
    <t>LETREROS GALVANIZADOS RESEÑA RC27 INTERA</t>
  </si>
  <si>
    <t>4502259770 - LETREROS GALVANIZADOS RESEÑA RC27 INTERA</t>
  </si>
  <si>
    <t>ADHESIVOS REFUERZO DE VELOCIDAD CAMIONES</t>
  </si>
  <si>
    <t>4502259770 - ADHESIVOS REFUERZO DE VELOCIDAD CAMIONES</t>
  </si>
  <si>
    <t>ADHESIVOS IDENTIFICACIÓN PUNTOS CALIENTE</t>
  </si>
  <si>
    <t>4502259770 - ADHESIVOS IDENTIFICACIÓN PUNTOS CALIENTE</t>
  </si>
  <si>
    <t>TALONARIOS DE ART DRT 2023 / 2 PAGINAS A</t>
  </si>
  <si>
    <t>4502259770 - TALONARIOS DE ART DRT 2023 / 2 PAGINAS A</t>
  </si>
  <si>
    <t>Válvula de bola 1"1/2  3 vias PN63</t>
  </si>
  <si>
    <t>4502256813 - Válvula de bola 1"1/2  3 vias PN63</t>
  </si>
  <si>
    <t>Válvula de bola 1" 3 vias PN63</t>
  </si>
  <si>
    <t>4502256813 - Válvula de bola 1" 3 vias PN63</t>
  </si>
  <si>
    <t>sellos clamp de 4” de teflón</t>
  </si>
  <si>
    <t>4502254026 - sellos clamp de 4” de teflón</t>
  </si>
  <si>
    <t>UNION CLAMP 304 SANIT 1"</t>
  </si>
  <si>
    <t>4502254026 - UNION CLAMP 304 SANIT 1"</t>
  </si>
  <si>
    <t>sellos clamp de 3” de teflón</t>
  </si>
  <si>
    <t>4502254026 - sellos clamp de 3” de teflón</t>
  </si>
  <si>
    <t>SELLO UNION CLAMP Ø3" VITON</t>
  </si>
  <si>
    <t>4502254026 - SELLO UNION CLAMP Ø3" VITON</t>
  </si>
  <si>
    <t>SELLO UNION CLAMP Ø2 1/2" VITON</t>
  </si>
  <si>
    <t>4502254026 - SELLO UNION CLAMP Ø2 1/2" VITON</t>
  </si>
  <si>
    <t>4502253039 - TAPON NETZSCH 509218 / 7007</t>
  </si>
  <si>
    <t>ALICATE PELACABLE 6</t>
  </si>
  <si>
    <t>4502250858 - ALICATE PELACABLE 6</t>
  </si>
  <si>
    <t>HALOGENO H4 24V</t>
  </si>
  <si>
    <t>4502250858 - HALOGENO H4 24V</t>
  </si>
  <si>
    <t>HALOGENO H4 12V</t>
  </si>
  <si>
    <t>4502250858 - HALOGENO H4 12V</t>
  </si>
  <si>
    <t>4502250696 - HUINCHA AISLADORA SUPER 33 NEGRA 3M</t>
  </si>
  <si>
    <t>4502246324 - AMARRA PLASTICA 150 MM</t>
  </si>
  <si>
    <t>LENTE MSA ARTIC ELITE GRIS</t>
  </si>
  <si>
    <t>4502243888 - LENTE MSA ARTIC ELITE GRIS</t>
  </si>
  <si>
    <t>conos (amarillo con huinchas negras)</t>
  </si>
  <si>
    <t>4502243426 - conos (amarillo con huinchas negras)</t>
  </si>
  <si>
    <t>Balizas de color rojo (apernadas)</t>
  </si>
  <si>
    <t>4502243426 - Balizas de color rojo (apernadas)</t>
  </si>
  <si>
    <t>Pértiga Minera 12 pies (3.6 m)</t>
  </si>
  <si>
    <t>4502243426 - Pértiga Minera 12 pies (3.6 m)</t>
  </si>
  <si>
    <t>RETEN TAPA ENGRANAJE STD030006 220U2</t>
  </si>
  <si>
    <t>4502237284 - RETEN TAPA ENGRANAJE STD030006 220U2</t>
  </si>
  <si>
    <t>RETEN GRASA ITEM.14 12681 220U2</t>
  </si>
  <si>
    <t>4502237284 - RETEN GRASA ITEM.14 12681 220U2</t>
  </si>
  <si>
    <t>ENGRANAJE EJE MOTRIZ, CORTO 110932 220U2</t>
  </si>
  <si>
    <t>4502237284 - ENGRANAJE EJE MOTRIZ, CORTO 110932 220U2</t>
  </si>
  <si>
    <t>KIT BATERÍAS 4.2 V 5.4 AH. M650/A650</t>
  </si>
  <si>
    <t>4502237192 - KIT BATERÍAS 4.2 V 5.4 AH. M650/A650</t>
  </si>
  <si>
    <t>P-300 101665+ SELLO ESTACIONARIO CARB</t>
  </si>
  <si>
    <t>4502234766 - P-300 101665+ SELLO ESTACIONARIO CARB</t>
  </si>
  <si>
    <t>4502234618 - HUINCHA AISLADORA SUPER 33 NEGRA 3M</t>
  </si>
  <si>
    <t>Probeta borosilicato 50ml</t>
  </si>
  <si>
    <t>4502233844 - Probeta borosilicato 50ml</t>
  </si>
  <si>
    <t>Vaso p.p bajo. grad 600ml</t>
  </si>
  <si>
    <t>4502233844 - Vaso p.p bajo. grad 600ml</t>
  </si>
  <si>
    <t>Refrigerante recto.longitud 30cm</t>
  </si>
  <si>
    <t>4502233844 - Refrigerante recto.longitud 30cm</t>
  </si>
  <si>
    <t>ANEL SEGUR  NM045 N°P.5065 P-B302</t>
  </si>
  <si>
    <t>4502232026 - ANEL SEGUR  NM045 N°P.5065 P-B302</t>
  </si>
  <si>
    <t>Bandeja N°2 en chute vibratorio</t>
  </si>
  <si>
    <t>4502231886 - Bandeja N°2 en chute vibratorio</t>
  </si>
  <si>
    <t>BATERIA INTELIGENTE DJI</t>
  </si>
  <si>
    <t>4502231564 - BATERIA INTELIGENTE DJI</t>
  </si>
  <si>
    <t>BATERIA INTELIGENTE MAVIC</t>
  </si>
  <si>
    <t>4502231564 - BATERIA INTELIGENTE MAVIC</t>
  </si>
  <si>
    <t>Estabilizadores Marca Maxistab 1FK</t>
  </si>
  <si>
    <t>4502229987 - Estabilizadores Marca Maxistab 1FK</t>
  </si>
  <si>
    <t>GABINETE EXTINTOR ABS 1X6 PLASTICO</t>
  </si>
  <si>
    <t>4502229949 - GABINETE EXTINTOR ABS 1X6 PLASTICO</t>
  </si>
  <si>
    <t>EXTINTOR POLVO QUIMICO SECO PQS75-6</t>
  </si>
  <si>
    <t>4502229949 - EXTINTOR POLVO QUIMICO SECO PQS75-6</t>
  </si>
  <si>
    <t>EXTINTOR POLVO QUIMICO SECO PRO90-6K</t>
  </si>
  <si>
    <t>4502229949 - EXTINTOR POLVO QUIMICO SECO PRO90-6K</t>
  </si>
  <si>
    <t>Recambio Fabric Wall 24A Tiro</t>
  </si>
  <si>
    <t>4502229300 - Recambio Fabric Wall 24A Tiro</t>
  </si>
  <si>
    <t>HUINCHA AISLADORA TEMFLEX 1500 VERDE</t>
  </si>
  <si>
    <t>4502228778 - HUINCHA AISLADORA TEMFLEX 1500 VERDE</t>
  </si>
  <si>
    <t>REPISAS PARA MAGAZINE</t>
  </si>
  <si>
    <t>4502228452 - REPISAS PARA MAGAZINE</t>
  </si>
  <si>
    <t>FUSO Clavo freno del tras fe6 MC889519</t>
  </si>
  <si>
    <t>4502224702 - FUSO Clavo freno del tras fe6 MC889519</t>
  </si>
  <si>
    <t>Cubierta reten MC819060 fuso</t>
  </si>
  <si>
    <t>4502224642 - Cubierta reten MC819060 fuso</t>
  </si>
  <si>
    <t>LLAVE STILSON APERTURA DE 8"</t>
  </si>
  <si>
    <t>4502223542 - LLAVE STILSON APERTURA DE 8"</t>
  </si>
  <si>
    <t>CINTA AISLANTE 3M COLOR BLANCO</t>
  </si>
  <si>
    <t>4502223321 - CINTA AISLANTE 3M COLOR BLANCO</t>
  </si>
  <si>
    <t>Porta filtro 1" (Strainer) UBF4008P</t>
  </si>
  <si>
    <t>4502215101 - Porta filtro 1" (Strainer) UBF4008P</t>
  </si>
  <si>
    <t>MERLO P39.10 FILTRO COMBUS (MERP3M0015)</t>
  </si>
  <si>
    <t>4502214553 - MERLO P39.10 FILTRO COMBUS (MERP3M0015)</t>
  </si>
  <si>
    <t>RESPIRADOR 3M SECURE CLICK HF-800 T-S</t>
  </si>
  <si>
    <t>4502212685 - RESPIRADOR 3M SECURE CLICK HF-800 T-S</t>
  </si>
  <si>
    <t>BOTIN DE SEGURIDAD PANAMA JACK T-45</t>
  </si>
  <si>
    <t>4502212289 - BOTIN DE SEGURIDAD PANAMA JACK T-45</t>
  </si>
  <si>
    <t>LETRERO ACERO GALVANIZADO</t>
  </si>
  <si>
    <t>4502209231 - LETRERO ACERO GALVANIZADO</t>
  </si>
  <si>
    <t>Adquisición de container para bodega Rob</t>
  </si>
  <si>
    <t>4502208534 - Adquisición de container para bodega Rob</t>
  </si>
  <si>
    <t>RADIO MOVIL DGM8500e C/ACCESORIOS</t>
  </si>
  <si>
    <t>4502208067 - RADIO MOVIL DGM8500e C/ACCESORIOS</t>
  </si>
  <si>
    <t>CONVERSAR 24-12</t>
  </si>
  <si>
    <t>4502208067 - CONVERSAR 24-12</t>
  </si>
  <si>
    <t>MANOS LIBRES, MICROFON, BOTTON PTT</t>
  </si>
  <si>
    <t>4502208067 - MANOS LIBRES, MICROFON, BOTTON PTT</t>
  </si>
  <si>
    <t>4502207949 - ADITIVO P/MOTOR ADBLUE</t>
  </si>
  <si>
    <t>MANOS LIBRES,MICROFONO Y BOTON PTT</t>
  </si>
  <si>
    <t>4502206077 - MANOS LIBRES,MICROFONO Y BOTON PTT</t>
  </si>
  <si>
    <t>4502206077 - RADIO MOVIL DGM8500e C/ACCESORIOS</t>
  </si>
  <si>
    <t>PINZA PORTA CANDADO 420 – ACERO</t>
  </si>
  <si>
    <t>4502205965 - PINZA PORTA CANDADO 420 – ACERO</t>
  </si>
  <si>
    <t>EMPAQUETADURA TURBO S-710/S-300</t>
  </si>
  <si>
    <t>4502200691 - EMPAQUETADURA TURBO S-710/S-300</t>
  </si>
  <si>
    <t>ANALISIS UREA</t>
  </si>
  <si>
    <t>4502198409 - ANALISIS UREA</t>
  </si>
  <si>
    <t>4502197812 - PASADOR CILIN. N°P.0 300-090 P-218</t>
  </si>
  <si>
    <t>TAPON N°P.0 303-008 P-218</t>
  </si>
  <si>
    <t>4502197812 - TAPON N°P.0 303-008 P-218</t>
  </si>
  <si>
    <t>Traje Overol Skold color azul  talla XL</t>
  </si>
  <si>
    <t>4502196191 - Traje Overol Skold color azul  talla XL</t>
  </si>
  <si>
    <t>Traje Overol Skold color azul talla L</t>
  </si>
  <si>
    <t>4502196191 - Traje Overol Skold color azul talla L</t>
  </si>
  <si>
    <t>Traje Overol Skold color azul  talla XXL</t>
  </si>
  <si>
    <t>4502196191 - Traje Overol Skold color azul  talla XXL</t>
  </si>
  <si>
    <t>CONECTOR TRASERO PMLN5072</t>
  </si>
  <si>
    <t>4502188317 - CONECTOR TRASERO PMLN5072</t>
  </si>
  <si>
    <t>MICRÓFONO DE VISERA PARA MOVIL RMN5054</t>
  </si>
  <si>
    <t xml:space="preserve">Resiviran jueves y el otro queda pendiente </t>
  </si>
  <si>
    <t>4502188317 - MICRÓFONO DE VISERA PARA MOVIL RMN5054</t>
  </si>
  <si>
    <t>BOTON DE PTT PARA MÓVIL RLN5926</t>
  </si>
  <si>
    <t>4502188317 - BOTON DE PTT PARA MÓVIL RLN5926</t>
  </si>
  <si>
    <t>4502184079 - ADITIVO P/MOTOR ADBLUE</t>
  </si>
  <si>
    <t>GORRO CORPORATIVO CON MALLA NEGRO COMPLE</t>
  </si>
  <si>
    <t>4502178468 - GORRO CORPORATIVO CON MALLA NEGRO COMPLE</t>
  </si>
  <si>
    <t>MOTOCOMPRESOR BITZER MODELO 6FE-50Y</t>
  </si>
  <si>
    <t>4502178290 - MOTOCOMPRESOR BITZER MODELO 6FE-50Y</t>
  </si>
  <si>
    <t>BANDEROLA AMARILLO NEGRA AMARRAS GRUESAS</t>
  </si>
  <si>
    <t>4502171561 - BANDEROLA AMARILLO NEGRA AMARRAS GRUESAS</t>
  </si>
  <si>
    <t>regularización envío duplicado</t>
  </si>
  <si>
    <t>4502170587 - regularización envío duplicado</t>
  </si>
  <si>
    <t>BALIZA ROJA</t>
  </si>
  <si>
    <t>4502158318 - BALIZA ROJA</t>
  </si>
  <si>
    <t>Barra para Bobinas en Technyl</t>
  </si>
  <si>
    <t>4502155986 - Barra para Bobinas en Technyl</t>
  </si>
  <si>
    <t>REGULADOR PARA GASES CGA-590 (O2)</t>
  </si>
  <si>
    <t>4502155909 - REGULADOR PARA GASES CGA-590 (O2)</t>
  </si>
  <si>
    <t>REGULADOR DOS ETAPAS PARA GASES NO (N2)</t>
  </si>
  <si>
    <t>4502155909 - REGULADOR DOS ETAPAS PARA GASES NO (N2)</t>
  </si>
  <si>
    <t>REGULADOR PARA GASES CGA-660 (NO, SO2)</t>
  </si>
  <si>
    <t>4502155909 - REGULADOR PARA GASES CGA-660 (NO, SO2)</t>
  </si>
  <si>
    <t>4502154603 - NEUMATICO 1200 X 24 TRACCIONAL</t>
  </si>
  <si>
    <t>LINTERNA DOITE TORO</t>
  </si>
  <si>
    <t>4502153257 - LINTERNA DOITE TORO</t>
  </si>
  <si>
    <t>4502152621 - ARNES PARACAIDISTA 3 ARG. MSA 278451 T/L</t>
  </si>
  <si>
    <t>4502149875 - Óptico Monofocal Fotocromático Volt</t>
  </si>
  <si>
    <t>PUSH BUTTON PTT RLN5926A</t>
  </si>
  <si>
    <t>4502149459 - PUSH BUTTON PTT RLN5926A</t>
  </si>
  <si>
    <t>MICROFONO IMPRESS RMN5054B</t>
  </si>
  <si>
    <t>4502149459 - MICROFONO IMPRESS RMN5054B</t>
  </si>
  <si>
    <t>PRENSA-ESTOPA 5-8 MM</t>
  </si>
  <si>
    <t>4502149412 - PRENSA-ESTOPA 5-8 MM</t>
  </si>
  <si>
    <t>CURVA PVC SCH/80 1/2 90􀀀 UV GR</t>
  </si>
  <si>
    <t>4502144586 - CURVA PVC SCH/80 1/2 90􀀀 UV GR</t>
  </si>
  <si>
    <t>TUBO PVC SCHEDULE/80 1/2 X6MT UV GR</t>
  </si>
  <si>
    <t>4502144586 - TUBO PVC SCHEDULE/80 1/2 X6MT UV GR</t>
  </si>
  <si>
    <t>Reloj Control Gama Alta 4G</t>
  </si>
  <si>
    <t>4502143155 - Reloj Control Gama Alta 4G</t>
  </si>
  <si>
    <t>Glucometro yuwell 582+200 CTS/LTS</t>
  </si>
  <si>
    <t>4502140416 - Glucometro yuwell 582+200 CTS/LTS</t>
  </si>
  <si>
    <t>Contec 08A monitor+sonda+AD electrico</t>
  </si>
  <si>
    <t>4502140416 - Contec 08A monitor+sonda+AD electrico</t>
  </si>
  <si>
    <t>Termometro digital omron MC246</t>
  </si>
  <si>
    <t>4502140416 - Termometro digital omron MC246</t>
  </si>
  <si>
    <t>Termometro infrarojo yuwell YT-1</t>
  </si>
  <si>
    <t>4502140416 - Termometro infrarojo yuwell YT-1</t>
  </si>
  <si>
    <t>Fonendoscopio rappaport yuwell multifunc</t>
  </si>
  <si>
    <t>4502140416 - Fonendoscopio rappaport yuwell multifunc</t>
  </si>
  <si>
    <t>FAROL INTERM.DEL.LH. 81520-E0091</t>
  </si>
  <si>
    <t>4502137454 - FAROL INTERM.DEL.LH. 81520-E0091</t>
  </si>
  <si>
    <t>FAROL TRASERO RH. 81550-E0160</t>
  </si>
  <si>
    <t>4502137454 - FAROL TRASERO RH. 81550-E0160</t>
  </si>
  <si>
    <t>Chaquetas para comite paritario</t>
  </si>
  <si>
    <t>4502136750 - Chaquetas para comite paritario</t>
  </si>
  <si>
    <t>LENTE STEELPRO SPY FLEX PLUS GRIS</t>
  </si>
  <si>
    <t>4502133121 - LENTE STEELPRO SPY FLEX PLUS GRIS</t>
  </si>
  <si>
    <t>ALUMINIO DE 3" DIAM.</t>
  </si>
  <si>
    <t>4502131539 - ALUMINIO DE 3" DIAM.</t>
  </si>
  <si>
    <t>SELLO MECANICO M-35 TIPO 58U P-5701B</t>
  </si>
  <si>
    <t>4502128324 - SELLO MECANICO M-35 TIPO 58U P-5701B</t>
  </si>
  <si>
    <t>4502127964 - ACEITE VALVOLINE ATF DIII</t>
  </si>
  <si>
    <t>4502123528 - AMARRA PLASTICA 150 MM</t>
  </si>
  <si>
    <t>BARBIQUEJO ATOX GANCHO METALICO</t>
  </si>
  <si>
    <t>4502123315 - BARBIQUEJO ATOX GANCHO METALICO</t>
  </si>
  <si>
    <t>ARNES PARACAIDISTA 3 ARG MSA 278451 T/XL</t>
  </si>
  <si>
    <t>4502118856 - ARNES PARACAIDISTA 3 ARG MSA 278451 T/XL</t>
  </si>
  <si>
    <t>RECEPTOR INALÁMBRICO HDMI MCSOFT WDA</t>
  </si>
  <si>
    <t>4502108602 - RECEPTOR INALÁMBRICO HDMI MCSOFT WDA</t>
  </si>
  <si>
    <t>GAS LICUADO A GRANEL</t>
  </si>
  <si>
    <t>4502104913 - GAS LICUADO A GRANEL</t>
  </si>
  <si>
    <t>4502104151 - Óptico Monofocal Fotocromático Volt</t>
  </si>
  <si>
    <t>ACEITE HIDRAULICO ATF DEXRON II BL 19LT</t>
  </si>
  <si>
    <t>4502102000 - ACEITE HIDRAULICO ATF DEXRON II BL 19LT</t>
  </si>
  <si>
    <t>4502101153 - Óptico Monofocal Fotocromático Volt</t>
  </si>
  <si>
    <t>Balizas OWT</t>
  </si>
  <si>
    <t>4502098835 - Balizas OWT</t>
  </si>
  <si>
    <t>pertiga led verde rojo con instalación</t>
  </si>
  <si>
    <t>4502086972 - pertiga led verde rojo con instalación</t>
  </si>
  <si>
    <t>4502083676 - ARNES PARACAIDISTA 3 ARG. MSA 278451 T/M</t>
  </si>
  <si>
    <t>4502083676 - ARNES PARACAIDISTA 3 ARG MSA 278451 T/XL</t>
  </si>
  <si>
    <t>Balizas solares  para conos (ámbar)</t>
  </si>
  <si>
    <t>4502073320 - Balizas solares  para conos (ámbar)</t>
  </si>
  <si>
    <t>4502073237 - ACEITE VALVOLINE ATF DIII</t>
  </si>
  <si>
    <t>ACEITE A.W. HYDRAULIC SPECIAL ISO-46</t>
  </si>
  <si>
    <t>4502073237 - ACEITE A.W. HYDRAULIC SPECIAL ISO-46</t>
  </si>
  <si>
    <t>4502073237 - ADITIVO P/MOTOR ADBLUE</t>
  </si>
  <si>
    <t>Relay 3RH1140-1BB40 + 3RH1911-1GA22 Turb</t>
  </si>
  <si>
    <t>4502071043 - Relay 3RH1140-1BB40 + 3RH1911-1GA22 Turb</t>
  </si>
  <si>
    <t>Relay Safety PSR-SCP-24UC-URM4 Turbolog</t>
  </si>
  <si>
    <t>4502071043 - Relay Safety PSR-SCP-24UC-URM4 Turbolog</t>
  </si>
  <si>
    <t>4502070608 - Óptico Monofocal Fotocromático Volt</t>
  </si>
  <si>
    <t>FAB. E INSTAL. ESTRUCTURA LETREROS</t>
  </si>
  <si>
    <t>4502070591 - FAB. E INSTAL. ESTRUCTURA LETREROS</t>
  </si>
  <si>
    <t>Airtag (1 caja con 4 unidades)</t>
  </si>
  <si>
    <t>4502070008 - Airtag (1 caja con 4 unidades)</t>
  </si>
  <si>
    <t>GOMA ANTIDESLIZANTE</t>
  </si>
  <si>
    <t>4502068459 - GOMA ANTIDESLIZANTE</t>
  </si>
  <si>
    <t>4502064221 - Bota minera Defender Raptor DF-750 nro43</t>
  </si>
  <si>
    <t>CALIBRADOR TEMP. FLUKE-724 C/CERTIFICADO</t>
  </si>
  <si>
    <t>4502060500 - CALIBRADOR TEMP. FLUKE-724 C/CERTIFICADO</t>
  </si>
  <si>
    <t>Tee horizontal fibra de vidrio</t>
  </si>
  <si>
    <t>4502059653 - Tee horizontal fibra de vidrio</t>
  </si>
  <si>
    <t>LETRERO AREA RESTRINGIDA</t>
  </si>
  <si>
    <t>4502059155 - LETRERO AREA RESTRINGIDA</t>
  </si>
  <si>
    <t>COMPRA MOCHILA REANIMANICON EQUIPO DE EM</t>
  </si>
  <si>
    <t>4502059115 - COMPRA MOCHILA REANIMANICON EQUIPO DE EM</t>
  </si>
  <si>
    <t>BOMBA SUM 50WCND13-10-1.1SS 2HP C/TRITUR</t>
  </si>
  <si>
    <t>4502056913 - BOMBA SUM 50WCND13-10-1.1SS 2HP C/TRITUR</t>
  </si>
  <si>
    <t>VALVULA DIAFRAGMA 2" C/ ACTUADOR ES68</t>
  </si>
  <si>
    <t>4501947326 - VALVULA DIAFRAGMA 2" C/ ACTUADOR ES68</t>
  </si>
  <si>
    <t>VALVULA DIAFRAGMA 2" C/ ACTUADOR ES62</t>
  </si>
  <si>
    <t>4501947326 - VALVULA DIAFRAGMA 2" C/ ACTUADOR ES62</t>
  </si>
  <si>
    <t>SEIMAV SpA</t>
  </si>
  <si>
    <t>RODRIGO VEGA VEGA FERRETERIA INDUST</t>
  </si>
  <si>
    <t>COMERCIAL JABES SPA</t>
  </si>
  <si>
    <t>EagleBurgmann Sellados Industriales</t>
  </si>
  <si>
    <t>Juan Andres Yanez Machuca E.i.r.l.</t>
  </si>
  <si>
    <t>Equipment Ltda.</t>
  </si>
  <si>
    <t>Punto de Reorden</t>
  </si>
  <si>
    <t>comentario de compra y seguimiento</t>
  </si>
  <si>
    <t>Cotizando 23.07</t>
  </si>
  <si>
    <t>Cotizando 24.07</t>
  </si>
  <si>
    <t>RECOGIDA, LITA</t>
  </si>
  <si>
    <t>ESPERANDO FIRMA, EZOMAR</t>
  </si>
  <si>
    <t xml:space="preserve">FINALES DE AGOSTO </t>
  </si>
  <si>
    <t>ENTREGAN 03/08</t>
  </si>
  <si>
    <t>ENTREGAN SEPTIEMBRE</t>
  </si>
  <si>
    <t>COMERCIALIZADORA PROMINFILT SPA</t>
  </si>
  <si>
    <t>ENTREGAN 31/07</t>
  </si>
  <si>
    <t>FERRETERIA MARSELLA SPA</t>
  </si>
  <si>
    <t>Payper S.A.</t>
  </si>
  <si>
    <t>IMPORTADORA CROMTEK SPA</t>
  </si>
  <si>
    <t>SEW EURODRIVE CHILE SPA.</t>
  </si>
  <si>
    <t>SIHI-CHILE S.A.</t>
  </si>
  <si>
    <t>Matraz aforado de 100 ml</t>
  </si>
  <si>
    <t>Printec S A</t>
  </si>
  <si>
    <t>Soltex Chile S A</t>
  </si>
  <si>
    <t>1001669551 bloqueada BOM</t>
  </si>
  <si>
    <t>Validando con  Pedro Ramos 09.07</t>
  </si>
  <si>
    <t>es necesario comprar más?</t>
  </si>
  <si>
    <t>stock 1 - comprar en quiebre?</t>
  </si>
  <si>
    <t>SE ESPERA HOMOLOGO DE MATERIAL DESCONTINUADO SOLPED 2025 BLOQUEADAS (1002321381 Y 1002288131)</t>
  </si>
  <si>
    <t>buscando alternativa (llegaron 2 ofertas a validar junio)</t>
  </si>
  <si>
    <t>1001672532 bloqueada BOM</t>
  </si>
  <si>
    <t>cotizando alternativa, ya que sinsef no lo tiene</t>
  </si>
  <si>
    <t>Es necesario comprar más cantidad?</t>
  </si>
  <si>
    <t>Cotizando plataforma merck</t>
  </si>
  <si>
    <t>se solicita de manera urgente por manuel lopez</t>
  </si>
  <si>
    <t xml:space="preserve">Proceso de validacion </t>
  </si>
  <si>
    <t xml:space="preserve">Proceso de cotizacion </t>
  </si>
  <si>
    <t>oc 4502510417 es de regularizacion</t>
  </si>
  <si>
    <t>en validacion</t>
  </si>
  <si>
    <t>se elimina solped 1002574015 por no validación</t>
  </si>
  <si>
    <t xml:space="preserve">se elimina oc 4502623029. Se esta validando nueva oc </t>
  </si>
  <si>
    <t xml:space="preserve">se rechaza, gestionar con comprador </t>
  </si>
  <si>
    <t xml:space="preserve">se espera respuesta de proveedor </t>
  </si>
  <si>
    <t>se solicita de manera urgente por barbara galvez</t>
  </si>
  <si>
    <t>a pedido respecto a disponibilidad de tubos</t>
  </si>
  <si>
    <t>Material Descontinuado. Se buscaran alternativas futuras</t>
  </si>
  <si>
    <t>rechazo</t>
  </si>
  <si>
    <t>se eliminara oc 4502524396</t>
  </si>
  <si>
    <t>en validacion de proveedor nuevo</t>
  </si>
  <si>
    <t>solped bloqueada 1002627478 por no validación 06-05…. Se reenvia validacion</t>
  </si>
  <si>
    <t>1001685688 bloqueada BOM</t>
  </si>
  <si>
    <t>SOLPED 2025 BLOQUEADAS (1002321381 Y 1002288131)</t>
  </si>
  <si>
    <t>sin demanda</t>
  </si>
  <si>
    <t>se espera fecha de proveedor para entrega</t>
  </si>
  <si>
    <t>1001673748 bloqueada BOM</t>
  </si>
  <si>
    <t>en proceso de validación</t>
  </si>
  <si>
    <t>Se bloquea solped por material descontinuado, se busca alternativa</t>
  </si>
  <si>
    <t>Se elimina por error de solped (sin liberación)</t>
  </si>
  <si>
    <t>solped nueva</t>
  </si>
  <si>
    <t>se bloquea solped 1002584669 por no validacion</t>
  </si>
  <si>
    <t>se elimina solped 1002591474 por no validación</t>
  </si>
  <si>
    <t>se elimina oc 4502231133</t>
  </si>
  <si>
    <t>solicitud de amaranta carrasco</t>
  </si>
  <si>
    <t>se utilizan 2 por año</t>
  </si>
  <si>
    <t>solicitud de constanza saenz tar panna 4</t>
  </si>
  <si>
    <t>Validación</t>
  </si>
  <si>
    <t>Bloqueado</t>
  </si>
  <si>
    <t>validación</t>
  </si>
  <si>
    <t>Igenar S.A.</t>
  </si>
  <si>
    <t>Importadora La Estrella Limitada</t>
  </si>
  <si>
    <t>BECKMAX SPA</t>
  </si>
  <si>
    <t>CABLE ACERO INOX 304 1/8"</t>
  </si>
  <si>
    <t>Rodamendez Limitada</t>
  </si>
  <si>
    <t>AISLANTES Y RECUBRIMIENTOS S.A.</t>
  </si>
  <si>
    <t>FEDCO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</si>
</sst>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32363A"/>
      <name val="72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 tint="0.79998168889431442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/>
  </cellStyleXfs>
  <cellXfs count="8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2" xfId="0" applyBorder="1"/>
    <xf numFmtId="0" fontId="9" fillId="0" borderId="0" xfId="0" applyFont="1"/>
    <xf numFmtId="16" fontId="0" fillId="0" borderId="2" xfId="0" applyNumberFormat="1" applyBorder="1"/>
    <xf numFmtId="0" fontId="10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14" fontId="10" fillId="4" borderId="4" xfId="0" applyNumberFormat="1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/>
    </xf>
    <xf numFmtId="0" fontId="10" fillId="4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10" fontId="0" fillId="0" borderId="0" xfId="0" applyNumberFormat="1" applyAlignment="1">
      <alignment vertical="center"/>
    </xf>
    <xf numFmtId="9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5" borderId="0" xfId="0" applyFill="1" applyAlignment="1">
      <alignment horizontal="center"/>
    </xf>
    <xf numFmtId="10" fontId="8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0" fillId="0" borderId="0" xfId="1" applyFont="1"/>
    <xf numFmtId="0" fontId="6" fillId="6" borderId="9" xfId="0" applyFont="1" applyFill="1" applyBorder="1" applyAlignment="1">
      <alignment horizontal="center" vertical="center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10" fontId="0" fillId="0" borderId="0" xfId="1" applyNumberFormat="1" applyFont="1" applyAlignment="1">
      <alignment vertical="center"/>
    </xf>
    <xf numFmtId="0" fontId="0" fillId="12" borderId="0" xfId="0" applyFill="1" applyAlignment="1">
      <alignment horizontal="left"/>
    </xf>
    <xf numFmtId="3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/>
    </xf>
    <xf numFmtId="0" fontId="0" fillId="11" borderId="0" xfId="0" applyFill="1" applyAlignment="1">
      <alignment horizontal="center" vertical="center"/>
    </xf>
    <xf numFmtId="0" fontId="0" fillId="13" borderId="0" xfId="0" applyFill="1" applyAlignment="1">
      <alignment vertical="center"/>
    </xf>
    <xf numFmtId="0" fontId="0" fillId="11" borderId="0" xfId="0" applyFill="1" applyAlignment="1">
      <alignment vertical="center"/>
    </xf>
    <xf numFmtId="0" fontId="0" fillId="8" borderId="0" xfId="0" applyFill="1" applyAlignment="1">
      <alignment horizontal="center"/>
    </xf>
    <xf numFmtId="0" fontId="0" fillId="0" borderId="1" xfId="0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3" borderId="0" xfId="0" applyFont="1" applyFill="1" applyAlignment="1">
      <alignment horizontal="center" vertical="center"/>
    </xf>
    <xf numFmtId="0" fontId="0" fillId="0" borderId="0" xfId="0" pivotButton="1" applyFont="1" applyAlignment="1">
      <alignment vertical="center"/>
    </xf>
    <xf numFmtId="0" fontId="0" fillId="0" borderId="0" xfId="0" pivotButton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/>
    </xf>
  </cellXfs>
  <cellStyles count="3">
    <cellStyle name="Normal" xfId="0" builtinId="0"/>
    <cellStyle name="Normal 2" xfId="2" xr:uid="{00000000-0005-0000-0000-00002F000000}"/>
    <cellStyle name="Porcentaje" xfId="1" builtinId="5"/>
  </cellStyles>
  <dxfs count="614">
    <dxf>
      <alignment horizontal="left" vertical="bottom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6"/>
      </font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font>
        <sz val="16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C4F67A"/>
      <color rgb="FFB9F462"/>
      <color rgb="FFFF99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1.xml"/><Relationship Id="rId18" Type="http://schemas.openxmlformats.org/officeDocument/2006/relationships/sheetMetadata" Target="metadata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10/relationships/person" Target="persons/person.xml"/><Relationship Id="rId29" Type="http://schemas.openxmlformats.org/officeDocument/2006/relationships/customXml" Target="../customXml/item8.xml"/><Relationship Id="rId41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10" Type="http://schemas.openxmlformats.org/officeDocument/2006/relationships/pivotCacheDefinition" Target="pivotCache/pivotCacheDefinition3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Codigos activos en MRP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'Codigos en MRP'!$B$1</c:f>
              <c:strCache>
                <c:ptCount val="1"/>
                <c:pt idx="0">
                  <c:v>Cantidad de materiales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'Codigos en MRP'!$A$2:$A$39</c:f>
              <c:numCache>
                <c:formatCode>d\-mmm</c:formatCode>
                <c:ptCount val="38"/>
                <c:pt idx="0">
                  <c:v>44433</c:v>
                </c:pt>
                <c:pt idx="1">
                  <c:v>44440</c:v>
                </c:pt>
                <c:pt idx="2">
                  <c:v>44445</c:v>
                </c:pt>
                <c:pt idx="3">
                  <c:v>44452</c:v>
                </c:pt>
                <c:pt idx="4">
                  <c:v>44459</c:v>
                </c:pt>
                <c:pt idx="5">
                  <c:v>44466</c:v>
                </c:pt>
                <c:pt idx="6">
                  <c:v>44473</c:v>
                </c:pt>
                <c:pt idx="7">
                  <c:v>44480</c:v>
                </c:pt>
                <c:pt idx="8">
                  <c:v>44487</c:v>
                </c:pt>
                <c:pt idx="9">
                  <c:v>44494</c:v>
                </c:pt>
                <c:pt idx="10">
                  <c:v>44501</c:v>
                </c:pt>
                <c:pt idx="11">
                  <c:v>44508</c:v>
                </c:pt>
                <c:pt idx="12">
                  <c:v>44515</c:v>
                </c:pt>
                <c:pt idx="13">
                  <c:v>44522</c:v>
                </c:pt>
                <c:pt idx="14">
                  <c:v>44529</c:v>
                </c:pt>
                <c:pt idx="15">
                  <c:v>44536</c:v>
                </c:pt>
                <c:pt idx="16">
                  <c:v>44543</c:v>
                </c:pt>
                <c:pt idx="17">
                  <c:v>44550</c:v>
                </c:pt>
                <c:pt idx="18">
                  <c:v>44557</c:v>
                </c:pt>
                <c:pt idx="19">
                  <c:v>44564</c:v>
                </c:pt>
                <c:pt idx="20">
                  <c:v>44571</c:v>
                </c:pt>
                <c:pt idx="21">
                  <c:v>44578</c:v>
                </c:pt>
                <c:pt idx="22">
                  <c:v>44585</c:v>
                </c:pt>
                <c:pt idx="23">
                  <c:v>44592</c:v>
                </c:pt>
                <c:pt idx="24">
                  <c:v>44600</c:v>
                </c:pt>
                <c:pt idx="25">
                  <c:v>44607</c:v>
                </c:pt>
                <c:pt idx="26">
                  <c:v>44613</c:v>
                </c:pt>
                <c:pt idx="27">
                  <c:v>44620</c:v>
                </c:pt>
                <c:pt idx="28">
                  <c:v>44627</c:v>
                </c:pt>
                <c:pt idx="29">
                  <c:v>44634</c:v>
                </c:pt>
                <c:pt idx="30">
                  <c:v>44641</c:v>
                </c:pt>
                <c:pt idx="31">
                  <c:v>44648</c:v>
                </c:pt>
                <c:pt idx="32">
                  <c:v>44656</c:v>
                </c:pt>
                <c:pt idx="33">
                  <c:v>44663</c:v>
                </c:pt>
                <c:pt idx="34">
                  <c:v>44669</c:v>
                </c:pt>
                <c:pt idx="35">
                  <c:v>44677</c:v>
                </c:pt>
                <c:pt idx="36">
                  <c:v>44684</c:v>
                </c:pt>
                <c:pt idx="37">
                  <c:v>44691</c:v>
                </c:pt>
              </c:numCache>
            </c:numRef>
          </c:cat>
          <c:val>
            <c:numRef>
              <c:f>'Codigos en MRP'!$B$2:$B$39</c:f>
              <c:numCache>
                <c:formatCode>General</c:formatCode>
                <c:ptCount val="38"/>
                <c:pt idx="0">
                  <c:v>685</c:v>
                </c:pt>
                <c:pt idx="1">
                  <c:v>690</c:v>
                </c:pt>
                <c:pt idx="2">
                  <c:v>761</c:v>
                </c:pt>
                <c:pt idx="3">
                  <c:v>761</c:v>
                </c:pt>
                <c:pt idx="4">
                  <c:v>762</c:v>
                </c:pt>
                <c:pt idx="5">
                  <c:v>762</c:v>
                </c:pt>
                <c:pt idx="6">
                  <c:v>761</c:v>
                </c:pt>
                <c:pt idx="7">
                  <c:v>761</c:v>
                </c:pt>
                <c:pt idx="8">
                  <c:v>761</c:v>
                </c:pt>
                <c:pt idx="9">
                  <c:v>761</c:v>
                </c:pt>
                <c:pt idx="10">
                  <c:v>761</c:v>
                </c:pt>
                <c:pt idx="11">
                  <c:v>761</c:v>
                </c:pt>
                <c:pt idx="12">
                  <c:v>761</c:v>
                </c:pt>
                <c:pt idx="13">
                  <c:v>761</c:v>
                </c:pt>
                <c:pt idx="14">
                  <c:v>761</c:v>
                </c:pt>
                <c:pt idx="15">
                  <c:v>760</c:v>
                </c:pt>
                <c:pt idx="16">
                  <c:v>760</c:v>
                </c:pt>
                <c:pt idx="17">
                  <c:v>760</c:v>
                </c:pt>
                <c:pt idx="18">
                  <c:v>760</c:v>
                </c:pt>
                <c:pt idx="19">
                  <c:v>760</c:v>
                </c:pt>
                <c:pt idx="20">
                  <c:v>762</c:v>
                </c:pt>
                <c:pt idx="21">
                  <c:v>762</c:v>
                </c:pt>
                <c:pt idx="22">
                  <c:v>762</c:v>
                </c:pt>
                <c:pt idx="23">
                  <c:v>762</c:v>
                </c:pt>
                <c:pt idx="24">
                  <c:v>763</c:v>
                </c:pt>
                <c:pt idx="25">
                  <c:v>763</c:v>
                </c:pt>
                <c:pt idx="26">
                  <c:v>764</c:v>
                </c:pt>
                <c:pt idx="27">
                  <c:v>764</c:v>
                </c:pt>
                <c:pt idx="28">
                  <c:v>764</c:v>
                </c:pt>
                <c:pt idx="29">
                  <c:v>787</c:v>
                </c:pt>
                <c:pt idx="30">
                  <c:v>801</c:v>
                </c:pt>
                <c:pt idx="31">
                  <c:v>812</c:v>
                </c:pt>
                <c:pt idx="32">
                  <c:v>812</c:v>
                </c:pt>
                <c:pt idx="33">
                  <c:v>836</c:v>
                </c:pt>
                <c:pt idx="34">
                  <c:v>898</c:v>
                </c:pt>
                <c:pt idx="35">
                  <c:v>901</c:v>
                </c:pt>
                <c:pt idx="36">
                  <c:v>901</c:v>
                </c:pt>
                <c:pt idx="37">
                  <c:v>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B-4CF9-8294-5EA5C9AF1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"/>
        <c:overlap val="52"/>
        <c:axId val="535344095"/>
        <c:axId val="535351999"/>
      </c:barChart>
      <c:dateAx>
        <c:axId val="53534409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51999"/>
        <c:crosses val="autoZero"/>
        <c:auto val="1"/>
        <c:lblOffset val="100"/>
        <c:baseTimeUnit val="days"/>
      </c:dateAx>
      <c:valAx>
        <c:axId val="5353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4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438679</xdr:colOff>
      <xdr:row>0</xdr:row>
      <xdr:rowOff>52917</xdr:rowOff>
    </xdr:from>
    <xdr:ext cx="4008120" cy="779318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557742" y="52917"/>
          <a:ext cx="4008120" cy="779318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Prillex</a:t>
          </a:r>
        </a:p>
      </xdr:txBody>
    </xdr:sp>
    <xdr:clientData/>
  </xdr:oneCellAnchor>
  <xdr:twoCellAnchor editAs="oneCell">
    <xdr:from>
      <xdr:col>7</xdr:col>
      <xdr:colOff>649604</xdr:colOff>
      <xdr:row>7</xdr:row>
      <xdr:rowOff>80011</xdr:rowOff>
    </xdr:from>
    <xdr:to>
      <xdr:col>9</xdr:col>
      <xdr:colOff>475500</xdr:colOff>
      <xdr:row>10</xdr:row>
      <xdr:rowOff>44753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6DBB29EB-7CB8-F245-521A-BDCA0031A8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9604" y="1398271"/>
              <a:ext cx="2177415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</xdr:row>
      <xdr:rowOff>25399</xdr:rowOff>
    </xdr:from>
    <xdr:to>
      <xdr:col>9</xdr:col>
      <xdr:colOff>609600</xdr:colOff>
      <xdr:row>4</xdr:row>
      <xdr:rowOff>180974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C040C55-ED13-A45A-F480-1B5C15F2EC9B}"/>
            </a:ext>
          </a:extLst>
        </xdr:cNvPr>
        <xdr:cNvSpPr txBox="1"/>
      </xdr:nvSpPr>
      <xdr:spPr>
        <a:xfrm>
          <a:off x="5210175" y="206374"/>
          <a:ext cx="4705350" cy="841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/>
            <a:t>Disponibilidad</a:t>
          </a:r>
          <a:r>
            <a:rPr lang="es-CL" sz="1400" baseline="0"/>
            <a:t> en base a:</a:t>
          </a:r>
        </a:p>
        <a:p>
          <a:r>
            <a:rPr lang="es-CL" sz="1400" baseline="0"/>
            <a:t>Stock de seguridad + cantidad de compra respecto a stock</a:t>
          </a:r>
        </a:p>
        <a:p>
          <a:r>
            <a:rPr lang="es-CL" sz="1400" baseline="0"/>
            <a:t>[stock/(stock seguridad+cantidad compra)]</a:t>
          </a:r>
          <a:endParaRPr lang="es-CL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5</xdr:row>
      <xdr:rowOff>99060</xdr:rowOff>
    </xdr:from>
    <xdr:to>
      <xdr:col>14</xdr:col>
      <xdr:colOff>695325</xdr:colOff>
      <xdr:row>20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2667EE-1E04-466D-8AA7-78C211FAC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ficacion%20Simpl%20-%20Prillex%2017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digos en MRP"/>
      <sheetName val="Hoja1"/>
      <sheetName val="Area-Usuario"/>
    </sheetNames>
    <sheetDataSet>
      <sheetData sheetId="0">
        <row r="9">
          <cell r="B9">
            <v>20004806</v>
          </cell>
        </row>
        <row r="10">
          <cell r="B10">
            <v>20004808</v>
          </cell>
        </row>
        <row r="11">
          <cell r="B11">
            <v>20004931</v>
          </cell>
        </row>
        <row r="12">
          <cell r="B12">
            <v>20004936</v>
          </cell>
        </row>
        <row r="13">
          <cell r="B13">
            <v>20009690</v>
          </cell>
        </row>
        <row r="14">
          <cell r="B14">
            <v>20004983</v>
          </cell>
        </row>
        <row r="15">
          <cell r="B15">
            <v>20005053</v>
          </cell>
        </row>
        <row r="16">
          <cell r="B16">
            <v>20005239</v>
          </cell>
        </row>
        <row r="17">
          <cell r="B17">
            <v>20005402</v>
          </cell>
        </row>
        <row r="18">
          <cell r="B18">
            <v>20005414</v>
          </cell>
        </row>
        <row r="19">
          <cell r="B19">
            <v>20009101</v>
          </cell>
        </row>
        <row r="20">
          <cell r="B20">
            <v>20005460</v>
          </cell>
        </row>
        <row r="21">
          <cell r="B21">
            <v>20005464</v>
          </cell>
        </row>
        <row r="22">
          <cell r="B22">
            <v>20005498</v>
          </cell>
        </row>
        <row r="23">
          <cell r="B23">
            <v>20009196</v>
          </cell>
        </row>
        <row r="24">
          <cell r="B24">
            <v>20005877</v>
          </cell>
        </row>
        <row r="25">
          <cell r="B25">
            <v>20009278</v>
          </cell>
        </row>
        <row r="26">
          <cell r="B26">
            <v>20005881</v>
          </cell>
        </row>
        <row r="27">
          <cell r="B27">
            <v>20006153</v>
          </cell>
        </row>
        <row r="28">
          <cell r="B28">
            <v>20005882</v>
          </cell>
        </row>
        <row r="29">
          <cell r="B29">
            <v>20005883</v>
          </cell>
        </row>
        <row r="30">
          <cell r="B30">
            <v>20005897</v>
          </cell>
        </row>
        <row r="31">
          <cell r="B31">
            <v>20005923</v>
          </cell>
        </row>
        <row r="32">
          <cell r="B32">
            <v>20015360</v>
          </cell>
        </row>
        <row r="33">
          <cell r="B33">
            <v>20005942</v>
          </cell>
        </row>
        <row r="34">
          <cell r="B34">
            <v>20005943</v>
          </cell>
        </row>
        <row r="35">
          <cell r="B35">
            <v>20010594</v>
          </cell>
        </row>
        <row r="36">
          <cell r="B36">
            <v>20005954</v>
          </cell>
        </row>
        <row r="37">
          <cell r="B37">
            <v>20005986</v>
          </cell>
        </row>
        <row r="38">
          <cell r="B38">
            <v>20006108</v>
          </cell>
        </row>
        <row r="39">
          <cell r="B39">
            <v>20006109</v>
          </cell>
        </row>
        <row r="40">
          <cell r="B40">
            <v>20011483</v>
          </cell>
        </row>
        <row r="41">
          <cell r="B41">
            <v>20006114</v>
          </cell>
        </row>
        <row r="42">
          <cell r="B42">
            <v>20006120</v>
          </cell>
        </row>
        <row r="43">
          <cell r="B43">
            <v>20006165</v>
          </cell>
        </row>
        <row r="44">
          <cell r="B44">
            <v>20006144</v>
          </cell>
        </row>
        <row r="45">
          <cell r="B45">
            <v>20019884</v>
          </cell>
        </row>
        <row r="46">
          <cell r="B46">
            <v>20006145</v>
          </cell>
        </row>
        <row r="47">
          <cell r="B47">
            <v>20019919</v>
          </cell>
        </row>
        <row r="48">
          <cell r="B48">
            <v>20006158</v>
          </cell>
        </row>
        <row r="49">
          <cell r="B49">
            <v>20006551</v>
          </cell>
        </row>
        <row r="50">
          <cell r="B50">
            <v>20006694</v>
          </cell>
        </row>
        <row r="51">
          <cell r="B51">
            <v>20006695</v>
          </cell>
        </row>
        <row r="52">
          <cell r="B52">
            <v>20020075</v>
          </cell>
        </row>
        <row r="53">
          <cell r="B53">
            <v>20006952</v>
          </cell>
        </row>
        <row r="54">
          <cell r="B54">
            <v>20007185</v>
          </cell>
        </row>
        <row r="55">
          <cell r="B55">
            <v>20007186</v>
          </cell>
        </row>
        <row r="56">
          <cell r="B56">
            <v>20007189</v>
          </cell>
        </row>
        <row r="57">
          <cell r="B57">
            <v>20016988</v>
          </cell>
        </row>
        <row r="58">
          <cell r="B58">
            <v>20007190</v>
          </cell>
        </row>
        <row r="59">
          <cell r="B59">
            <v>20007214</v>
          </cell>
        </row>
        <row r="60">
          <cell r="B60">
            <v>20007265</v>
          </cell>
        </row>
        <row r="61">
          <cell r="B61">
            <v>20007282</v>
          </cell>
        </row>
        <row r="62">
          <cell r="B62">
            <v>20007290</v>
          </cell>
        </row>
        <row r="63">
          <cell r="B63">
            <v>20007327</v>
          </cell>
        </row>
        <row r="64">
          <cell r="B64">
            <v>20007435</v>
          </cell>
        </row>
        <row r="65">
          <cell r="B65">
            <v>20007514</v>
          </cell>
        </row>
        <row r="66">
          <cell r="B66">
            <v>20007531</v>
          </cell>
        </row>
        <row r="67">
          <cell r="B67">
            <v>20007548</v>
          </cell>
        </row>
        <row r="68">
          <cell r="B68">
            <v>20007563</v>
          </cell>
        </row>
        <row r="69">
          <cell r="B69">
            <v>20007835</v>
          </cell>
        </row>
        <row r="70">
          <cell r="B70">
            <v>20007926</v>
          </cell>
        </row>
        <row r="71">
          <cell r="B71">
            <v>20007928</v>
          </cell>
        </row>
        <row r="72">
          <cell r="B72">
            <v>20008028</v>
          </cell>
        </row>
        <row r="73">
          <cell r="B73">
            <v>20008058</v>
          </cell>
        </row>
        <row r="74">
          <cell r="B74">
            <v>20008069</v>
          </cell>
        </row>
        <row r="75">
          <cell r="B75">
            <v>20008241</v>
          </cell>
        </row>
        <row r="76">
          <cell r="B76">
            <v>20014897</v>
          </cell>
        </row>
        <row r="77">
          <cell r="B77">
            <v>20008258</v>
          </cell>
        </row>
        <row r="78">
          <cell r="B78">
            <v>20020007</v>
          </cell>
        </row>
        <row r="79">
          <cell r="B79">
            <v>20008271</v>
          </cell>
        </row>
        <row r="80">
          <cell r="B80">
            <v>20008355</v>
          </cell>
        </row>
        <row r="81">
          <cell r="B81">
            <v>20008525</v>
          </cell>
        </row>
        <row r="82">
          <cell r="B82">
            <v>20008954</v>
          </cell>
        </row>
        <row r="83">
          <cell r="B83">
            <v>20008985</v>
          </cell>
        </row>
        <row r="84">
          <cell r="B84">
            <v>20013409</v>
          </cell>
        </row>
        <row r="85">
          <cell r="B85">
            <v>20009052</v>
          </cell>
        </row>
        <row r="86">
          <cell r="B86">
            <v>20009103</v>
          </cell>
        </row>
        <row r="87">
          <cell r="B87">
            <v>20009109</v>
          </cell>
        </row>
        <row r="88">
          <cell r="B88">
            <v>20009155</v>
          </cell>
        </row>
        <row r="89">
          <cell r="B89">
            <v>20009194</v>
          </cell>
        </row>
        <row r="90">
          <cell r="B90">
            <v>20009224</v>
          </cell>
        </row>
        <row r="91">
          <cell r="B91">
            <v>20009231</v>
          </cell>
        </row>
        <row r="92">
          <cell r="B92">
            <v>20009248</v>
          </cell>
        </row>
        <row r="93">
          <cell r="B93">
            <v>20009261</v>
          </cell>
        </row>
        <row r="94">
          <cell r="B94">
            <v>20009266</v>
          </cell>
        </row>
        <row r="95">
          <cell r="B95">
            <v>20009440</v>
          </cell>
        </row>
        <row r="96">
          <cell r="B96">
            <v>20009470</v>
          </cell>
        </row>
        <row r="97">
          <cell r="B97">
            <v>20009512</v>
          </cell>
        </row>
        <row r="98">
          <cell r="B98">
            <v>20019781</v>
          </cell>
        </row>
        <row r="99">
          <cell r="B99">
            <v>20009543</v>
          </cell>
        </row>
        <row r="100">
          <cell r="B100">
            <v>20009671</v>
          </cell>
        </row>
        <row r="101">
          <cell r="B101">
            <v>20019900</v>
          </cell>
        </row>
        <row r="102">
          <cell r="B102">
            <v>20019901</v>
          </cell>
        </row>
        <row r="103">
          <cell r="B103">
            <v>20009697</v>
          </cell>
        </row>
        <row r="104">
          <cell r="B104">
            <v>20010751</v>
          </cell>
        </row>
        <row r="105">
          <cell r="B105">
            <v>20011173</v>
          </cell>
        </row>
        <row r="106">
          <cell r="B106">
            <v>20011174</v>
          </cell>
        </row>
        <row r="107">
          <cell r="B107">
            <v>20011177</v>
          </cell>
        </row>
        <row r="108">
          <cell r="B108">
            <v>20014660</v>
          </cell>
        </row>
        <row r="109">
          <cell r="B109">
            <v>20011480</v>
          </cell>
        </row>
        <row r="110">
          <cell r="B110">
            <v>20011481</v>
          </cell>
        </row>
        <row r="111">
          <cell r="B111">
            <v>20011519</v>
          </cell>
        </row>
        <row r="112">
          <cell r="B112">
            <v>20011601</v>
          </cell>
        </row>
        <row r="113">
          <cell r="B113">
            <v>20011614</v>
          </cell>
        </row>
        <row r="114">
          <cell r="B114">
            <v>20011723</v>
          </cell>
        </row>
        <row r="115">
          <cell r="B115">
            <v>20019971</v>
          </cell>
        </row>
        <row r="116">
          <cell r="B116">
            <v>20011819</v>
          </cell>
        </row>
        <row r="117">
          <cell r="B117">
            <v>20011841</v>
          </cell>
        </row>
        <row r="118">
          <cell r="B118">
            <v>20011843</v>
          </cell>
        </row>
        <row r="119">
          <cell r="B119">
            <v>20011891</v>
          </cell>
        </row>
        <row r="120">
          <cell r="B120">
            <v>20011895</v>
          </cell>
        </row>
        <row r="121">
          <cell r="B121">
            <v>20011900</v>
          </cell>
        </row>
        <row r="122">
          <cell r="B122">
            <v>20011926</v>
          </cell>
        </row>
        <row r="123">
          <cell r="B123">
            <v>20011928</v>
          </cell>
        </row>
        <row r="124">
          <cell r="B124">
            <v>20011934</v>
          </cell>
        </row>
        <row r="125">
          <cell r="B125">
            <v>20011957</v>
          </cell>
        </row>
        <row r="126">
          <cell r="B126">
            <v>20012096</v>
          </cell>
        </row>
        <row r="127">
          <cell r="B127">
            <v>20012114</v>
          </cell>
        </row>
        <row r="128">
          <cell r="B128">
            <v>20012171</v>
          </cell>
        </row>
        <row r="129">
          <cell r="B129">
            <v>20019974</v>
          </cell>
        </row>
        <row r="130">
          <cell r="B130">
            <v>20012198</v>
          </cell>
        </row>
        <row r="131">
          <cell r="B131">
            <v>20012260</v>
          </cell>
        </row>
        <row r="132">
          <cell r="B132">
            <v>20012262</v>
          </cell>
        </row>
        <row r="133">
          <cell r="B133">
            <v>20012263</v>
          </cell>
        </row>
        <row r="134">
          <cell r="B134">
            <v>20012284</v>
          </cell>
        </row>
        <row r="135">
          <cell r="B135">
            <v>20012286</v>
          </cell>
        </row>
        <row r="136">
          <cell r="B136">
            <v>20012289</v>
          </cell>
        </row>
        <row r="137">
          <cell r="B137">
            <v>20012298</v>
          </cell>
        </row>
        <row r="138">
          <cell r="B138">
            <v>20012310</v>
          </cell>
        </row>
        <row r="139">
          <cell r="B139">
            <v>20012311</v>
          </cell>
        </row>
        <row r="140">
          <cell r="B140">
            <v>20012357</v>
          </cell>
        </row>
        <row r="141">
          <cell r="B141">
            <v>20012377</v>
          </cell>
        </row>
        <row r="142">
          <cell r="B142">
            <v>20019920</v>
          </cell>
        </row>
        <row r="143">
          <cell r="B143">
            <v>20012383</v>
          </cell>
        </row>
        <row r="144">
          <cell r="B144">
            <v>20012391</v>
          </cell>
        </row>
        <row r="145">
          <cell r="B145">
            <v>20013228</v>
          </cell>
        </row>
        <row r="146">
          <cell r="B146">
            <v>20019648</v>
          </cell>
        </row>
        <row r="147">
          <cell r="B147">
            <v>20013236</v>
          </cell>
        </row>
        <row r="148">
          <cell r="B148">
            <v>20013241</v>
          </cell>
        </row>
        <row r="149">
          <cell r="B149">
            <v>20013400</v>
          </cell>
        </row>
        <row r="150">
          <cell r="B150">
            <v>20013403</v>
          </cell>
        </row>
        <row r="151">
          <cell r="B151">
            <v>20013415</v>
          </cell>
        </row>
        <row r="152">
          <cell r="B152">
            <v>20013416</v>
          </cell>
        </row>
        <row r="153">
          <cell r="B153">
            <v>20013417</v>
          </cell>
        </row>
        <row r="154">
          <cell r="B154">
            <v>20013418</v>
          </cell>
        </row>
        <row r="155">
          <cell r="B155">
            <v>20013419</v>
          </cell>
        </row>
        <row r="156">
          <cell r="B156">
            <v>20013420</v>
          </cell>
        </row>
        <row r="157">
          <cell r="B157">
            <v>20013627</v>
          </cell>
        </row>
        <row r="158">
          <cell r="B158">
            <v>20013629</v>
          </cell>
        </row>
        <row r="159">
          <cell r="B159">
            <v>20013634</v>
          </cell>
        </row>
        <row r="160">
          <cell r="B160">
            <v>20013697</v>
          </cell>
        </row>
        <row r="161">
          <cell r="B161">
            <v>20013808</v>
          </cell>
        </row>
        <row r="162">
          <cell r="B162">
            <v>20013809</v>
          </cell>
        </row>
        <row r="163">
          <cell r="B163">
            <v>20013810</v>
          </cell>
        </row>
        <row r="164">
          <cell r="B164">
            <v>20014010</v>
          </cell>
        </row>
        <row r="165">
          <cell r="B165">
            <v>20014012</v>
          </cell>
        </row>
        <row r="166">
          <cell r="B166">
            <v>20014203</v>
          </cell>
        </row>
        <row r="167">
          <cell r="B167">
            <v>20014604</v>
          </cell>
        </row>
        <row r="168">
          <cell r="B168">
            <v>20014648</v>
          </cell>
        </row>
        <row r="169">
          <cell r="B169">
            <v>20014649</v>
          </cell>
        </row>
        <row r="170">
          <cell r="B170">
            <v>20014672</v>
          </cell>
        </row>
        <row r="171">
          <cell r="B171">
            <v>20014673</v>
          </cell>
        </row>
        <row r="172">
          <cell r="B172">
            <v>20014687</v>
          </cell>
        </row>
        <row r="173">
          <cell r="B173">
            <v>20014748</v>
          </cell>
        </row>
        <row r="174">
          <cell r="B174">
            <v>20014754</v>
          </cell>
        </row>
        <row r="175">
          <cell r="B175">
            <v>20014756</v>
          </cell>
        </row>
        <row r="176">
          <cell r="B176">
            <v>20014757</v>
          </cell>
        </row>
        <row r="177">
          <cell r="B177">
            <v>20014829</v>
          </cell>
        </row>
        <row r="178">
          <cell r="B178">
            <v>20015039</v>
          </cell>
        </row>
        <row r="179">
          <cell r="B179">
            <v>20015090</v>
          </cell>
        </row>
        <row r="180">
          <cell r="B180">
            <v>20015134</v>
          </cell>
        </row>
        <row r="181">
          <cell r="B181">
            <v>20015158</v>
          </cell>
        </row>
        <row r="182">
          <cell r="B182">
            <v>20015161</v>
          </cell>
        </row>
        <row r="183">
          <cell r="B183">
            <v>20015163</v>
          </cell>
        </row>
        <row r="184">
          <cell r="B184">
            <v>20019882</v>
          </cell>
        </row>
        <row r="185">
          <cell r="B185">
            <v>20019683</v>
          </cell>
        </row>
        <row r="186">
          <cell r="B186">
            <v>20015630</v>
          </cell>
        </row>
        <row r="187">
          <cell r="B187">
            <v>20015686</v>
          </cell>
        </row>
        <row r="188">
          <cell r="B188">
            <v>20016137</v>
          </cell>
        </row>
        <row r="189">
          <cell r="B189">
            <v>20016160</v>
          </cell>
        </row>
        <row r="190">
          <cell r="B190">
            <v>20016365</v>
          </cell>
        </row>
        <row r="191">
          <cell r="B191">
            <v>20016711</v>
          </cell>
        </row>
        <row r="192">
          <cell r="B192">
            <v>20017073</v>
          </cell>
        </row>
        <row r="193">
          <cell r="B193">
            <v>20017583</v>
          </cell>
        </row>
        <row r="194">
          <cell r="B194">
            <v>20017680</v>
          </cell>
        </row>
        <row r="195">
          <cell r="B195">
            <v>20017799</v>
          </cell>
        </row>
        <row r="196">
          <cell r="B196">
            <v>20017867</v>
          </cell>
        </row>
        <row r="197">
          <cell r="B197">
            <v>20018359</v>
          </cell>
        </row>
        <row r="198">
          <cell r="B198">
            <v>20018461</v>
          </cell>
        </row>
        <row r="199">
          <cell r="B199">
            <v>20018503</v>
          </cell>
        </row>
        <row r="200">
          <cell r="B200">
            <v>20018548</v>
          </cell>
        </row>
        <row r="201">
          <cell r="B201">
            <v>20019474</v>
          </cell>
        </row>
        <row r="202">
          <cell r="B202">
            <v>20019502</v>
          </cell>
        </row>
        <row r="203">
          <cell r="B203">
            <v>20019503</v>
          </cell>
        </row>
        <row r="204">
          <cell r="B204">
            <v>20019541</v>
          </cell>
        </row>
        <row r="205">
          <cell r="B205">
            <v>20019543</v>
          </cell>
        </row>
        <row r="206">
          <cell r="B206">
            <v>20019551</v>
          </cell>
        </row>
        <row r="207">
          <cell r="B207">
            <v>20019659</v>
          </cell>
        </row>
        <row r="208">
          <cell r="B208">
            <v>20019674</v>
          </cell>
        </row>
        <row r="209">
          <cell r="B209">
            <v>20019687</v>
          </cell>
        </row>
        <row r="210">
          <cell r="B210">
            <v>20019688</v>
          </cell>
        </row>
        <row r="211">
          <cell r="B211">
            <v>20019729</v>
          </cell>
        </row>
        <row r="212">
          <cell r="B212">
            <v>20019745</v>
          </cell>
        </row>
        <row r="213">
          <cell r="B213">
            <v>20019753</v>
          </cell>
        </row>
        <row r="214">
          <cell r="B214">
            <v>20019782</v>
          </cell>
        </row>
        <row r="215">
          <cell r="B215">
            <v>20019783</v>
          </cell>
        </row>
        <row r="216">
          <cell r="B216">
            <v>20019784</v>
          </cell>
        </row>
        <row r="217">
          <cell r="B217">
            <v>20019785</v>
          </cell>
        </row>
        <row r="218">
          <cell r="B218">
            <v>20019788</v>
          </cell>
        </row>
        <row r="219">
          <cell r="B219">
            <v>20019883</v>
          </cell>
        </row>
        <row r="220">
          <cell r="B220">
            <v>20019889</v>
          </cell>
        </row>
        <row r="221">
          <cell r="B221">
            <v>20019892</v>
          </cell>
        </row>
        <row r="222">
          <cell r="B222">
            <v>20019902</v>
          </cell>
        </row>
        <row r="223">
          <cell r="B223">
            <v>20019915</v>
          </cell>
        </row>
        <row r="224">
          <cell r="B224">
            <v>20019916</v>
          </cell>
        </row>
        <row r="225">
          <cell r="B225">
            <v>20019917</v>
          </cell>
        </row>
        <row r="226">
          <cell r="B226">
            <v>20019945</v>
          </cell>
        </row>
        <row r="227">
          <cell r="B227">
            <v>20019946</v>
          </cell>
        </row>
        <row r="228">
          <cell r="B228">
            <v>20019948</v>
          </cell>
        </row>
        <row r="229">
          <cell r="B229">
            <v>20019970</v>
          </cell>
        </row>
        <row r="230">
          <cell r="B230">
            <v>20020070</v>
          </cell>
        </row>
        <row r="231">
          <cell r="B231">
            <v>20020071</v>
          </cell>
        </row>
        <row r="232">
          <cell r="B232">
            <v>20020076</v>
          </cell>
        </row>
        <row r="233">
          <cell r="B233">
            <v>20020077</v>
          </cell>
        </row>
        <row r="234">
          <cell r="B234">
            <v>20020078</v>
          </cell>
        </row>
        <row r="235">
          <cell r="B235">
            <v>20020079</v>
          </cell>
        </row>
        <row r="236">
          <cell r="B236">
            <v>20020080</v>
          </cell>
        </row>
        <row r="237">
          <cell r="B237">
            <v>20020081</v>
          </cell>
        </row>
        <row r="238">
          <cell r="B238">
            <v>20020107</v>
          </cell>
        </row>
        <row r="239">
          <cell r="B239">
            <v>20020119</v>
          </cell>
        </row>
        <row r="240">
          <cell r="B240">
            <v>20020122</v>
          </cell>
        </row>
        <row r="241">
          <cell r="B241">
            <v>20020123</v>
          </cell>
        </row>
        <row r="242">
          <cell r="B242">
            <v>20020124</v>
          </cell>
        </row>
        <row r="243">
          <cell r="B243">
            <v>20020125</v>
          </cell>
        </row>
        <row r="244">
          <cell r="B244">
            <v>20020126</v>
          </cell>
        </row>
        <row r="245">
          <cell r="B245">
            <v>20020152</v>
          </cell>
        </row>
        <row r="246">
          <cell r="B246">
            <v>20020153</v>
          </cell>
        </row>
        <row r="247">
          <cell r="B247">
            <v>20020154</v>
          </cell>
        </row>
        <row r="248">
          <cell r="B248">
            <v>20020181</v>
          </cell>
        </row>
        <row r="249">
          <cell r="B249">
            <v>20020182</v>
          </cell>
        </row>
        <row r="250">
          <cell r="B250">
            <v>20020191</v>
          </cell>
        </row>
        <row r="251">
          <cell r="B251">
            <v>20020201</v>
          </cell>
        </row>
        <row r="252">
          <cell r="B252">
            <v>20020202</v>
          </cell>
        </row>
        <row r="253">
          <cell r="B253">
            <v>20020203</v>
          </cell>
        </row>
        <row r="254">
          <cell r="B254">
            <v>20020204</v>
          </cell>
        </row>
        <row r="255">
          <cell r="B255">
            <v>20020296</v>
          </cell>
        </row>
        <row r="256">
          <cell r="B256">
            <v>20020326</v>
          </cell>
        </row>
        <row r="257">
          <cell r="B257">
            <v>20020331</v>
          </cell>
        </row>
        <row r="258">
          <cell r="B258">
            <v>20020345</v>
          </cell>
        </row>
        <row r="259">
          <cell r="B259">
            <v>20020346</v>
          </cell>
        </row>
        <row r="260">
          <cell r="B260">
            <v>20020351</v>
          </cell>
        </row>
        <row r="261">
          <cell r="B261">
            <v>20020355</v>
          </cell>
        </row>
        <row r="262">
          <cell r="B262">
            <v>20020417</v>
          </cell>
        </row>
        <row r="263">
          <cell r="B263">
            <v>20020503</v>
          </cell>
        </row>
        <row r="264">
          <cell r="B264">
            <v>20020532</v>
          </cell>
        </row>
        <row r="265">
          <cell r="B265">
            <v>20020567</v>
          </cell>
        </row>
        <row r="266">
          <cell r="B266">
            <v>20020663</v>
          </cell>
        </row>
        <row r="267">
          <cell r="B267">
            <v>20020664</v>
          </cell>
        </row>
        <row r="268">
          <cell r="B268">
            <v>20020665</v>
          </cell>
        </row>
        <row r="269">
          <cell r="B269">
            <v>20020666</v>
          </cell>
        </row>
        <row r="270">
          <cell r="B270">
            <v>20020667</v>
          </cell>
        </row>
        <row r="271">
          <cell r="B271">
            <v>20020673</v>
          </cell>
        </row>
        <row r="272">
          <cell r="B272">
            <v>20020688</v>
          </cell>
        </row>
        <row r="273">
          <cell r="B273">
            <v>20020696</v>
          </cell>
        </row>
        <row r="274">
          <cell r="B274">
            <v>20020718</v>
          </cell>
        </row>
        <row r="275">
          <cell r="B275">
            <v>20020719</v>
          </cell>
        </row>
        <row r="276">
          <cell r="B276">
            <v>20020737</v>
          </cell>
        </row>
        <row r="277">
          <cell r="B277">
            <v>20020849</v>
          </cell>
        </row>
        <row r="278">
          <cell r="B278">
            <v>20020860</v>
          </cell>
        </row>
        <row r="279">
          <cell r="B279">
            <v>20020867</v>
          </cell>
        </row>
        <row r="280">
          <cell r="B280">
            <v>20020964</v>
          </cell>
        </row>
        <row r="281">
          <cell r="B281">
            <v>20020967</v>
          </cell>
        </row>
        <row r="282">
          <cell r="B282">
            <v>20020992</v>
          </cell>
        </row>
        <row r="283">
          <cell r="B283">
            <v>20021006</v>
          </cell>
        </row>
        <row r="284">
          <cell r="B284">
            <v>20021132</v>
          </cell>
        </row>
        <row r="285">
          <cell r="B285">
            <v>20021134</v>
          </cell>
        </row>
        <row r="286">
          <cell r="B286">
            <v>20021152</v>
          </cell>
        </row>
        <row r="287">
          <cell r="B287">
            <v>20021180</v>
          </cell>
        </row>
        <row r="288">
          <cell r="B288">
            <v>20021428</v>
          </cell>
        </row>
        <row r="289">
          <cell r="B289">
            <v>20021465</v>
          </cell>
        </row>
        <row r="290">
          <cell r="B290">
            <v>20021531</v>
          </cell>
        </row>
        <row r="291">
          <cell r="B291">
            <v>20021581</v>
          </cell>
        </row>
        <row r="292">
          <cell r="B292">
            <v>20021582</v>
          </cell>
        </row>
        <row r="293">
          <cell r="B293">
            <v>20021584</v>
          </cell>
        </row>
        <row r="294">
          <cell r="B294">
            <v>20021585</v>
          </cell>
        </row>
        <row r="295">
          <cell r="B295">
            <v>20021598</v>
          </cell>
        </row>
        <row r="296">
          <cell r="B296">
            <v>20021599</v>
          </cell>
        </row>
        <row r="297">
          <cell r="B297">
            <v>20021712</v>
          </cell>
        </row>
        <row r="298">
          <cell r="B298">
            <v>20021810</v>
          </cell>
        </row>
        <row r="299">
          <cell r="B299">
            <v>20021816</v>
          </cell>
        </row>
        <row r="300">
          <cell r="B300">
            <v>20021894</v>
          </cell>
        </row>
        <row r="301">
          <cell r="B301">
            <v>20021919</v>
          </cell>
        </row>
        <row r="302">
          <cell r="B302">
            <v>20021920</v>
          </cell>
        </row>
        <row r="303">
          <cell r="B303">
            <v>20022012</v>
          </cell>
        </row>
        <row r="304">
          <cell r="B304">
            <v>20022078</v>
          </cell>
        </row>
        <row r="305">
          <cell r="B305">
            <v>20022079</v>
          </cell>
        </row>
        <row r="306">
          <cell r="B306">
            <v>20022104</v>
          </cell>
        </row>
        <row r="307">
          <cell r="B307">
            <v>20022141</v>
          </cell>
        </row>
        <row r="308">
          <cell r="B308">
            <v>20022150</v>
          </cell>
        </row>
        <row r="309">
          <cell r="B309">
            <v>20022229</v>
          </cell>
        </row>
        <row r="310">
          <cell r="B310">
            <v>20022261</v>
          </cell>
        </row>
        <row r="311">
          <cell r="B311">
            <v>20022336</v>
          </cell>
        </row>
        <row r="312">
          <cell r="B312">
            <v>20022432</v>
          </cell>
        </row>
        <row r="313">
          <cell r="B313">
            <v>20022436</v>
          </cell>
        </row>
        <row r="314">
          <cell r="B314">
            <v>20022673</v>
          </cell>
        </row>
        <row r="315">
          <cell r="B315">
            <v>20022698</v>
          </cell>
        </row>
        <row r="316">
          <cell r="B316">
            <v>20022707</v>
          </cell>
        </row>
        <row r="317">
          <cell r="B317">
            <v>20022877</v>
          </cell>
        </row>
        <row r="318">
          <cell r="B318">
            <v>20022878</v>
          </cell>
        </row>
        <row r="319">
          <cell r="B319">
            <v>20022888</v>
          </cell>
        </row>
        <row r="320">
          <cell r="B320">
            <v>20022922</v>
          </cell>
        </row>
        <row r="321">
          <cell r="B321">
            <v>20022924</v>
          </cell>
        </row>
        <row r="322">
          <cell r="B322">
            <v>20022992</v>
          </cell>
        </row>
        <row r="323">
          <cell r="B323">
            <v>20023010</v>
          </cell>
        </row>
        <row r="324">
          <cell r="B324">
            <v>20023022</v>
          </cell>
        </row>
        <row r="325">
          <cell r="B325">
            <v>20023087</v>
          </cell>
        </row>
        <row r="326">
          <cell r="B326">
            <v>20023178</v>
          </cell>
        </row>
        <row r="327">
          <cell r="B327">
            <v>20023179</v>
          </cell>
        </row>
        <row r="328">
          <cell r="B328">
            <v>20023241</v>
          </cell>
        </row>
        <row r="329">
          <cell r="B329">
            <v>20023269</v>
          </cell>
        </row>
        <row r="330">
          <cell r="B330">
            <v>20023350</v>
          </cell>
        </row>
        <row r="331">
          <cell r="B331">
            <v>20023401</v>
          </cell>
        </row>
        <row r="332">
          <cell r="B332">
            <v>20023429</v>
          </cell>
        </row>
        <row r="333">
          <cell r="B333">
            <v>20023536</v>
          </cell>
        </row>
        <row r="334">
          <cell r="B334">
            <v>20023576</v>
          </cell>
        </row>
        <row r="335">
          <cell r="B335">
            <v>20023659</v>
          </cell>
        </row>
        <row r="336">
          <cell r="B336">
            <v>20023707</v>
          </cell>
        </row>
        <row r="337">
          <cell r="B337">
            <v>20023885</v>
          </cell>
        </row>
        <row r="338">
          <cell r="B338">
            <v>20023886</v>
          </cell>
        </row>
        <row r="339">
          <cell r="B339">
            <v>20024029</v>
          </cell>
        </row>
        <row r="340">
          <cell r="B340">
            <v>20024067</v>
          </cell>
        </row>
        <row r="341">
          <cell r="B341">
            <v>20024068</v>
          </cell>
        </row>
        <row r="342">
          <cell r="B342">
            <v>20024086</v>
          </cell>
        </row>
        <row r="343">
          <cell r="B343">
            <v>20024319</v>
          </cell>
        </row>
        <row r="344">
          <cell r="B344">
            <v>20024336</v>
          </cell>
        </row>
        <row r="345">
          <cell r="B345">
            <v>20024363</v>
          </cell>
        </row>
        <row r="346">
          <cell r="B346">
            <v>20024371</v>
          </cell>
        </row>
        <row r="347">
          <cell r="B347">
            <v>20024453</v>
          </cell>
        </row>
        <row r="348">
          <cell r="B348">
            <v>20024458</v>
          </cell>
        </row>
        <row r="349">
          <cell r="B349">
            <v>20024469</v>
          </cell>
        </row>
        <row r="350">
          <cell r="B350">
            <v>20024538</v>
          </cell>
        </row>
        <row r="351">
          <cell r="B351">
            <v>20024539</v>
          </cell>
        </row>
        <row r="352">
          <cell r="B352">
            <v>20024542</v>
          </cell>
        </row>
        <row r="353">
          <cell r="B353">
            <v>20024544</v>
          </cell>
        </row>
        <row r="354">
          <cell r="B354">
            <v>20024595</v>
          </cell>
        </row>
        <row r="355">
          <cell r="B355">
            <v>20024596</v>
          </cell>
        </row>
        <row r="356">
          <cell r="B356">
            <v>20024618</v>
          </cell>
        </row>
        <row r="357">
          <cell r="B357">
            <v>20024619</v>
          </cell>
        </row>
        <row r="358">
          <cell r="B358">
            <v>20024742</v>
          </cell>
        </row>
        <row r="359">
          <cell r="B359">
            <v>20024748</v>
          </cell>
        </row>
        <row r="360">
          <cell r="B360">
            <v>20024813</v>
          </cell>
        </row>
        <row r="361">
          <cell r="B361">
            <v>20024829</v>
          </cell>
        </row>
        <row r="362">
          <cell r="B362">
            <v>20024831</v>
          </cell>
        </row>
        <row r="363">
          <cell r="B363">
            <v>20024832</v>
          </cell>
        </row>
        <row r="364">
          <cell r="B364">
            <v>20024838</v>
          </cell>
        </row>
        <row r="365">
          <cell r="B365">
            <v>20024847</v>
          </cell>
        </row>
        <row r="366">
          <cell r="B366">
            <v>20024848</v>
          </cell>
        </row>
        <row r="367">
          <cell r="B367">
            <v>20024849</v>
          </cell>
        </row>
        <row r="368">
          <cell r="B368">
            <v>20024850</v>
          </cell>
        </row>
        <row r="369">
          <cell r="B369">
            <v>20024851</v>
          </cell>
        </row>
        <row r="370">
          <cell r="B370">
            <v>20024852</v>
          </cell>
        </row>
        <row r="371">
          <cell r="B371">
            <v>20024955</v>
          </cell>
        </row>
        <row r="372">
          <cell r="B372">
            <v>20024957</v>
          </cell>
        </row>
        <row r="373">
          <cell r="B373">
            <v>20024960</v>
          </cell>
        </row>
        <row r="374">
          <cell r="B374">
            <v>20024961</v>
          </cell>
        </row>
        <row r="375">
          <cell r="B375">
            <v>20024962</v>
          </cell>
        </row>
        <row r="376">
          <cell r="B376">
            <v>20025047</v>
          </cell>
        </row>
        <row r="377">
          <cell r="B377">
            <v>20025112</v>
          </cell>
        </row>
        <row r="378">
          <cell r="B378">
            <v>20025184</v>
          </cell>
        </row>
        <row r="379">
          <cell r="B379">
            <v>20025289</v>
          </cell>
        </row>
        <row r="380">
          <cell r="B380">
            <v>20025290</v>
          </cell>
        </row>
        <row r="381">
          <cell r="B381">
            <v>20025291</v>
          </cell>
        </row>
        <row r="382">
          <cell r="B382">
            <v>20025463</v>
          </cell>
        </row>
        <row r="383">
          <cell r="B383">
            <v>20025464</v>
          </cell>
        </row>
        <row r="384">
          <cell r="B384">
            <v>20025466</v>
          </cell>
        </row>
        <row r="385">
          <cell r="B385">
            <v>20025553</v>
          </cell>
        </row>
        <row r="386">
          <cell r="B386">
            <v>20025554</v>
          </cell>
        </row>
        <row r="387">
          <cell r="B387">
            <v>20025559</v>
          </cell>
        </row>
        <row r="388">
          <cell r="B388">
            <v>20025561</v>
          </cell>
        </row>
        <row r="389">
          <cell r="B389">
            <v>20025566</v>
          </cell>
        </row>
        <row r="390">
          <cell r="B390">
            <v>20025587</v>
          </cell>
        </row>
        <row r="391">
          <cell r="B391">
            <v>20025677</v>
          </cell>
        </row>
        <row r="392">
          <cell r="B392">
            <v>20025678</v>
          </cell>
        </row>
        <row r="393">
          <cell r="B393">
            <v>20025729</v>
          </cell>
        </row>
        <row r="394">
          <cell r="B394">
            <v>20025731</v>
          </cell>
        </row>
        <row r="395">
          <cell r="B395">
            <v>20025732</v>
          </cell>
        </row>
        <row r="396">
          <cell r="B396">
            <v>20025733</v>
          </cell>
        </row>
        <row r="397">
          <cell r="B397">
            <v>20025734</v>
          </cell>
        </row>
        <row r="398">
          <cell r="B398">
            <v>20025736</v>
          </cell>
        </row>
        <row r="399">
          <cell r="B399">
            <v>20025747</v>
          </cell>
        </row>
        <row r="400">
          <cell r="B400">
            <v>20025795</v>
          </cell>
        </row>
        <row r="401">
          <cell r="B401">
            <v>20025796</v>
          </cell>
        </row>
        <row r="402">
          <cell r="B402">
            <v>20025799</v>
          </cell>
        </row>
        <row r="403">
          <cell r="B403">
            <v>20025815</v>
          </cell>
        </row>
        <row r="404">
          <cell r="B404">
            <v>20025842</v>
          </cell>
        </row>
        <row r="405">
          <cell r="B405">
            <v>20025867</v>
          </cell>
        </row>
        <row r="406">
          <cell r="B406">
            <v>20025912</v>
          </cell>
        </row>
        <row r="407">
          <cell r="B407">
            <v>20025916</v>
          </cell>
        </row>
        <row r="408">
          <cell r="B408">
            <v>20025973</v>
          </cell>
        </row>
        <row r="409">
          <cell r="B409">
            <v>20025975</v>
          </cell>
        </row>
        <row r="410">
          <cell r="B410">
            <v>20026037</v>
          </cell>
        </row>
        <row r="411">
          <cell r="B411">
            <v>20026038</v>
          </cell>
        </row>
        <row r="412">
          <cell r="B412">
            <v>20026040</v>
          </cell>
        </row>
        <row r="413">
          <cell r="B413">
            <v>20026046</v>
          </cell>
        </row>
        <row r="414">
          <cell r="B414">
            <v>20026108</v>
          </cell>
        </row>
        <row r="415">
          <cell r="B415">
            <v>20026114</v>
          </cell>
        </row>
        <row r="416">
          <cell r="B416">
            <v>20026187</v>
          </cell>
        </row>
        <row r="417">
          <cell r="B417">
            <v>20026188</v>
          </cell>
        </row>
        <row r="418">
          <cell r="B418">
            <v>20026192</v>
          </cell>
        </row>
        <row r="419">
          <cell r="B419">
            <v>20026193</v>
          </cell>
        </row>
        <row r="420">
          <cell r="B420">
            <v>20026194</v>
          </cell>
        </row>
        <row r="421">
          <cell r="B421">
            <v>20026200</v>
          </cell>
        </row>
        <row r="422">
          <cell r="B422">
            <v>20026201</v>
          </cell>
        </row>
        <row r="423">
          <cell r="B423">
            <v>20026202</v>
          </cell>
        </row>
        <row r="424">
          <cell r="B424">
            <v>20026346</v>
          </cell>
        </row>
        <row r="425">
          <cell r="B425">
            <v>20026364</v>
          </cell>
        </row>
        <row r="426">
          <cell r="B426">
            <v>20026392</v>
          </cell>
        </row>
        <row r="427">
          <cell r="B427">
            <v>20026431</v>
          </cell>
        </row>
        <row r="428">
          <cell r="B428">
            <v>20026432</v>
          </cell>
        </row>
        <row r="429">
          <cell r="B429">
            <v>20026433</v>
          </cell>
        </row>
        <row r="430">
          <cell r="B430">
            <v>20026501</v>
          </cell>
        </row>
        <row r="431">
          <cell r="B431">
            <v>20026503</v>
          </cell>
        </row>
        <row r="432">
          <cell r="B432">
            <v>20026520</v>
          </cell>
        </row>
        <row r="433">
          <cell r="B433">
            <v>20026525</v>
          </cell>
        </row>
        <row r="434">
          <cell r="B434">
            <v>20026587</v>
          </cell>
        </row>
        <row r="435">
          <cell r="B435">
            <v>20026590</v>
          </cell>
        </row>
        <row r="436">
          <cell r="B436">
            <v>20026591</v>
          </cell>
        </row>
        <row r="437">
          <cell r="B437">
            <v>20026663</v>
          </cell>
        </row>
        <row r="438">
          <cell r="B438">
            <v>20026691</v>
          </cell>
        </row>
        <row r="439">
          <cell r="B439">
            <v>20026699</v>
          </cell>
        </row>
        <row r="440">
          <cell r="B440">
            <v>20026700</v>
          </cell>
        </row>
        <row r="441">
          <cell r="B441">
            <v>20026815</v>
          </cell>
        </row>
        <row r="442">
          <cell r="B442">
            <v>20026818</v>
          </cell>
        </row>
        <row r="443">
          <cell r="B443">
            <v>20026847</v>
          </cell>
        </row>
        <row r="444">
          <cell r="B444">
            <v>20026910</v>
          </cell>
        </row>
        <row r="445">
          <cell r="B445">
            <v>20026914</v>
          </cell>
        </row>
        <row r="446">
          <cell r="B446">
            <v>20026977</v>
          </cell>
        </row>
        <row r="447">
          <cell r="B447">
            <v>20026980</v>
          </cell>
        </row>
        <row r="448">
          <cell r="B448">
            <v>20026981</v>
          </cell>
        </row>
        <row r="449">
          <cell r="B449">
            <v>20026982</v>
          </cell>
        </row>
        <row r="450">
          <cell r="B450">
            <v>20027011</v>
          </cell>
        </row>
        <row r="451">
          <cell r="B451">
            <v>20027254</v>
          </cell>
        </row>
        <row r="452">
          <cell r="B452">
            <v>20027267</v>
          </cell>
        </row>
        <row r="453">
          <cell r="B453">
            <v>20027268</v>
          </cell>
        </row>
        <row r="454">
          <cell r="B454">
            <v>20027269</v>
          </cell>
        </row>
        <row r="455">
          <cell r="B455">
            <v>20027270</v>
          </cell>
        </row>
        <row r="456">
          <cell r="B456">
            <v>20027271</v>
          </cell>
        </row>
        <row r="457">
          <cell r="B457">
            <v>20027272</v>
          </cell>
        </row>
        <row r="458">
          <cell r="B458">
            <v>20027355</v>
          </cell>
        </row>
        <row r="459">
          <cell r="B459">
            <v>20027356</v>
          </cell>
        </row>
        <row r="460">
          <cell r="B460">
            <v>20027357</v>
          </cell>
        </row>
        <row r="461">
          <cell r="B461">
            <v>20027378</v>
          </cell>
        </row>
        <row r="462">
          <cell r="B462">
            <v>20027450</v>
          </cell>
        </row>
        <row r="463">
          <cell r="B463">
            <v>20027456</v>
          </cell>
        </row>
        <row r="464">
          <cell r="B464">
            <v>20027476</v>
          </cell>
        </row>
        <row r="465">
          <cell r="B465">
            <v>20027483</v>
          </cell>
        </row>
        <row r="466">
          <cell r="B466">
            <v>20027524</v>
          </cell>
        </row>
        <row r="467">
          <cell r="B467">
            <v>20027532</v>
          </cell>
        </row>
        <row r="468">
          <cell r="B468">
            <v>20027533</v>
          </cell>
        </row>
        <row r="469">
          <cell r="B469">
            <v>20027534</v>
          </cell>
        </row>
        <row r="470">
          <cell r="B470">
            <v>20027535</v>
          </cell>
        </row>
        <row r="471">
          <cell r="B471">
            <v>20027541</v>
          </cell>
        </row>
        <row r="472">
          <cell r="B472">
            <v>20027542</v>
          </cell>
        </row>
        <row r="473">
          <cell r="B473">
            <v>20027543</v>
          </cell>
        </row>
        <row r="474">
          <cell r="B474">
            <v>20027850</v>
          </cell>
        </row>
        <row r="475">
          <cell r="B475">
            <v>20027851</v>
          </cell>
        </row>
        <row r="476">
          <cell r="B476">
            <v>20027852</v>
          </cell>
        </row>
        <row r="477">
          <cell r="B477">
            <v>20027853</v>
          </cell>
        </row>
        <row r="478">
          <cell r="B478">
            <v>20027854</v>
          </cell>
        </row>
        <row r="479">
          <cell r="B479">
            <v>20028146</v>
          </cell>
        </row>
        <row r="480">
          <cell r="B480">
            <v>20028189</v>
          </cell>
        </row>
        <row r="481">
          <cell r="B481">
            <v>20028190</v>
          </cell>
        </row>
        <row r="482">
          <cell r="B482">
            <v>20028193</v>
          </cell>
        </row>
        <row r="483">
          <cell r="B483">
            <v>20028226</v>
          </cell>
        </row>
        <row r="484">
          <cell r="B484">
            <v>20028767</v>
          </cell>
        </row>
        <row r="485">
          <cell r="B485">
            <v>20028768</v>
          </cell>
        </row>
        <row r="486">
          <cell r="B486">
            <v>20040973</v>
          </cell>
        </row>
        <row r="487">
          <cell r="B487">
            <v>20041001</v>
          </cell>
        </row>
        <row r="488">
          <cell r="B488">
            <v>20041002</v>
          </cell>
        </row>
        <row r="489">
          <cell r="B489">
            <v>20041003</v>
          </cell>
        </row>
        <row r="490">
          <cell r="B490">
            <v>20041014</v>
          </cell>
        </row>
        <row r="491">
          <cell r="B491">
            <v>20041015</v>
          </cell>
        </row>
        <row r="492">
          <cell r="B492">
            <v>20046227</v>
          </cell>
        </row>
        <row r="493">
          <cell r="B493">
            <v>20046228</v>
          </cell>
        </row>
        <row r="494">
          <cell r="B494">
            <v>20046229</v>
          </cell>
        </row>
        <row r="495">
          <cell r="B495">
            <v>20046230</v>
          </cell>
        </row>
        <row r="496">
          <cell r="B496">
            <v>20047000</v>
          </cell>
        </row>
        <row r="497">
          <cell r="B497">
            <v>20047991</v>
          </cell>
        </row>
        <row r="498">
          <cell r="B498">
            <v>20048691</v>
          </cell>
        </row>
        <row r="499">
          <cell r="B499">
            <v>30005406</v>
          </cell>
        </row>
        <row r="500">
          <cell r="B500">
            <v>30005783</v>
          </cell>
        </row>
        <row r="501">
          <cell r="B501">
            <v>30006476</v>
          </cell>
        </row>
        <row r="502">
          <cell r="B502">
            <v>30006477</v>
          </cell>
        </row>
        <row r="503">
          <cell r="B503">
            <v>30006494</v>
          </cell>
        </row>
        <row r="504">
          <cell r="B504">
            <v>30006495</v>
          </cell>
        </row>
        <row r="505">
          <cell r="B505">
            <v>30006497</v>
          </cell>
        </row>
        <row r="506">
          <cell r="B506">
            <v>30006538</v>
          </cell>
        </row>
        <row r="507">
          <cell r="B507">
            <v>30006623</v>
          </cell>
        </row>
        <row r="508">
          <cell r="B508">
            <v>30006724</v>
          </cell>
        </row>
        <row r="509">
          <cell r="B509">
            <v>30007327</v>
          </cell>
        </row>
        <row r="510">
          <cell r="B510">
            <v>30007328</v>
          </cell>
        </row>
        <row r="511">
          <cell r="B511">
            <v>30007329</v>
          </cell>
        </row>
        <row r="512">
          <cell r="B512">
            <v>30007330</v>
          </cell>
        </row>
        <row r="513">
          <cell r="B513">
            <v>30007331</v>
          </cell>
        </row>
        <row r="514">
          <cell r="B514">
            <v>30007332</v>
          </cell>
        </row>
        <row r="515">
          <cell r="B515">
            <v>30007362</v>
          </cell>
        </row>
        <row r="516">
          <cell r="B516">
            <v>30007363</v>
          </cell>
        </row>
        <row r="517">
          <cell r="B517">
            <v>30007364</v>
          </cell>
        </row>
        <row r="518">
          <cell r="B518">
            <v>30007365</v>
          </cell>
        </row>
        <row r="519">
          <cell r="B519">
            <v>30007366</v>
          </cell>
        </row>
        <row r="520">
          <cell r="B520">
            <v>30007367</v>
          </cell>
        </row>
        <row r="521">
          <cell r="B521">
            <v>30007368</v>
          </cell>
        </row>
        <row r="522">
          <cell r="B522">
            <v>30007370</v>
          </cell>
        </row>
        <row r="523">
          <cell r="B523">
            <v>30007372</v>
          </cell>
        </row>
        <row r="524">
          <cell r="B524">
            <v>30007374</v>
          </cell>
        </row>
        <row r="525">
          <cell r="B525">
            <v>30007375</v>
          </cell>
        </row>
        <row r="526">
          <cell r="B526">
            <v>30007378</v>
          </cell>
        </row>
        <row r="527">
          <cell r="B527">
            <v>30007379</v>
          </cell>
        </row>
        <row r="528">
          <cell r="B528">
            <v>30007380</v>
          </cell>
        </row>
        <row r="529">
          <cell r="B529">
            <v>30007381</v>
          </cell>
        </row>
        <row r="530">
          <cell r="B530">
            <v>30007382</v>
          </cell>
        </row>
        <row r="531">
          <cell r="B531">
            <v>30007383</v>
          </cell>
        </row>
        <row r="532">
          <cell r="B532">
            <v>30007384</v>
          </cell>
        </row>
        <row r="533">
          <cell r="B533">
            <v>30007385</v>
          </cell>
        </row>
        <row r="534">
          <cell r="B534">
            <v>30007386</v>
          </cell>
        </row>
        <row r="535">
          <cell r="B535">
            <v>30007387</v>
          </cell>
        </row>
        <row r="536">
          <cell r="B536">
            <v>30007388</v>
          </cell>
        </row>
        <row r="537">
          <cell r="B537">
            <v>30007389</v>
          </cell>
        </row>
        <row r="538">
          <cell r="B538">
            <v>30007390</v>
          </cell>
        </row>
        <row r="539">
          <cell r="B539">
            <v>30007391</v>
          </cell>
        </row>
        <row r="540">
          <cell r="B540">
            <v>30007394</v>
          </cell>
        </row>
        <row r="541">
          <cell r="B541">
            <v>30007395</v>
          </cell>
        </row>
        <row r="542">
          <cell r="B542">
            <v>30007398</v>
          </cell>
        </row>
        <row r="543">
          <cell r="B543">
            <v>30007399</v>
          </cell>
        </row>
        <row r="544">
          <cell r="B544">
            <v>30007403</v>
          </cell>
        </row>
        <row r="545">
          <cell r="B545">
            <v>30007404</v>
          </cell>
        </row>
        <row r="546">
          <cell r="B546">
            <v>30007405</v>
          </cell>
        </row>
        <row r="547">
          <cell r="B547">
            <v>30007406</v>
          </cell>
        </row>
        <row r="548">
          <cell r="B548">
            <v>30007407</v>
          </cell>
        </row>
        <row r="549">
          <cell r="B549">
            <v>30007410</v>
          </cell>
        </row>
        <row r="550">
          <cell r="B550">
            <v>30007411</v>
          </cell>
        </row>
        <row r="551">
          <cell r="B551">
            <v>30007412</v>
          </cell>
        </row>
        <row r="552">
          <cell r="B552">
            <v>30007414</v>
          </cell>
        </row>
        <row r="553">
          <cell r="B553">
            <v>30007415</v>
          </cell>
        </row>
        <row r="554">
          <cell r="B554">
            <v>30007416</v>
          </cell>
        </row>
        <row r="555">
          <cell r="B555">
            <v>30007417</v>
          </cell>
        </row>
        <row r="556">
          <cell r="B556">
            <v>30007419</v>
          </cell>
        </row>
        <row r="557">
          <cell r="B557">
            <v>30007420</v>
          </cell>
        </row>
        <row r="558">
          <cell r="B558">
            <v>30007421</v>
          </cell>
        </row>
        <row r="559">
          <cell r="B559">
            <v>30007424</v>
          </cell>
        </row>
        <row r="560">
          <cell r="B560">
            <v>30007425</v>
          </cell>
        </row>
        <row r="561">
          <cell r="B561">
            <v>30007426</v>
          </cell>
        </row>
        <row r="562">
          <cell r="B562">
            <v>30007430</v>
          </cell>
        </row>
        <row r="563">
          <cell r="B563">
            <v>30007431</v>
          </cell>
        </row>
        <row r="564">
          <cell r="B564">
            <v>30007432</v>
          </cell>
        </row>
        <row r="565">
          <cell r="B565">
            <v>30007433</v>
          </cell>
        </row>
        <row r="566">
          <cell r="B566">
            <v>30007434</v>
          </cell>
        </row>
        <row r="567">
          <cell r="B567">
            <v>30007435</v>
          </cell>
        </row>
        <row r="568">
          <cell r="B568">
            <v>30007436</v>
          </cell>
        </row>
        <row r="569">
          <cell r="B569">
            <v>30007437</v>
          </cell>
        </row>
        <row r="570">
          <cell r="B570">
            <v>30007438</v>
          </cell>
        </row>
        <row r="571">
          <cell r="B571">
            <v>30007439</v>
          </cell>
        </row>
        <row r="572">
          <cell r="B572">
            <v>30007440</v>
          </cell>
        </row>
        <row r="573">
          <cell r="B573">
            <v>30007441</v>
          </cell>
        </row>
        <row r="574">
          <cell r="B574">
            <v>30007443</v>
          </cell>
        </row>
        <row r="575">
          <cell r="B575">
            <v>30007444</v>
          </cell>
        </row>
        <row r="576">
          <cell r="B576">
            <v>30007445</v>
          </cell>
        </row>
        <row r="577">
          <cell r="B577">
            <v>30008142</v>
          </cell>
        </row>
        <row r="578">
          <cell r="B578">
            <v>30008329</v>
          </cell>
        </row>
        <row r="579">
          <cell r="B579">
            <v>30008485</v>
          </cell>
        </row>
        <row r="580">
          <cell r="B580">
            <v>30008657</v>
          </cell>
        </row>
        <row r="581">
          <cell r="B581">
            <v>30008658</v>
          </cell>
        </row>
        <row r="582">
          <cell r="B582">
            <v>30008661</v>
          </cell>
        </row>
        <row r="583">
          <cell r="B583">
            <v>30008665</v>
          </cell>
        </row>
        <row r="584">
          <cell r="B584">
            <v>30008666</v>
          </cell>
        </row>
        <row r="585">
          <cell r="B585">
            <v>30008670</v>
          </cell>
        </row>
        <row r="586">
          <cell r="B586">
            <v>30008676</v>
          </cell>
        </row>
        <row r="587">
          <cell r="B587">
            <v>30008682</v>
          </cell>
        </row>
        <row r="588">
          <cell r="B588">
            <v>30008693</v>
          </cell>
        </row>
        <row r="589">
          <cell r="B589">
            <v>30008706</v>
          </cell>
        </row>
        <row r="590">
          <cell r="B590">
            <v>30008707</v>
          </cell>
        </row>
        <row r="591">
          <cell r="B591">
            <v>30008713</v>
          </cell>
        </row>
        <row r="592">
          <cell r="B592">
            <v>30008714</v>
          </cell>
        </row>
        <row r="593">
          <cell r="B593">
            <v>30008718</v>
          </cell>
        </row>
        <row r="594">
          <cell r="B594">
            <v>30008726</v>
          </cell>
        </row>
        <row r="595">
          <cell r="B595">
            <v>30008729</v>
          </cell>
        </row>
        <row r="596">
          <cell r="B596">
            <v>30008730</v>
          </cell>
        </row>
        <row r="597">
          <cell r="B597">
            <v>30008759</v>
          </cell>
        </row>
        <row r="598">
          <cell r="B598">
            <v>30008760</v>
          </cell>
        </row>
        <row r="599">
          <cell r="B599">
            <v>30008761</v>
          </cell>
        </row>
        <row r="600">
          <cell r="B600">
            <v>30008765</v>
          </cell>
        </row>
        <row r="601">
          <cell r="B601">
            <v>30008773</v>
          </cell>
        </row>
        <row r="602">
          <cell r="B602">
            <v>30008774</v>
          </cell>
        </row>
        <row r="603">
          <cell r="B603">
            <v>30008779</v>
          </cell>
        </row>
        <row r="604">
          <cell r="B604">
            <v>30008788</v>
          </cell>
        </row>
        <row r="605">
          <cell r="B605">
            <v>30008789</v>
          </cell>
        </row>
        <row r="606">
          <cell r="B606">
            <v>30008790</v>
          </cell>
        </row>
        <row r="607">
          <cell r="B607">
            <v>30008791</v>
          </cell>
        </row>
        <row r="608">
          <cell r="B608">
            <v>30008792</v>
          </cell>
        </row>
        <row r="609">
          <cell r="B609">
            <v>30008795</v>
          </cell>
        </row>
        <row r="610">
          <cell r="B610">
            <v>30008796</v>
          </cell>
        </row>
        <row r="611">
          <cell r="B611">
            <v>30008798</v>
          </cell>
        </row>
        <row r="612">
          <cell r="B612">
            <v>30008799</v>
          </cell>
        </row>
        <row r="613">
          <cell r="B613">
            <v>30008800</v>
          </cell>
        </row>
        <row r="614">
          <cell r="B614">
            <v>30008801</v>
          </cell>
        </row>
        <row r="615">
          <cell r="B615">
            <v>30008802</v>
          </cell>
        </row>
        <row r="616">
          <cell r="B616">
            <v>30008806</v>
          </cell>
        </row>
        <row r="617">
          <cell r="B617">
            <v>30008808</v>
          </cell>
        </row>
        <row r="618">
          <cell r="B618">
            <v>30008811</v>
          </cell>
        </row>
        <row r="619">
          <cell r="B619">
            <v>30008812</v>
          </cell>
        </row>
        <row r="620">
          <cell r="B620">
            <v>30008813</v>
          </cell>
        </row>
        <row r="621">
          <cell r="B621">
            <v>30008814</v>
          </cell>
        </row>
        <row r="622">
          <cell r="B622">
            <v>30008815</v>
          </cell>
        </row>
        <row r="623">
          <cell r="B623">
            <v>30008816</v>
          </cell>
        </row>
        <row r="624">
          <cell r="B624">
            <v>30008817</v>
          </cell>
        </row>
        <row r="625">
          <cell r="B625">
            <v>30008818</v>
          </cell>
        </row>
        <row r="626">
          <cell r="B626">
            <v>30008847</v>
          </cell>
        </row>
        <row r="627">
          <cell r="B627">
            <v>30008854</v>
          </cell>
        </row>
        <row r="628">
          <cell r="B628">
            <v>30008856</v>
          </cell>
        </row>
        <row r="629">
          <cell r="B629">
            <v>30008857</v>
          </cell>
        </row>
        <row r="630">
          <cell r="B630">
            <v>30008858</v>
          </cell>
        </row>
        <row r="631">
          <cell r="B631">
            <v>30008859</v>
          </cell>
        </row>
        <row r="632">
          <cell r="B632">
            <v>30008931</v>
          </cell>
        </row>
        <row r="633">
          <cell r="B633">
            <v>30008973</v>
          </cell>
        </row>
        <row r="634">
          <cell r="B634">
            <v>30009410</v>
          </cell>
        </row>
        <row r="635">
          <cell r="B635">
            <v>30009554</v>
          </cell>
        </row>
        <row r="636">
          <cell r="B636">
            <v>30010232</v>
          </cell>
        </row>
        <row r="637">
          <cell r="B637">
            <v>30010233</v>
          </cell>
        </row>
        <row r="638">
          <cell r="B638">
            <v>30010878</v>
          </cell>
        </row>
        <row r="639">
          <cell r="B639">
            <v>30010881</v>
          </cell>
        </row>
        <row r="640">
          <cell r="B640">
            <v>30010898</v>
          </cell>
        </row>
        <row r="641">
          <cell r="B641">
            <v>30010902</v>
          </cell>
        </row>
        <row r="642">
          <cell r="B642">
            <v>30010905</v>
          </cell>
        </row>
        <row r="643">
          <cell r="B643">
            <v>30010929</v>
          </cell>
        </row>
        <row r="644">
          <cell r="B644">
            <v>30010931</v>
          </cell>
        </row>
        <row r="645">
          <cell r="B645">
            <v>30010933</v>
          </cell>
        </row>
        <row r="646">
          <cell r="B646">
            <v>30010934</v>
          </cell>
        </row>
        <row r="647">
          <cell r="B647">
            <v>30010935</v>
          </cell>
        </row>
        <row r="648">
          <cell r="B648">
            <v>30010938</v>
          </cell>
        </row>
        <row r="649">
          <cell r="B649">
            <v>30010939</v>
          </cell>
        </row>
        <row r="650">
          <cell r="B650">
            <v>30010940</v>
          </cell>
        </row>
        <row r="651">
          <cell r="B651">
            <v>30010941</v>
          </cell>
        </row>
        <row r="652">
          <cell r="B652">
            <v>30010942</v>
          </cell>
        </row>
        <row r="653">
          <cell r="B653">
            <v>30010949</v>
          </cell>
        </row>
        <row r="654">
          <cell r="B654">
            <v>30010982</v>
          </cell>
        </row>
        <row r="655">
          <cell r="B655">
            <v>30011572</v>
          </cell>
        </row>
        <row r="656">
          <cell r="B656">
            <v>30011756</v>
          </cell>
        </row>
        <row r="657">
          <cell r="B657">
            <v>30012032</v>
          </cell>
        </row>
        <row r="658">
          <cell r="B658">
            <v>30012569</v>
          </cell>
        </row>
        <row r="659">
          <cell r="B659">
            <v>30014008</v>
          </cell>
        </row>
        <row r="660">
          <cell r="B660">
            <v>30014442</v>
          </cell>
        </row>
        <row r="661">
          <cell r="B661">
            <v>30014899</v>
          </cell>
        </row>
        <row r="662">
          <cell r="B662">
            <v>30016730</v>
          </cell>
        </row>
        <row r="663">
          <cell r="B663">
            <v>30017339</v>
          </cell>
        </row>
        <row r="664">
          <cell r="B664">
            <v>30017440</v>
          </cell>
        </row>
        <row r="665">
          <cell r="B665">
            <v>30017564</v>
          </cell>
        </row>
        <row r="666">
          <cell r="B666">
            <v>30017887</v>
          </cell>
        </row>
        <row r="667">
          <cell r="B667">
            <v>30018097</v>
          </cell>
        </row>
        <row r="668">
          <cell r="B668">
            <v>30018529</v>
          </cell>
        </row>
        <row r="669">
          <cell r="B669">
            <v>30020001</v>
          </cell>
        </row>
        <row r="670">
          <cell r="B670">
            <v>30020217</v>
          </cell>
        </row>
        <row r="671">
          <cell r="B671">
            <v>30020483</v>
          </cell>
        </row>
        <row r="672">
          <cell r="B672">
            <v>30021141</v>
          </cell>
        </row>
        <row r="673">
          <cell r="B673">
            <v>30021204</v>
          </cell>
        </row>
        <row r="674">
          <cell r="B674">
            <v>30021502</v>
          </cell>
        </row>
        <row r="675">
          <cell r="B675">
            <v>30021873</v>
          </cell>
        </row>
        <row r="676">
          <cell r="B676">
            <v>30022995</v>
          </cell>
        </row>
        <row r="677">
          <cell r="B677">
            <v>30023347</v>
          </cell>
        </row>
        <row r="678">
          <cell r="B678">
            <v>30023355</v>
          </cell>
        </row>
        <row r="679">
          <cell r="B679">
            <v>30023357</v>
          </cell>
        </row>
        <row r="680">
          <cell r="B680">
            <v>30023359</v>
          </cell>
        </row>
        <row r="681">
          <cell r="B681">
            <v>30023361</v>
          </cell>
        </row>
        <row r="682">
          <cell r="B682">
            <v>30023375</v>
          </cell>
        </row>
        <row r="683">
          <cell r="B683">
            <v>30023376</v>
          </cell>
        </row>
        <row r="684">
          <cell r="B684">
            <v>30023377</v>
          </cell>
        </row>
        <row r="685">
          <cell r="B685">
            <v>30023379</v>
          </cell>
        </row>
        <row r="686">
          <cell r="B686">
            <v>30023407</v>
          </cell>
        </row>
        <row r="687">
          <cell r="B687">
            <v>30023557</v>
          </cell>
        </row>
        <row r="688">
          <cell r="B688">
            <v>30023656</v>
          </cell>
        </row>
        <row r="689">
          <cell r="B689">
            <v>30023784</v>
          </cell>
        </row>
        <row r="690">
          <cell r="B690">
            <v>30023839</v>
          </cell>
        </row>
        <row r="691">
          <cell r="B691">
            <v>30023840</v>
          </cell>
        </row>
        <row r="692">
          <cell r="B692">
            <v>30023907</v>
          </cell>
        </row>
        <row r="693">
          <cell r="B693">
            <v>30024092</v>
          </cell>
        </row>
        <row r="694">
          <cell r="B694">
            <v>30024780</v>
          </cell>
        </row>
        <row r="695">
          <cell r="B695">
            <v>30024782</v>
          </cell>
        </row>
        <row r="696">
          <cell r="B696">
            <v>30024783</v>
          </cell>
        </row>
        <row r="697">
          <cell r="B697">
            <v>30024790</v>
          </cell>
        </row>
        <row r="698">
          <cell r="B698">
            <v>30024792</v>
          </cell>
        </row>
        <row r="699">
          <cell r="B699">
            <v>30024795</v>
          </cell>
        </row>
        <row r="700">
          <cell r="B700">
            <v>30024796</v>
          </cell>
        </row>
        <row r="701">
          <cell r="B701">
            <v>30024867</v>
          </cell>
        </row>
        <row r="702">
          <cell r="B702">
            <v>30024869</v>
          </cell>
        </row>
        <row r="703">
          <cell r="B703">
            <v>30024881</v>
          </cell>
        </row>
        <row r="704">
          <cell r="B704">
            <v>30024886</v>
          </cell>
        </row>
        <row r="705">
          <cell r="B705">
            <v>30024895</v>
          </cell>
        </row>
        <row r="706">
          <cell r="B706">
            <v>30024898</v>
          </cell>
        </row>
        <row r="707">
          <cell r="B707">
            <v>30025328</v>
          </cell>
        </row>
        <row r="708">
          <cell r="B708">
            <v>30026143</v>
          </cell>
        </row>
        <row r="709">
          <cell r="B709">
            <v>30026243</v>
          </cell>
        </row>
        <row r="710">
          <cell r="B710">
            <v>30026244</v>
          </cell>
        </row>
        <row r="711">
          <cell r="B711">
            <v>30026273</v>
          </cell>
        </row>
        <row r="712">
          <cell r="B712">
            <v>30026908</v>
          </cell>
        </row>
        <row r="713">
          <cell r="B713">
            <v>30027269</v>
          </cell>
        </row>
        <row r="714">
          <cell r="B714">
            <v>30027382</v>
          </cell>
        </row>
        <row r="715">
          <cell r="B715">
            <v>30028519</v>
          </cell>
        </row>
        <row r="716">
          <cell r="B716">
            <v>30028581</v>
          </cell>
        </row>
        <row r="717">
          <cell r="B717">
            <v>30029241</v>
          </cell>
        </row>
        <row r="718">
          <cell r="B718">
            <v>30029403</v>
          </cell>
        </row>
        <row r="719">
          <cell r="B719">
            <v>30029870</v>
          </cell>
        </row>
        <row r="720">
          <cell r="B720">
            <v>30029871</v>
          </cell>
        </row>
        <row r="721">
          <cell r="B721">
            <v>30029906</v>
          </cell>
        </row>
        <row r="722">
          <cell r="B722">
            <v>30029941</v>
          </cell>
        </row>
        <row r="723">
          <cell r="B723">
            <v>30030170</v>
          </cell>
        </row>
        <row r="724">
          <cell r="B724">
            <v>30030652</v>
          </cell>
        </row>
        <row r="725">
          <cell r="B725">
            <v>30030663</v>
          </cell>
        </row>
        <row r="726">
          <cell r="B726">
            <v>30030969</v>
          </cell>
        </row>
        <row r="727">
          <cell r="B727">
            <v>30031092</v>
          </cell>
        </row>
        <row r="728">
          <cell r="B728">
            <v>30031228</v>
          </cell>
        </row>
        <row r="729">
          <cell r="B729">
            <v>30031278</v>
          </cell>
        </row>
        <row r="730">
          <cell r="B730">
            <v>30031432</v>
          </cell>
        </row>
        <row r="731">
          <cell r="B731">
            <v>30031445</v>
          </cell>
        </row>
        <row r="732">
          <cell r="B732">
            <v>30032263</v>
          </cell>
        </row>
        <row r="733">
          <cell r="B733">
            <v>30032474</v>
          </cell>
        </row>
        <row r="734">
          <cell r="B734">
            <v>30032475</v>
          </cell>
        </row>
        <row r="735">
          <cell r="B735">
            <v>30032476</v>
          </cell>
        </row>
        <row r="736">
          <cell r="B736">
            <v>30032817</v>
          </cell>
        </row>
        <row r="737">
          <cell r="B737">
            <v>30033307</v>
          </cell>
        </row>
        <row r="738">
          <cell r="B738">
            <v>30033822</v>
          </cell>
        </row>
        <row r="739">
          <cell r="B739">
            <v>30033823</v>
          </cell>
        </row>
        <row r="740">
          <cell r="B740">
            <v>30033824</v>
          </cell>
        </row>
        <row r="741">
          <cell r="B741">
            <v>30033825</v>
          </cell>
        </row>
        <row r="742">
          <cell r="B742">
            <v>30033826</v>
          </cell>
        </row>
        <row r="743">
          <cell r="B743">
            <v>30033827</v>
          </cell>
        </row>
        <row r="744">
          <cell r="B744">
            <v>30033829</v>
          </cell>
        </row>
        <row r="745">
          <cell r="B745">
            <v>30033830</v>
          </cell>
        </row>
        <row r="746">
          <cell r="B746">
            <v>30033831</v>
          </cell>
        </row>
        <row r="747">
          <cell r="B747">
            <v>30033948</v>
          </cell>
        </row>
        <row r="748">
          <cell r="B748">
            <v>30036125</v>
          </cell>
        </row>
        <row r="749">
          <cell r="B749">
            <v>30036258</v>
          </cell>
        </row>
        <row r="750">
          <cell r="B750">
            <v>30036425</v>
          </cell>
        </row>
        <row r="751">
          <cell r="B751">
            <v>30036576</v>
          </cell>
        </row>
        <row r="752">
          <cell r="B752">
            <v>30036584</v>
          </cell>
        </row>
        <row r="753">
          <cell r="B753">
            <v>30037793</v>
          </cell>
        </row>
        <row r="754">
          <cell r="B754">
            <v>30037797</v>
          </cell>
        </row>
        <row r="755">
          <cell r="B755">
            <v>30037859</v>
          </cell>
        </row>
        <row r="756">
          <cell r="B756">
            <v>30037868</v>
          </cell>
        </row>
        <row r="757">
          <cell r="B757">
            <v>30037869</v>
          </cell>
        </row>
        <row r="758">
          <cell r="B758">
            <v>30037870</v>
          </cell>
        </row>
        <row r="759">
          <cell r="B759">
            <v>30038358</v>
          </cell>
        </row>
        <row r="760">
          <cell r="B760">
            <v>30038374</v>
          </cell>
        </row>
        <row r="761">
          <cell r="B761">
            <v>30038441</v>
          </cell>
        </row>
        <row r="762">
          <cell r="B762">
            <v>30038497</v>
          </cell>
        </row>
        <row r="763">
          <cell r="B763">
            <v>30038525</v>
          </cell>
        </row>
        <row r="764">
          <cell r="B764">
            <v>30038526</v>
          </cell>
        </row>
        <row r="765">
          <cell r="B765">
            <v>30038598</v>
          </cell>
        </row>
        <row r="766">
          <cell r="B766">
            <v>30039031</v>
          </cell>
        </row>
        <row r="767">
          <cell r="B767">
            <v>30039035</v>
          </cell>
        </row>
        <row r="768">
          <cell r="B768">
            <v>30039144</v>
          </cell>
        </row>
        <row r="769">
          <cell r="B769">
            <v>30039431</v>
          </cell>
        </row>
        <row r="770">
          <cell r="B770">
            <v>30039698</v>
          </cell>
        </row>
        <row r="771">
          <cell r="B771">
            <v>30039710</v>
          </cell>
        </row>
        <row r="772">
          <cell r="B772">
            <v>30039711</v>
          </cell>
        </row>
        <row r="773">
          <cell r="B773">
            <v>30039714</v>
          </cell>
        </row>
        <row r="774">
          <cell r="B774">
            <v>30039715</v>
          </cell>
        </row>
        <row r="775">
          <cell r="B775">
            <v>30039716</v>
          </cell>
        </row>
        <row r="776">
          <cell r="B776">
            <v>30039717</v>
          </cell>
        </row>
        <row r="777">
          <cell r="B777">
            <v>30039718</v>
          </cell>
        </row>
        <row r="778">
          <cell r="B778">
            <v>30039719</v>
          </cell>
        </row>
        <row r="779">
          <cell r="B779">
            <v>30039720</v>
          </cell>
        </row>
        <row r="780">
          <cell r="B780">
            <v>30039721</v>
          </cell>
        </row>
        <row r="781">
          <cell r="B781">
            <v>30039722</v>
          </cell>
        </row>
        <row r="782">
          <cell r="B782">
            <v>30039723</v>
          </cell>
        </row>
        <row r="783">
          <cell r="B783">
            <v>30039724</v>
          </cell>
        </row>
        <row r="784">
          <cell r="B784">
            <v>30039725</v>
          </cell>
        </row>
        <row r="785">
          <cell r="B785">
            <v>30039857</v>
          </cell>
        </row>
        <row r="786">
          <cell r="B786">
            <v>30040054</v>
          </cell>
        </row>
        <row r="787">
          <cell r="B787">
            <v>30040061</v>
          </cell>
        </row>
        <row r="788">
          <cell r="B788">
            <v>30040066</v>
          </cell>
        </row>
        <row r="789">
          <cell r="B789">
            <v>30040334</v>
          </cell>
        </row>
        <row r="790">
          <cell r="B790">
            <v>30040335</v>
          </cell>
        </row>
        <row r="791">
          <cell r="B791">
            <v>30040399</v>
          </cell>
        </row>
        <row r="792">
          <cell r="B792">
            <v>30040401</v>
          </cell>
        </row>
        <row r="793">
          <cell r="B793">
            <v>30040531</v>
          </cell>
        </row>
        <row r="794">
          <cell r="B794">
            <v>30040533</v>
          </cell>
        </row>
        <row r="795">
          <cell r="B795">
            <v>30040586</v>
          </cell>
        </row>
        <row r="796">
          <cell r="B796">
            <v>30040587</v>
          </cell>
        </row>
        <row r="797">
          <cell r="B797">
            <v>30040717</v>
          </cell>
        </row>
        <row r="798">
          <cell r="B798">
            <v>30040761</v>
          </cell>
        </row>
        <row r="799">
          <cell r="B799">
            <v>30040762</v>
          </cell>
        </row>
        <row r="800">
          <cell r="B800">
            <v>30040974</v>
          </cell>
        </row>
        <row r="801">
          <cell r="B801">
            <v>30040976</v>
          </cell>
        </row>
        <row r="802">
          <cell r="B802">
            <v>30041021</v>
          </cell>
        </row>
        <row r="803">
          <cell r="B803">
            <v>30041029</v>
          </cell>
        </row>
        <row r="804">
          <cell r="B804">
            <v>30041335</v>
          </cell>
        </row>
        <row r="805">
          <cell r="B805">
            <v>30041344</v>
          </cell>
        </row>
        <row r="806">
          <cell r="B806">
            <v>30041725</v>
          </cell>
        </row>
        <row r="807">
          <cell r="B807">
            <v>30041726</v>
          </cell>
        </row>
        <row r="808">
          <cell r="B808">
            <v>30041727</v>
          </cell>
        </row>
        <row r="809">
          <cell r="B809">
            <v>30041798</v>
          </cell>
        </row>
        <row r="810">
          <cell r="B810">
            <v>30041812</v>
          </cell>
        </row>
        <row r="811">
          <cell r="B811">
            <v>30042073</v>
          </cell>
        </row>
        <row r="812">
          <cell r="B812">
            <v>30042139</v>
          </cell>
        </row>
        <row r="813">
          <cell r="B813">
            <v>30042701</v>
          </cell>
        </row>
        <row r="814">
          <cell r="B814">
            <v>30042934</v>
          </cell>
        </row>
        <row r="815">
          <cell r="B815">
            <v>30042935</v>
          </cell>
        </row>
        <row r="816">
          <cell r="B816">
            <v>30042938</v>
          </cell>
        </row>
        <row r="817">
          <cell r="B817">
            <v>30042939</v>
          </cell>
        </row>
        <row r="818">
          <cell r="B818">
            <v>30042943</v>
          </cell>
        </row>
        <row r="819">
          <cell r="B819">
            <v>30042944</v>
          </cell>
        </row>
        <row r="820">
          <cell r="B820">
            <v>30042945</v>
          </cell>
        </row>
        <row r="821">
          <cell r="B821">
            <v>30042946</v>
          </cell>
        </row>
        <row r="822">
          <cell r="B822">
            <v>30042947</v>
          </cell>
        </row>
        <row r="823">
          <cell r="B823">
            <v>30042949</v>
          </cell>
        </row>
        <row r="824">
          <cell r="B824">
            <v>30042951</v>
          </cell>
        </row>
        <row r="825">
          <cell r="B825">
            <v>30042953</v>
          </cell>
        </row>
        <row r="826">
          <cell r="B826">
            <v>30042955</v>
          </cell>
        </row>
        <row r="827">
          <cell r="B827">
            <v>30042956</v>
          </cell>
        </row>
        <row r="828">
          <cell r="B828">
            <v>30043014</v>
          </cell>
        </row>
        <row r="829">
          <cell r="B829">
            <v>30043017</v>
          </cell>
        </row>
        <row r="830">
          <cell r="B830">
            <v>30043067</v>
          </cell>
        </row>
        <row r="831">
          <cell r="B831">
            <v>30043291</v>
          </cell>
        </row>
        <row r="832">
          <cell r="B832">
            <v>30043292</v>
          </cell>
        </row>
        <row r="833">
          <cell r="B833">
            <v>30043306</v>
          </cell>
        </row>
        <row r="834">
          <cell r="B834">
            <v>30043323</v>
          </cell>
        </row>
        <row r="835">
          <cell r="B835">
            <v>30043361</v>
          </cell>
        </row>
        <row r="836">
          <cell r="B836">
            <v>30043362</v>
          </cell>
        </row>
        <row r="837">
          <cell r="B837">
            <v>30043476</v>
          </cell>
        </row>
        <row r="838">
          <cell r="B838">
            <v>30043478</v>
          </cell>
        </row>
        <row r="839">
          <cell r="B839">
            <v>30043512</v>
          </cell>
        </row>
        <row r="840">
          <cell r="B840">
            <v>30043585</v>
          </cell>
        </row>
        <row r="841">
          <cell r="B841">
            <v>30043588</v>
          </cell>
        </row>
        <row r="842">
          <cell r="B842">
            <v>30043639</v>
          </cell>
        </row>
        <row r="843">
          <cell r="B843">
            <v>30043643</v>
          </cell>
        </row>
        <row r="844">
          <cell r="B844">
            <v>30043647</v>
          </cell>
        </row>
        <row r="845">
          <cell r="B845">
            <v>30043656</v>
          </cell>
        </row>
        <row r="846">
          <cell r="B846">
            <v>30043661</v>
          </cell>
        </row>
        <row r="847">
          <cell r="B847">
            <v>30043663</v>
          </cell>
        </row>
        <row r="848">
          <cell r="B848">
            <v>30043665</v>
          </cell>
        </row>
        <row r="849">
          <cell r="B849">
            <v>30043667</v>
          </cell>
        </row>
        <row r="850">
          <cell r="B850">
            <v>30043762</v>
          </cell>
        </row>
        <row r="851">
          <cell r="B851">
            <v>30043767</v>
          </cell>
        </row>
        <row r="852">
          <cell r="B852">
            <v>30043820</v>
          </cell>
        </row>
        <row r="853">
          <cell r="B853">
            <v>30043856</v>
          </cell>
        </row>
        <row r="854">
          <cell r="B854">
            <v>30043879</v>
          </cell>
        </row>
        <row r="855">
          <cell r="B855">
            <v>30043884</v>
          </cell>
        </row>
        <row r="856">
          <cell r="B856">
            <v>30044002</v>
          </cell>
        </row>
        <row r="857">
          <cell r="B857">
            <v>30045704</v>
          </cell>
        </row>
        <row r="858">
          <cell r="B858">
            <v>30046862</v>
          </cell>
        </row>
        <row r="859">
          <cell r="B859">
            <v>30048788</v>
          </cell>
        </row>
        <row r="860">
          <cell r="B860">
            <v>30050566</v>
          </cell>
        </row>
        <row r="861">
          <cell r="B861">
            <v>30050574</v>
          </cell>
        </row>
        <row r="862">
          <cell r="B862">
            <v>30050575</v>
          </cell>
        </row>
        <row r="863">
          <cell r="B863">
            <v>30050579</v>
          </cell>
        </row>
        <row r="864">
          <cell r="B864">
            <v>30050583</v>
          </cell>
        </row>
        <row r="865">
          <cell r="B865">
            <v>30050731</v>
          </cell>
        </row>
        <row r="866">
          <cell r="B866">
            <v>30050887</v>
          </cell>
        </row>
        <row r="867">
          <cell r="B867">
            <v>30050889</v>
          </cell>
        </row>
        <row r="868">
          <cell r="B868">
            <v>30050978</v>
          </cell>
        </row>
        <row r="869">
          <cell r="B869">
            <v>30050979</v>
          </cell>
        </row>
        <row r="870">
          <cell r="B870">
            <v>30050980</v>
          </cell>
        </row>
        <row r="871">
          <cell r="B871">
            <v>30050981</v>
          </cell>
        </row>
        <row r="872">
          <cell r="B872">
            <v>30051087</v>
          </cell>
        </row>
        <row r="873">
          <cell r="B873">
            <v>30051088</v>
          </cell>
        </row>
        <row r="874">
          <cell r="B874">
            <v>30051089</v>
          </cell>
        </row>
        <row r="875">
          <cell r="B875">
            <v>30051090</v>
          </cell>
        </row>
        <row r="876">
          <cell r="B876">
            <v>30051091</v>
          </cell>
        </row>
        <row r="877">
          <cell r="B877">
            <v>30051092</v>
          </cell>
        </row>
        <row r="878">
          <cell r="B878">
            <v>30051123</v>
          </cell>
        </row>
        <row r="879">
          <cell r="B879">
            <v>30051124</v>
          </cell>
        </row>
        <row r="880">
          <cell r="B880">
            <v>30051126</v>
          </cell>
        </row>
        <row r="881">
          <cell r="B881">
            <v>30051127</v>
          </cell>
        </row>
        <row r="882">
          <cell r="B882">
            <v>30051148</v>
          </cell>
        </row>
        <row r="883">
          <cell r="B883">
            <v>30051149</v>
          </cell>
        </row>
        <row r="884">
          <cell r="B884">
            <v>30051303</v>
          </cell>
        </row>
        <row r="885">
          <cell r="B885">
            <v>30051390</v>
          </cell>
        </row>
        <row r="886">
          <cell r="B886">
            <v>30051434</v>
          </cell>
        </row>
        <row r="887">
          <cell r="B887">
            <v>30051435</v>
          </cell>
        </row>
        <row r="888">
          <cell r="B888">
            <v>30051440</v>
          </cell>
        </row>
        <row r="889">
          <cell r="B889">
            <v>30051455</v>
          </cell>
        </row>
        <row r="890">
          <cell r="B890">
            <v>30051537</v>
          </cell>
        </row>
        <row r="891">
          <cell r="B891">
            <v>30051538</v>
          </cell>
        </row>
        <row r="892">
          <cell r="B892">
            <v>30051540</v>
          </cell>
        </row>
        <row r="893">
          <cell r="B893">
            <v>30051541</v>
          </cell>
        </row>
        <row r="894">
          <cell r="B894">
            <v>30051542</v>
          </cell>
        </row>
        <row r="895">
          <cell r="B895">
            <v>30051603</v>
          </cell>
        </row>
        <row r="896">
          <cell r="B896">
            <v>30051604</v>
          </cell>
        </row>
        <row r="897">
          <cell r="B897">
            <v>30051653</v>
          </cell>
        </row>
        <row r="898">
          <cell r="B898">
            <v>30051659</v>
          </cell>
        </row>
        <row r="899">
          <cell r="B899">
            <v>30051725</v>
          </cell>
        </row>
        <row r="900">
          <cell r="B900">
            <v>30051767</v>
          </cell>
        </row>
        <row r="901">
          <cell r="B901">
            <v>30052253</v>
          </cell>
        </row>
        <row r="902">
          <cell r="B902">
            <v>30052298</v>
          </cell>
        </row>
        <row r="903">
          <cell r="B903">
            <v>30052303</v>
          </cell>
        </row>
        <row r="904">
          <cell r="B904">
            <v>30052311</v>
          </cell>
        </row>
        <row r="905">
          <cell r="B905">
            <v>30052324</v>
          </cell>
        </row>
        <row r="906">
          <cell r="B906">
            <v>30053076</v>
          </cell>
        </row>
        <row r="907">
          <cell r="B907">
            <v>30053079</v>
          </cell>
        </row>
        <row r="908">
          <cell r="B908">
            <v>30053405</v>
          </cell>
        </row>
        <row r="909">
          <cell r="B909">
            <v>30053646</v>
          </cell>
        </row>
        <row r="910">
          <cell r="B910">
            <v>30053650</v>
          </cell>
        </row>
        <row r="911">
          <cell r="B911">
            <v>30053694</v>
          </cell>
        </row>
        <row r="912">
          <cell r="B912">
            <v>30060836</v>
          </cell>
        </row>
        <row r="913">
          <cell r="B913">
            <v>30063224</v>
          </cell>
        </row>
        <row r="914">
          <cell r="B914">
            <v>30063479</v>
          </cell>
        </row>
        <row r="915">
          <cell r="B915">
            <v>30063480</v>
          </cell>
        </row>
        <row r="916">
          <cell r="B916">
            <v>30063865</v>
          </cell>
        </row>
        <row r="917">
          <cell r="B917">
            <v>30063866</v>
          </cell>
        </row>
        <row r="918">
          <cell r="B918">
            <v>30063922</v>
          </cell>
        </row>
        <row r="919">
          <cell r="B919">
            <v>30064039</v>
          </cell>
        </row>
        <row r="920">
          <cell r="B920">
            <v>30064192</v>
          </cell>
        </row>
        <row r="921">
          <cell r="B921">
            <v>30064643</v>
          </cell>
        </row>
        <row r="922">
          <cell r="B922">
            <v>30064984</v>
          </cell>
        </row>
        <row r="923">
          <cell r="B923">
            <v>30065038</v>
          </cell>
        </row>
        <row r="924">
          <cell r="B924">
            <v>30065415</v>
          </cell>
        </row>
        <row r="925">
          <cell r="B925">
            <v>30065416</v>
          </cell>
        </row>
        <row r="926">
          <cell r="B926">
            <v>30066447</v>
          </cell>
        </row>
        <row r="927">
          <cell r="B927">
            <v>30067046</v>
          </cell>
        </row>
        <row r="928">
          <cell r="B928">
            <v>30067094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4A7B591D-8082-49B1-B3A7-2626876F1087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54.667431481481" backgroundQuery="1" createdVersion="7" refreshedVersion="8" minRefreshableVersion="3" recordCount="0" supportSubquery="1" supportAdvancedDrill="1" xr:uid="{00000000-000A-0000-FFFF-FFFF42000000}">
  <cacheSource type="external" connectionId="31"/>
  <cacheFields count="4">
    <cacheField name="[data].[Area].[Area]" caption="Area" numFmtId="0" hierarchy="3" level="1">
      <sharedItems containsBlank="1" count="10">
        <m/>
        <s v="BOM"/>
        <s v="HSEC"/>
        <s v="LAB. QA"/>
        <s v="LOGISTICA"/>
        <s v="MATRICES"/>
        <s v="MTTO. EIC"/>
        <s v="MTTO. MEC."/>
        <s v="MTTO. SERVICIOS"/>
        <s v="PRODUCCION"/>
      </sharedItems>
    </cacheField>
    <cacheField name="[Measures].[Recuento de Material]" caption="Recuento de Material" numFmtId="0" hierarchy="25" level="32767"/>
    <cacheField name="[Measures].[Disponibilidad]" caption="Disponibilidad" numFmtId="0" hierarchy="20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54.66743321759" backgroundQuery="1" createdVersion="7" refreshedVersion="8" minRefreshableVersion="3" recordCount="0" supportSubquery="1" supportAdvancedDrill="1" xr:uid="{2DE9BF8A-7D10-4565-9C91-803B69D88D11}">
  <cacheSource type="external" connectionId="31"/>
  <cacheFields count="7">
    <cacheField name="[Measures].[OC Atrasadas]" caption="OC Atrasadas" numFmtId="0" hierarchy="21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5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Area].[Area]" caption="Area" numFmtId="0" hierarchy="3" level="1">
      <sharedItems containsSemiMixedTypes="0" containsNonDate="0" containsString="0"/>
    </cacheField>
    <cacheField name="[Measures].[Recuento de Observación]" caption="Recuento de Observación" numFmtId="0" hierarchy="27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4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6"/>
      </fieldsUsage>
    </cacheHierarchy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54.667434722222" backgroundQuery="1" createdVersion="7" refreshedVersion="8" minRefreshableVersion="3" recordCount="0" supportSubquery="1" supportAdvancedDrill="1" xr:uid="{00000000-000A-0000-FFFF-FFFF3F000000}">
  <cacheSource type="external" connectionId="31"/>
  <cacheFields count="5">
    <cacheField name="[Measures].[OC Atrasadas]" caption="OC Atrasadas" numFmtId="0" hierarchy="21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5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54.66743645833" backgroundQuery="1" createdVersion="7" refreshedVersion="8" minRefreshableVersion="3" recordCount="0" supportSubquery="1" supportAdvancedDrill="1" xr:uid="{00000000-000A-0000-FFFF-FFFF45000000}">
  <cacheSource type="external" connectionId="31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20" level="32767"/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54.667425462962" backgroundQuery="1" createdVersion="3" refreshedVersion="8" minRefreshableVersion="3" recordCount="0" supportSubquery="1" supportAdvancedDrill="1" xr:uid="{308564D0-DA67-495A-A037-B4AC57DD6DAD}">
  <cacheSource type="external" connectionId="3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8635454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8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colGrandTotals="0" itemPrintTitles="1" createdVersion="7" indent="0" outline="1" outlineData="1" multipleFieldFilters="0" rowHeaderCaption="Area">
  <location ref="E2:G13" firstHeaderRow="0" firstDataRow="1" firstDataCol="1"/>
  <pivotFields count="4">
    <pivotField axis="axisRow" allDrilled="1" subtotalTop="0" showAll="0" sortType="descending" defaultSubtotal="0" defaultAttributeDrillState="1">
      <items count="10">
        <item n="Bodega"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7"/>
    </i>
    <i>
      <x v="6"/>
    </i>
    <i>
      <x v="4"/>
    </i>
    <i>
      <x v="3"/>
    </i>
    <i>
      <x v="9"/>
    </i>
    <i>
      <x v="2"/>
    </i>
    <i>
      <x v="8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9">
    <format dxfId="138">
      <pivotArea field="0" type="button" dataOnly="0" labelOnly="1" outline="0" axis="axisRow" fieldPosition="0"/>
    </format>
    <format dxfId="13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6">
      <pivotArea type="all" dataOnly="0" outline="0" fieldPosition="0"/>
    </format>
    <format dxfId="135">
      <pivotArea outline="0" collapsedLevelsAreSubtotals="1" fieldPosition="0"/>
    </format>
    <format dxfId="134">
      <pivotArea field="0" type="button" dataOnly="0" labelOnly="1" outline="0" axis="axisRow" fieldPosition="0"/>
    </format>
    <format dxfId="133">
      <pivotArea dataOnly="0" labelOnly="1" fieldPosition="0">
        <references count="1">
          <reference field="0" count="0"/>
        </references>
      </pivotArea>
    </format>
    <format dxfId="132">
      <pivotArea dataOnly="0" labelOnly="1" grandRow="1" outline="0" fieldPosition="0"/>
    </format>
    <format dxfId="1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0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2459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17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C6:C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3">
    <format dxfId="151">
      <pivotArea type="all" dataOnly="0" outline="0" fieldPosition="0"/>
    </format>
    <format dxfId="150">
      <pivotArea outline="0" collapsedLevelsAreSubtotals="1" fieldPosition="0"/>
    </format>
    <format dxfId="149">
      <pivotArea field="0" type="button" dataOnly="0" labelOnly="1" outline="0"/>
    </format>
    <format dxfId="148">
      <pivotArea dataOnly="0" labelOnly="1" grandRow="1" outline="0" fieldPosition="0"/>
    </format>
    <format dxfId="14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6">
      <pivotArea type="all" dataOnly="0" outline="0" fieldPosition="0"/>
    </format>
    <format dxfId="145">
      <pivotArea outline="0" collapsedLevelsAreSubtotals="1" fieldPosition="0"/>
    </format>
    <format dxfId="144">
      <pivotArea dataOnly="0" labelOnly="1" outline="0" axis="axisValues" fieldPosition="0"/>
    </format>
    <format dxfId="143">
      <pivotArea type="all" dataOnly="0" outline="0" fieldPosition="0"/>
    </format>
    <format dxfId="142">
      <pivotArea dataOnly="0" labelOnly="1" outline="0" axis="axisValues" fieldPosition="0"/>
    </format>
    <format dxfId="141">
      <pivotArea outline="0" collapsedLevelsAreSubtotals="1" fieldPosition="0"/>
    </format>
    <format dxfId="140">
      <pivotArea outline="0" collapsedLevelsAreSubtotals="1" fieldPosition="0"/>
    </format>
    <format dxfId="139">
      <pivotArea outline="0" collapsedLevelsAreSubtotals="1" fieldPosition="0"/>
    </format>
  </formats>
  <pivotHierarchies count="2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C2D4B-8100-4ED8-B359-E0B3F4EED422}" name="TablaDinámica2" cacheId="11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M3:P8" firstHeaderRow="0" firstDataRow="1" firstDataCol="1" rowPageCount="1" colPageCount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3" name="[data].[Area].&amp;[BOM]" cap="BOM"/>
  </pageFields>
  <dataFields count="3">
    <dataField name="Materiales" fld="2" subtotal="count" baseField="1" baseItem="0" numFmtId="3"/>
    <dataField fld="0" subtotal="count" baseField="0" baseItem="0"/>
    <dataField name="Materiales con Solped Bloqueada" fld="5" subtotal="count" baseField="0" baseItem="0"/>
  </dataFields>
  <formats count="30">
    <format dxfId="181">
      <pivotArea type="all" dataOnly="0" outline="0" fieldPosition="0"/>
    </format>
    <format dxfId="180">
      <pivotArea dataOnly="0" labelOnly="1" outline="0" axis="axisValues" fieldPosition="0"/>
    </format>
    <format dxfId="179">
      <pivotArea outline="0" collapsedLevelsAreSubtotals="1" fieldPosition="0"/>
    </format>
    <format dxfId="178">
      <pivotArea outline="0" collapsedLevelsAreSubtotals="1" fieldPosition="0"/>
    </format>
    <format dxfId="177">
      <pivotArea type="all" dataOnly="0" outline="0" fieldPosition="0"/>
    </format>
    <format dxfId="176">
      <pivotArea outline="0" collapsedLevelsAreSubtotals="1" fieldPosition="0"/>
    </format>
    <format dxfId="175">
      <pivotArea field="1" type="button" dataOnly="0" labelOnly="1" outline="0" axis="axisRow" fieldPosition="0"/>
    </format>
    <format dxfId="174">
      <pivotArea dataOnly="0" labelOnly="1" fieldPosition="0">
        <references count="1">
          <reference field="1" count="0"/>
        </references>
      </pivotArea>
    </format>
    <format dxfId="173">
      <pivotArea dataOnly="0" labelOnly="1" grandRow="1" outline="0" fieldPosition="0"/>
    </format>
    <format dxfId="17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7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69">
      <pivotArea outline="0" fieldPosition="0">
        <references count="1">
          <reference field="4294967294" count="1">
            <x v="0"/>
          </reference>
        </references>
      </pivotArea>
    </format>
    <format dxfId="168">
      <pivotArea dataOnly="0" labelOnly="1" fieldPosition="0">
        <references count="1">
          <reference field="1" count="1">
            <x v="0"/>
          </reference>
        </references>
      </pivotArea>
    </format>
    <format dxfId="167">
      <pivotArea dataOnly="0" labelOnly="1" fieldPosition="0">
        <references count="1">
          <reference field="1" count="1">
            <x v="1"/>
          </reference>
        </references>
      </pivotArea>
    </format>
    <format dxfId="166">
      <pivotArea dataOnly="0" labelOnly="1" fieldPosition="0">
        <references count="1">
          <reference field="1" count="1">
            <x v="3"/>
          </reference>
        </references>
      </pivotArea>
    </format>
    <format dxfId="165">
      <pivotArea dataOnly="0" labelOnly="1" fieldPosition="0">
        <references count="1">
          <reference field="1" count="1">
            <x v="2"/>
          </reference>
        </references>
      </pivotArea>
    </format>
    <format dxfId="164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163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162">
      <pivotArea field="1" type="button" dataOnly="0" labelOnly="1" outline="0" axis="axisRow" fieldPosition="0"/>
    </format>
    <format dxfId="16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0">
      <pivotArea outline="0" collapsedLevelsAreSubtotals="1" fieldPosition="0"/>
    </format>
    <format dxfId="15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57">
      <pivotArea type="all" dataOnly="0" outline="0" fieldPosition="0"/>
    </format>
    <format dxfId="156">
      <pivotArea outline="0" collapsedLevelsAreSubtotals="1" fieldPosition="0"/>
    </format>
    <format dxfId="155">
      <pivotArea field="1" type="button" dataOnly="0" labelOnly="1" outline="0" axis="axisRow" fieldPosition="0"/>
    </format>
    <format dxfId="154">
      <pivotArea dataOnly="0" labelOnly="1" fieldPosition="0">
        <references count="1">
          <reference field="1" count="0"/>
        </references>
      </pivotArea>
    </format>
    <format dxfId="153">
      <pivotArea dataOnly="0" labelOnly="1" grandRow="1" outline="0" fieldPosition="0"/>
    </format>
    <format dxfId="1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99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8">
    <pivotHierarchy dragToData="1"/>
    <pivotHierarchy dragToData="1"/>
    <pivotHierarchy dragToData="1"/>
    <pivotHierarchy multipleItemSelectionAllowed="1" dragToData="1">
      <members count="1" level="1">
        <member name="[data].[Area].&amp;[BOM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Materiales con Solped Bloqueada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14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I2:K7" firstHeaderRow="0" firstDataRow="1" firstDataCol="1"/>
  <pivotFields count="5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2" subtotal="count" baseField="1" baseItem="0" numFmtId="3"/>
    <dataField fld="0" subtotal="count" baseField="0" baseItem="0"/>
  </dataFields>
  <formats count="30">
    <format dxfId="211">
      <pivotArea type="all" dataOnly="0" outline="0" fieldPosition="0"/>
    </format>
    <format dxfId="210">
      <pivotArea dataOnly="0" labelOnly="1" outline="0" axis="axisValues" fieldPosition="0"/>
    </format>
    <format dxfId="209">
      <pivotArea outline="0" collapsedLevelsAreSubtotals="1" fieldPosition="0"/>
    </format>
    <format dxfId="208">
      <pivotArea outline="0" collapsedLevelsAreSubtotals="1" fieldPosition="0"/>
    </format>
    <format dxfId="207">
      <pivotArea type="all" dataOnly="0" outline="0" fieldPosition="0"/>
    </format>
    <format dxfId="206">
      <pivotArea outline="0" collapsedLevelsAreSubtotals="1" fieldPosition="0"/>
    </format>
    <format dxfId="205">
      <pivotArea field="1" type="button" dataOnly="0" labelOnly="1" outline="0" axis="axisRow" fieldPosition="0"/>
    </format>
    <format dxfId="204">
      <pivotArea dataOnly="0" labelOnly="1" fieldPosition="0">
        <references count="1">
          <reference field="1" count="0"/>
        </references>
      </pivotArea>
    </format>
    <format dxfId="203">
      <pivotArea dataOnly="0" labelOnly="1" grandRow="1" outline="0" fieldPosition="0"/>
    </format>
    <format dxfId="20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9">
      <pivotArea outline="0" fieldPosition="0">
        <references count="1">
          <reference field="4294967294" count="1">
            <x v="0"/>
          </reference>
        </references>
      </pivotArea>
    </format>
    <format dxfId="198">
      <pivotArea dataOnly="0" labelOnly="1" fieldPosition="0">
        <references count="1">
          <reference field="1" count="1">
            <x v="0"/>
          </reference>
        </references>
      </pivotArea>
    </format>
    <format dxfId="197">
      <pivotArea dataOnly="0" labelOnly="1" fieldPosition="0">
        <references count="1">
          <reference field="1" count="1">
            <x v="1"/>
          </reference>
        </references>
      </pivotArea>
    </format>
    <format dxfId="196">
      <pivotArea dataOnly="0" labelOnly="1" fieldPosition="0">
        <references count="1">
          <reference field="1" count="1">
            <x v="3"/>
          </reference>
        </references>
      </pivotArea>
    </format>
    <format dxfId="195">
      <pivotArea dataOnly="0" labelOnly="1" fieldPosition="0">
        <references count="1">
          <reference field="1" count="1">
            <x v="2"/>
          </reference>
        </references>
      </pivotArea>
    </format>
    <format dxfId="194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193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192">
      <pivotArea field="1" type="button" dataOnly="0" labelOnly="1" outline="0" axis="axisRow" fieldPosition="0"/>
    </format>
    <format dxfId="19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0">
      <pivotArea outline="0" collapsedLevelsAreSubtotals="1" fieldPosition="0"/>
    </format>
    <format dxfId="18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7">
      <pivotArea type="all" dataOnly="0" outline="0" fieldPosition="0"/>
    </format>
    <format dxfId="186">
      <pivotArea outline="0" collapsedLevelsAreSubtotals="1" fieldPosition="0"/>
    </format>
    <format dxfId="185">
      <pivotArea field="1" type="button" dataOnly="0" labelOnly="1" outline="0" axis="axisRow" fieldPosition="0"/>
    </format>
    <format dxfId="184">
      <pivotArea dataOnly="0" labelOnly="1" fieldPosition="0">
        <references count="1">
          <reference field="1" count="0"/>
        </references>
      </pivotArea>
    </format>
    <format dxfId="183">
      <pivotArea dataOnly="0" labelOnly="1" grandRow="1" outline="0" fieldPosition="0"/>
    </format>
    <format dxfId="18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243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3" xr16:uid="{00000000-0016-0000-0000-000000000000}" autoFormatId="16" applyNumberFormats="0" applyBorderFormats="0" applyFontFormats="0" applyPatternFormats="0" applyAlignmentFormats="0" applyWidthHeightFormats="0">
  <queryTableRefresh nextId="103">
    <queryTableFields count="20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100" name="Punto de Reorden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88" name="Solped" tableColumnId="20"/>
      <queryTableField id="66" name="Cantidad Solped" tableColumnId="13"/>
      <queryTableField id="67" name="OC en Transito" tableColumnId="16"/>
      <queryTableField id="44" name="Cantidad en Transito" tableColumnId="17"/>
      <queryTableField id="11" name="Proveedor" tableColumnId="11"/>
      <queryTableField id="30" name="Fecha de entrega" tableColumnId="15"/>
      <queryTableField id="71" name="Usuario" tableColumnId="19"/>
      <queryTableField id="47" name="Observación" tableColumnId="9"/>
      <queryTableField id="98" name="Grupo de compras" tableColumnId="10"/>
      <queryTableField id="101" name="comentario de compra y seguimiento" tableColumnId="12"/>
    </queryTableFields>
    <queryTableDeletedFields count="17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  <deletedField name="Solped"/>
      <deletedField name="Solped"/>
      <deletedField name="Solped"/>
      <deletedField name="Solped"/>
      <deletedField name="Solped"/>
      <deletedField name="Solped"/>
      <deletedField name="Grupo de compras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DF635C5D-2447-43F0-B2BB-8F39C1DDE062}" autoFormatId="16" applyNumberFormats="0" applyBorderFormats="0" applyFontFormats="0" applyPatternFormats="0" applyAlignmentFormats="0" applyWidthHeightFormats="0">
  <queryTableRefresh nextId="7">
    <queryTableFields count="6">
      <queryTableField id="1" name="Documento SOLPED" tableColumnId="1"/>
      <queryTableField id="2" name="Documento OC" tableColumnId="2"/>
      <queryTableField id="3" name="Posición" tableColumnId="3"/>
      <queryTableField id="4" name="Texto breve" tableColumnId="4"/>
      <queryTableField id="5" name="Observación" tableColumnId="5"/>
      <queryTableField id="6" name="Documento_Texto" tableColumnId="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00000000-0013-0000-FFFF-FFFF01000000}" sourceName="[data].[Criticidad]">
  <pivotTables>
    <pivotTable tabId="2" name="TablaDinámica6"/>
    <pivotTable tabId="2" name="TablaDinámica5"/>
    <pivotTable tabId="2" name="TablaDinámica2"/>
  </pivotTables>
  <data>
    <olap pivotCacheId="8635454">
      <levels count="2">
        <level uniqueName="[data].[Criticidad].[(All)]" sourceCaption="(All)" count="0"/>
        <level uniqueName="[data].[Criticidad].[Criticidad]" sourceCaption="Criticidad" count="3">
          <ranges>
            <range startItem="0">
              <i n="[data].[Criticidad].&amp;[]" c=""/>
              <i n="[data].[Criticidad].&amp;[A]" c="A"/>
              <i n="[data].[Criticidad].&amp;[C]" c="C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00000000-0014-0000-FFFF-FFFF01000000}" cache="SegmentaciónDeDatos_Criticidad" caption="Criticidad" columnCount="4" level="1" style="SlicerStyleLight6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B16:U1331" tableType="queryTable" totalsRowShown="0" headerRowDxfId="129" dataDxfId="128">
  <autoFilter ref="B16:U1331" xr:uid="{00000000-000C-0000-FFFF-FFFF00000000}"/>
  <tableColumns count="20">
    <tableColumn id="1" xr3:uid="{00000000-0010-0000-0000-000001000000}" uniqueName="1" name="Material" queryTableFieldId="1" dataDxfId="127"/>
    <tableColumn id="2" xr3:uid="{00000000-0010-0000-0000-000002000000}" uniqueName="2" name="Texto breve de material" queryTableFieldId="2" dataDxfId="126"/>
    <tableColumn id="3" xr3:uid="{00000000-0010-0000-0000-000003000000}" uniqueName="3" name="Centro" queryTableFieldId="16" dataDxfId="125"/>
    <tableColumn id="14" xr3:uid="{00000000-0010-0000-0000-00000E000000}" uniqueName="14" name="Area" queryTableFieldId="60" dataDxfId="124"/>
    <tableColumn id="18" xr3:uid="{00000000-0010-0000-0000-000012000000}" uniqueName="18" name="Criticidad" queryTableFieldId="61" dataDxfId="123"/>
    <tableColumn id="4" xr3:uid="{18740ED5-A567-413C-B98C-3573E2904CF1}" uniqueName="4" name="Punto de Reorden" queryTableFieldId="100"/>
    <tableColumn id="5" xr3:uid="{00000000-0010-0000-0000-000005000000}" uniqueName="5" name="Cantidad de Compra" queryTableFieldId="5" dataDxfId="122"/>
    <tableColumn id="6" xr3:uid="{00000000-0010-0000-0000-000006000000}" uniqueName="6" name="Stock" queryTableFieldId="6" dataDxfId="121"/>
    <tableColumn id="7" xr3:uid="{00000000-0010-0000-0000-000007000000}" uniqueName="7" name="UMB" queryTableFieldId="7" dataDxfId="120"/>
    <tableColumn id="8" xr3:uid="{00000000-0010-0000-0000-000008000000}" uniqueName="8" name="Condicion Stock" queryTableFieldId="8" dataDxfId="119"/>
    <tableColumn id="20" xr3:uid="{40652814-20EE-428C-90F1-1945E00F9E29}" uniqueName="20" name="Solped" queryTableFieldId="88" dataDxfId="0"/>
    <tableColumn id="13" xr3:uid="{00000000-0010-0000-0000-00000D000000}" uniqueName="13" name="Cantidad Solped" queryTableFieldId="66" dataDxfId="118"/>
    <tableColumn id="16" xr3:uid="{00000000-0010-0000-0000-000010000000}" uniqueName="16" name="OC en Transito" queryTableFieldId="67"/>
    <tableColumn id="17" xr3:uid="{00000000-0010-0000-0000-000011000000}" uniqueName="17" name="Cantidad en Transito" queryTableFieldId="44" dataDxfId="117"/>
    <tableColumn id="11" xr3:uid="{00000000-0010-0000-0000-00000B000000}" uniqueName="11" name="Proveedor" queryTableFieldId="11" dataDxfId="116"/>
    <tableColumn id="15" xr3:uid="{00000000-0010-0000-0000-00000F000000}" uniqueName="15" name="Fecha de entrega" queryTableFieldId="30" dataDxfId="115"/>
    <tableColumn id="19" xr3:uid="{00000000-0010-0000-0000-000013000000}" uniqueName="19" name="Usuario" queryTableFieldId="71" dataDxfId="114"/>
    <tableColumn id="9" xr3:uid="{00000000-0010-0000-0000-000009000000}" uniqueName="9" name="Observación" queryTableFieldId="47" dataDxfId="113"/>
    <tableColumn id="10" xr3:uid="{CD689A92-4C22-4D22-96D9-91C595A5E1FB}" uniqueName="10" name="Grupo de compras" queryTableFieldId="98" dataDxfId="112"/>
    <tableColumn id="12" xr3:uid="{4C3EBF99-61DD-4235-BF5C-FC54863C913E}" uniqueName="12" name="comentario de compra y seguimiento" queryTableFieldId="101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542093-05E3-42E5-BB03-B34B882CA751}" name="Combinacion1" displayName="Combinacion1" ref="A1:F2948" tableType="queryTable" totalsRowShown="0">
  <autoFilter ref="A1:F2948" xr:uid="{F9542093-05E3-42E5-BB03-B34B882CA751}"/>
  <tableColumns count="6">
    <tableColumn id="1" xr3:uid="{20DBEF99-AD65-41B3-98B8-A0E41A1B08C3}" uniqueName="1" name="Documento SOLPED" queryTableFieldId="1"/>
    <tableColumn id="2" xr3:uid="{F7692E35-1E20-4A32-A21D-BBF0D168AEC1}" uniqueName="2" name="Documento OC" queryTableFieldId="2"/>
    <tableColumn id="3" xr3:uid="{0D7C5936-8D09-4267-8407-FDEF3A012C79}" uniqueName="3" name="Posición" queryTableFieldId="3"/>
    <tableColumn id="4" xr3:uid="{D68B52EC-B9D5-4301-BCF9-AA9A8498BAC2}" uniqueName="4" name="Texto breve" queryTableFieldId="4" dataDxfId="111"/>
    <tableColumn id="5" xr3:uid="{F015BB0D-8D27-4156-88B5-1A468914D2AC}" uniqueName="5" name="Observación" queryTableFieldId="5"/>
    <tableColumn id="6" xr3:uid="{2F6481C0-B46D-4A70-B6B3-87ADB6941E1D}" uniqueName="6" name="Documento_Texto" queryTableFieldId="6" dataDxfId="1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182" dT="2026-03-17T18:05:28.63" personId="{4A7B591D-8082-49B1-B3A7-2626876F1087}" id="{A28709B2-F87E-41F0-B5EE-E6676C6127AA}">
    <text xml:space="preserve">PANA 4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19"/>
  <sheetViews>
    <sheetView showGridLines="0" tabSelected="1" topLeftCell="A6" zoomScale="70" zoomScaleNormal="70" workbookViewId="0">
      <pane xSplit="1" topLeftCell="B1" activePane="topRight" state="frozen"/>
      <selection activeCell="A16" sqref="A16"/>
      <selection pane="topRight" activeCell="L16" sqref="L16"/>
    </sheetView>
  </sheetViews>
  <sheetFormatPr baseColWidth="10" defaultColWidth="11.54296875" defaultRowHeight="14.5" x14ac:dyDescent="0.35"/>
  <cols>
    <col min="1" max="1" width="1.7265625" style="1" customWidth="1"/>
    <col min="2" max="2" width="12.1796875" style="1" customWidth="1"/>
    <col min="3" max="3" width="49.81640625" style="1" customWidth="1"/>
    <col min="4" max="4" width="16" style="1" bestFit="1" customWidth="1"/>
    <col min="5" max="5" width="21.26953125" style="1" customWidth="1"/>
    <col min="6" max="6" width="13.26953125" style="4" bestFit="1" customWidth="1"/>
    <col min="7" max="7" width="16.453125" style="1" bestFit="1" customWidth="1"/>
    <col min="8" max="8" width="19.81640625" style="1" customWidth="1"/>
    <col min="9" max="9" width="14.26953125" style="4" customWidth="1"/>
    <col min="10" max="10" width="9.7265625" style="4" customWidth="1"/>
    <col min="11" max="11" width="15.54296875" style="4" customWidth="1"/>
    <col min="12" max="12" width="15.26953125" style="21" customWidth="1"/>
    <col min="13" max="13" width="15.7265625" style="7" customWidth="1"/>
    <col min="14" max="14" width="15" style="10" customWidth="1"/>
    <col min="15" max="15" width="17.453125" style="21" customWidth="1"/>
    <col min="16" max="16" width="23.81640625" style="21" customWidth="1"/>
    <col min="17" max="17" width="19.81640625" style="21" customWidth="1"/>
    <col min="18" max="18" width="79.81640625" style="21" customWidth="1"/>
    <col min="19" max="23" width="83.81640625" style="21" customWidth="1"/>
    <col min="24" max="16384" width="11.54296875" style="1"/>
  </cols>
  <sheetData>
    <row r="1" spans="1:23" s="2" customFormat="1" x14ac:dyDescent="0.35">
      <c r="A1"/>
      <c r="B1"/>
      <c r="C1"/>
      <c r="D1"/>
      <c r="E1"/>
      <c r="F1"/>
      <c r="G1"/>
      <c r="H1"/>
      <c r="I1"/>
      <c r="J1"/>
      <c r="K1"/>
      <c r="L1" s="56"/>
      <c r="M1" s="82" t="s">
        <v>64</v>
      </c>
      <c r="N1" s="80" t="s" vm="1">
        <v>1225</v>
      </c>
      <c r="O1" s="9"/>
      <c r="P1" s="18"/>
      <c r="Q1" s="18"/>
      <c r="R1" s="40"/>
      <c r="S1" s="18"/>
      <c r="T1" s="18"/>
      <c r="U1" s="18"/>
      <c r="V1" s="18"/>
      <c r="W1" s="18"/>
    </row>
    <row r="2" spans="1:23" s="2" customFormat="1" x14ac:dyDescent="0.35">
      <c r="A2"/>
      <c r="B2"/>
      <c r="C2"/>
      <c r="E2" s="12" t="s">
        <v>64</v>
      </c>
      <c r="F2" s="4" t="s">
        <v>76</v>
      </c>
      <c r="G2" s="4" t="s">
        <v>75</v>
      </c>
      <c r="H2" s="4"/>
      <c r="I2" s="83" t="s">
        <v>6</v>
      </c>
      <c r="J2" s="78" t="s">
        <v>76</v>
      </c>
      <c r="K2" s="81" t="s">
        <v>77</v>
      </c>
      <c r="L2" s="56"/>
      <c r="M2" s="2" t="s">
        <v>1226</v>
      </c>
    </row>
    <row r="3" spans="1:23" s="2" customFormat="1" x14ac:dyDescent="0.35">
      <c r="A3"/>
      <c r="B3"/>
      <c r="C3"/>
      <c r="E3" s="25" t="s">
        <v>78</v>
      </c>
      <c r="F3" s="26">
        <v>1007</v>
      </c>
      <c r="G3" s="27">
        <v>0.97318768619662366</v>
      </c>
      <c r="H3" s="1"/>
      <c r="I3" s="78" t="s">
        <v>14</v>
      </c>
      <c r="J3" s="79">
        <v>340</v>
      </c>
      <c r="K3" s="84">
        <v>3</v>
      </c>
      <c r="L3" s="56"/>
      <c r="M3" s="83" t="s">
        <v>6</v>
      </c>
      <c r="N3" s="78" t="s">
        <v>76</v>
      </c>
      <c r="O3" s="81" t="s">
        <v>77</v>
      </c>
      <c r="P3" s="80" t="s">
        <v>1227</v>
      </c>
    </row>
    <row r="4" spans="1:23" s="2" customFormat="1" x14ac:dyDescent="0.35">
      <c r="A4"/>
      <c r="B4"/>
      <c r="C4"/>
      <c r="E4" s="25" t="s">
        <v>1225</v>
      </c>
      <c r="F4" s="26">
        <v>114</v>
      </c>
      <c r="G4" s="27">
        <v>0.8771929824561403</v>
      </c>
      <c r="H4" s="1"/>
      <c r="I4" s="78" t="s">
        <v>7</v>
      </c>
      <c r="J4" s="85">
        <v>818</v>
      </c>
      <c r="K4" s="84">
        <v>8</v>
      </c>
      <c r="L4" s="56"/>
      <c r="M4" s="78" t="s">
        <v>14</v>
      </c>
      <c r="N4" s="79">
        <v>9</v>
      </c>
      <c r="O4" s="84"/>
      <c r="P4" s="79">
        <v>1</v>
      </c>
      <c r="Q4"/>
      <c r="R4"/>
      <c r="S4"/>
      <c r="T4"/>
      <c r="U4"/>
      <c r="V4"/>
      <c r="W4"/>
    </row>
    <row r="5" spans="1:23" s="2" customFormat="1" x14ac:dyDescent="0.35">
      <c r="A5"/>
      <c r="B5"/>
      <c r="C5"/>
      <c r="E5" s="25" t="s">
        <v>87</v>
      </c>
      <c r="F5" s="26">
        <v>96</v>
      </c>
      <c r="G5" s="27">
        <v>0.94791666666666663</v>
      </c>
      <c r="H5" s="1"/>
      <c r="I5" s="78" t="s">
        <v>9</v>
      </c>
      <c r="J5" s="70">
        <v>110</v>
      </c>
      <c r="K5" s="84">
        <v>21</v>
      </c>
      <c r="L5" s="56"/>
      <c r="M5" s="78" t="s">
        <v>7</v>
      </c>
      <c r="N5" s="85">
        <v>74</v>
      </c>
      <c r="O5" s="84">
        <v>1</v>
      </c>
      <c r="P5" s="79">
        <v>7</v>
      </c>
      <c r="Q5"/>
      <c r="R5"/>
      <c r="S5"/>
      <c r="T5"/>
      <c r="U5"/>
      <c r="V5"/>
      <c r="W5"/>
    </row>
    <row r="6" spans="1:23" s="2" customFormat="1" ht="18.5" x14ac:dyDescent="0.35">
      <c r="A6"/>
      <c r="B6"/>
      <c r="C6" s="28" t="s">
        <v>75</v>
      </c>
      <c r="E6" s="25" t="s">
        <v>118</v>
      </c>
      <c r="F6" s="26">
        <v>34</v>
      </c>
      <c r="G6" s="27">
        <v>0.97058823529411764</v>
      </c>
      <c r="H6" s="1"/>
      <c r="I6" s="78" t="s">
        <v>13</v>
      </c>
      <c r="J6" s="85">
        <v>47</v>
      </c>
      <c r="K6" s="84">
        <v>12</v>
      </c>
      <c r="L6" s="56"/>
      <c r="M6" s="78" t="s">
        <v>9</v>
      </c>
      <c r="N6" s="70">
        <v>17</v>
      </c>
      <c r="O6" s="84">
        <v>4</v>
      </c>
      <c r="P6" s="79">
        <v>11</v>
      </c>
      <c r="Q6"/>
      <c r="R6"/>
      <c r="S6"/>
      <c r="T6"/>
      <c r="U6"/>
      <c r="V6"/>
      <c r="W6"/>
    </row>
    <row r="7" spans="1:23" s="2" customFormat="1" ht="21" x14ac:dyDescent="0.35">
      <c r="A7"/>
      <c r="B7"/>
      <c r="C7" s="58">
        <v>0.9642585551330799</v>
      </c>
      <c r="E7" s="25" t="s">
        <v>91</v>
      </c>
      <c r="F7" s="26">
        <v>21</v>
      </c>
      <c r="G7" s="27">
        <v>1</v>
      </c>
      <c r="H7" s="1"/>
      <c r="I7" s="86" t="s">
        <v>74</v>
      </c>
      <c r="J7" s="85">
        <v>1315</v>
      </c>
      <c r="K7" s="84">
        <v>44</v>
      </c>
      <c r="L7" s="56"/>
      <c r="M7" s="78" t="s">
        <v>13</v>
      </c>
      <c r="N7" s="85">
        <v>14</v>
      </c>
      <c r="O7" s="84">
        <v>1</v>
      </c>
      <c r="P7" s="79">
        <v>13</v>
      </c>
      <c r="Q7"/>
      <c r="R7"/>
      <c r="S7"/>
      <c r="T7"/>
      <c r="U7"/>
      <c r="V7"/>
      <c r="W7"/>
    </row>
    <row r="8" spans="1:23" s="2" customFormat="1" ht="18.5" x14ac:dyDescent="0.35">
      <c r="A8"/>
      <c r="B8"/>
      <c r="C8" s="63" t="s">
        <v>1581</v>
      </c>
      <c r="E8" s="25" t="s">
        <v>97</v>
      </c>
      <c r="F8" s="26">
        <v>14</v>
      </c>
      <c r="G8" s="27">
        <v>1</v>
      </c>
      <c r="H8" s="1"/>
      <c r="I8"/>
      <c r="J8"/>
      <c r="K8"/>
      <c r="L8" s="56"/>
      <c r="M8" s="86" t="s">
        <v>74</v>
      </c>
      <c r="N8" s="85">
        <v>114</v>
      </c>
      <c r="O8" s="84">
        <v>6</v>
      </c>
      <c r="P8" s="79">
        <v>32</v>
      </c>
      <c r="Q8" s="19"/>
      <c r="R8" s="19"/>
      <c r="S8" s="19"/>
      <c r="T8" s="19"/>
      <c r="U8" s="19"/>
      <c r="V8" s="19"/>
      <c r="W8" s="19"/>
    </row>
    <row r="9" spans="1:23" s="2" customFormat="1" ht="21" x14ac:dyDescent="0.35">
      <c r="A9"/>
      <c r="B9"/>
      <c r="C9" s="58">
        <f>(COUNTIFS(K$17:K$1048576,"Stock OK")+COUNTIFS(K$17:K$1048576,"Sobre Stock")) / COUNTA(K$17:K$1048576)</f>
        <v>0.88060836501901141</v>
      </c>
      <c r="E9" s="25" t="s">
        <v>129</v>
      </c>
      <c r="F9" s="26">
        <v>10</v>
      </c>
      <c r="G9" s="27">
        <v>1</v>
      </c>
      <c r="H9" s="1"/>
      <c r="I9" s="1"/>
      <c r="J9" s="1"/>
      <c r="K9" s="1"/>
      <c r="L9" s="56"/>
      <c r="O9" s="6"/>
      <c r="P9" s="55">
        <f>P8/N8</f>
        <v>0.2807017543859649</v>
      </c>
      <c r="Q9" s="19"/>
      <c r="R9" s="19"/>
      <c r="S9" s="19"/>
      <c r="T9" s="19"/>
      <c r="U9" s="19"/>
      <c r="V9" s="19"/>
      <c r="W9" s="19"/>
    </row>
    <row r="10" spans="1:23" ht="18.5" x14ac:dyDescent="0.35">
      <c r="A10"/>
      <c r="B10"/>
      <c r="C10" s="63" t="s">
        <v>1580</v>
      </c>
      <c r="E10" s="25" t="s">
        <v>115</v>
      </c>
      <c r="F10" s="26">
        <v>10</v>
      </c>
      <c r="G10" s="27">
        <v>1</v>
      </c>
      <c r="I10" s="1"/>
      <c r="J10" s="1"/>
      <c r="K10" s="1"/>
      <c r="N10" s="6"/>
      <c r="O10" s="19"/>
      <c r="P10" s="19"/>
      <c r="Q10" s="19"/>
      <c r="R10" s="19"/>
      <c r="S10" s="19"/>
      <c r="T10" s="19"/>
      <c r="U10" s="19"/>
      <c r="V10" s="19"/>
      <c r="W10" s="19"/>
    </row>
    <row r="11" spans="1:23" ht="17.25" customHeight="1" x14ac:dyDescent="0.35">
      <c r="A11"/>
      <c r="B11"/>
      <c r="C11" s="58">
        <f>(COUNTIFS(F:F,"A",K:K,"Stock OK")+COUNTIFS(F:F,"A",K:K,"Sobre Stock"))/
COUNTIFS(F:F,"A",K:K,"&lt;&gt;")</f>
        <v>0.82677165354330706</v>
      </c>
      <c r="E11" s="25" t="s">
        <v>222</v>
      </c>
      <c r="F11" s="26">
        <v>7</v>
      </c>
      <c r="G11" s="27">
        <v>1</v>
      </c>
      <c r="I11" s="1"/>
      <c r="J11" s="1"/>
      <c r="K11" s="1"/>
      <c r="N11" s="6"/>
      <c r="O11" s="19"/>
      <c r="P11" s="19"/>
      <c r="Q11" s="19"/>
      <c r="R11" s="19"/>
      <c r="S11" s="19"/>
      <c r="T11" s="19"/>
      <c r="U11" s="19"/>
      <c r="V11" s="19"/>
      <c r="W11" s="19"/>
    </row>
    <row r="12" spans="1:23" ht="18.5" x14ac:dyDescent="0.35">
      <c r="A12"/>
      <c r="B12"/>
      <c r="C12"/>
      <c r="E12" s="25" t="s">
        <v>138</v>
      </c>
      <c r="F12" s="26">
        <v>2</v>
      </c>
      <c r="G12" s="27">
        <v>1</v>
      </c>
      <c r="I12" s="1"/>
      <c r="J12" s="1"/>
      <c r="K12" s="1"/>
      <c r="N12" s="6"/>
      <c r="O12" s="19"/>
      <c r="P12" s="19"/>
      <c r="Q12" s="19"/>
      <c r="R12" s="19"/>
      <c r="S12" s="19"/>
      <c r="T12" s="19"/>
      <c r="U12" s="19"/>
      <c r="V12" s="19"/>
      <c r="W12" s="19"/>
    </row>
    <row r="13" spans="1:23" ht="18.5" x14ac:dyDescent="0.35">
      <c r="A13"/>
      <c r="B13"/>
      <c r="C13"/>
      <c r="E13" s="25" t="s">
        <v>74</v>
      </c>
      <c r="F13" s="26">
        <v>1315</v>
      </c>
      <c r="G13" s="54">
        <v>0.9642585551330799</v>
      </c>
      <c r="I13" s="1"/>
      <c r="J13" s="1"/>
      <c r="K13" s="68">
        <f>GETPIVOTDATA("[Measures].[Recuento de Material]",$I$2,"[data].[Condicion Stock]","[data].[Condicion Stock].&amp;[Sobre Stock]")/GETPIVOTDATA("[Measures].[Recuento de Material]",$I$2)</f>
        <v>0.2585551330798479</v>
      </c>
      <c r="N13" s="6"/>
      <c r="O13" s="19"/>
      <c r="P13" s="19"/>
      <c r="Q13" s="19"/>
      <c r="R13" s="19"/>
      <c r="S13" s="19"/>
      <c r="T13" s="19"/>
      <c r="U13" s="19"/>
      <c r="V13" s="19"/>
      <c r="W13" s="19"/>
    </row>
    <row r="14" spans="1:23" ht="12" customHeight="1" x14ac:dyDescent="0.35">
      <c r="A14"/>
      <c r="B14"/>
      <c r="C14"/>
      <c r="E14"/>
      <c r="F14"/>
      <c r="G14"/>
      <c r="I14" s="1"/>
      <c r="J14" s="1"/>
      <c r="K14" s="1"/>
      <c r="N14" s="6"/>
      <c r="O14" s="19"/>
      <c r="P14" s="19"/>
      <c r="Q14" s="19"/>
      <c r="R14" s="19"/>
      <c r="S14" s="19"/>
      <c r="T14" s="19"/>
      <c r="U14" s="19"/>
      <c r="V14" s="19"/>
      <c r="W14" s="19"/>
    </row>
    <row r="15" spans="1:23" ht="9.75" customHeight="1" x14ac:dyDescent="0.35">
      <c r="A15"/>
      <c r="B15"/>
      <c r="C15"/>
      <c r="D15"/>
      <c r="E15"/>
      <c r="F15"/>
      <c r="G15"/>
      <c r="H15"/>
      <c r="I15"/>
      <c r="J15"/>
      <c r="K15"/>
      <c r="L15" s="19"/>
      <c r="M15" s="6"/>
      <c r="N15" s="8"/>
      <c r="O15" s="19"/>
      <c r="P15" s="19"/>
      <c r="Q15" s="19"/>
      <c r="R15" s="19"/>
      <c r="S15" s="19"/>
      <c r="T15" s="19"/>
      <c r="U15" s="19"/>
      <c r="V15" s="19"/>
      <c r="W15" s="19"/>
    </row>
    <row r="16" spans="1:23" s="13" customFormat="1" ht="29" x14ac:dyDescent="0.35">
      <c r="B16" s="13" t="s">
        <v>0</v>
      </c>
      <c r="C16" s="13" t="s">
        <v>1</v>
      </c>
      <c r="D16" s="13" t="s">
        <v>15</v>
      </c>
      <c r="E16" s="13" t="s">
        <v>64</v>
      </c>
      <c r="F16" s="13" t="s">
        <v>1275</v>
      </c>
      <c r="G16" s="1" t="s">
        <v>6835</v>
      </c>
      <c r="H16" s="13" t="s">
        <v>3</v>
      </c>
      <c r="I16" s="13" t="s">
        <v>4</v>
      </c>
      <c r="J16" s="13" t="s">
        <v>5</v>
      </c>
      <c r="K16" s="13" t="s">
        <v>6</v>
      </c>
      <c r="L16" s="11" t="s">
        <v>79</v>
      </c>
      <c r="M16" t="s">
        <v>80</v>
      </c>
      <c r="N16" t="s">
        <v>81</v>
      </c>
      <c r="O16" s="13" t="s">
        <v>11</v>
      </c>
      <c r="P16" s="13" t="s">
        <v>12</v>
      </c>
      <c r="Q16" s="14" t="s">
        <v>50</v>
      </c>
      <c r="R16" t="s">
        <v>85</v>
      </c>
      <c r="S16" s="20" t="s">
        <v>52</v>
      </c>
      <c r="T16" t="s">
        <v>65</v>
      </c>
      <c r="U16" t="s">
        <v>6836</v>
      </c>
    </row>
    <row r="17" spans="2:23" x14ac:dyDescent="0.35">
      <c r="B17" s="4">
        <v>30007396</v>
      </c>
      <c r="C17" s="1" t="s">
        <v>873</v>
      </c>
      <c r="D17" s="4" t="s">
        <v>86</v>
      </c>
      <c r="E17" s="3" t="s">
        <v>1225</v>
      </c>
      <c r="F17" s="3" t="s">
        <v>102</v>
      </c>
      <c r="G17">
        <v>2</v>
      </c>
      <c r="H17" s="4">
        <v>2</v>
      </c>
      <c r="I17" s="4">
        <v>0</v>
      </c>
      <c r="J17" s="4" t="s">
        <v>8</v>
      </c>
      <c r="K17" s="4" t="s">
        <v>13</v>
      </c>
      <c r="L17" s="11">
        <v>1002673994</v>
      </c>
      <c r="M17" s="3">
        <v>1</v>
      </c>
      <c r="N17"/>
      <c r="O17" s="4"/>
      <c r="P17" s="1"/>
      <c r="Q17" s="22"/>
      <c r="R17"/>
      <c r="S17" s="11" t="s">
        <v>6854</v>
      </c>
      <c r="T17" t="s">
        <v>71</v>
      </c>
      <c r="U17" t="s">
        <v>1645</v>
      </c>
      <c r="V17" s="1"/>
      <c r="W17" s="1"/>
    </row>
    <row r="18" spans="2:23" x14ac:dyDescent="0.35">
      <c r="B18" s="4">
        <v>30067445</v>
      </c>
      <c r="C18" s="1" t="s">
        <v>1595</v>
      </c>
      <c r="D18" s="4" t="s">
        <v>86</v>
      </c>
      <c r="E18" s="3" t="s">
        <v>1225</v>
      </c>
      <c r="F18" s="3" t="s">
        <v>102</v>
      </c>
      <c r="G18">
        <v>1</v>
      </c>
      <c r="H18" s="4">
        <v>1</v>
      </c>
      <c r="I18" s="4">
        <v>0</v>
      </c>
      <c r="J18" s="4" t="s">
        <v>8</v>
      </c>
      <c r="K18" s="4" t="s">
        <v>13</v>
      </c>
      <c r="L18" s="11">
        <v>1002687241</v>
      </c>
      <c r="M18" s="3">
        <v>1</v>
      </c>
      <c r="N18"/>
      <c r="O18" s="4"/>
      <c r="P18" s="1"/>
      <c r="Q18" s="22"/>
      <c r="R18"/>
      <c r="S18" s="11" t="s">
        <v>6855</v>
      </c>
      <c r="T18" t="s">
        <v>71</v>
      </c>
      <c r="U18" t="s">
        <v>1657</v>
      </c>
      <c r="V18" s="1"/>
      <c r="W18" s="1"/>
    </row>
    <row r="19" spans="2:23" x14ac:dyDescent="0.35">
      <c r="B19" s="4">
        <v>30008706</v>
      </c>
      <c r="C19" s="1" t="s">
        <v>846</v>
      </c>
      <c r="D19" s="4" t="s">
        <v>86</v>
      </c>
      <c r="E19" s="3"/>
      <c r="F19" s="3" t="s">
        <v>102</v>
      </c>
      <c r="G19">
        <v>1</v>
      </c>
      <c r="H19" s="4">
        <v>2</v>
      </c>
      <c r="I19" s="4">
        <v>0</v>
      </c>
      <c r="J19" s="4" t="s">
        <v>8</v>
      </c>
      <c r="K19" s="4" t="s">
        <v>13</v>
      </c>
      <c r="L19" s="11">
        <v>1002696595</v>
      </c>
      <c r="M19" s="3">
        <v>3</v>
      </c>
      <c r="N19"/>
      <c r="O19" s="4"/>
      <c r="P19" s="1"/>
      <c r="Q19" s="22"/>
      <c r="R19"/>
      <c r="S19" s="11"/>
      <c r="T19" t="s">
        <v>71</v>
      </c>
      <c r="U19" t="s">
        <v>6837</v>
      </c>
      <c r="V19" s="1"/>
      <c r="W19" s="1"/>
    </row>
    <row r="20" spans="2:23" x14ac:dyDescent="0.35">
      <c r="B20" s="4">
        <v>30008670</v>
      </c>
      <c r="C20" s="1" t="s">
        <v>844</v>
      </c>
      <c r="D20" s="4" t="s">
        <v>86</v>
      </c>
      <c r="E20" s="3"/>
      <c r="F20" s="3" t="s">
        <v>102</v>
      </c>
      <c r="G20">
        <v>16</v>
      </c>
      <c r="H20" s="4">
        <v>32</v>
      </c>
      <c r="I20" s="4">
        <v>15</v>
      </c>
      <c r="J20" s="4" t="s">
        <v>8</v>
      </c>
      <c r="K20" s="4" t="s">
        <v>9</v>
      </c>
      <c r="L20" s="11">
        <v>1002696595</v>
      </c>
      <c r="M20" s="3">
        <v>32</v>
      </c>
      <c r="N20"/>
      <c r="O20" s="4"/>
      <c r="P20" s="1"/>
      <c r="Q20" s="22"/>
      <c r="R20"/>
      <c r="S20" s="11"/>
      <c r="T20" t="s">
        <v>71</v>
      </c>
      <c r="U20" t="s">
        <v>6837</v>
      </c>
      <c r="V20" s="1"/>
      <c r="W20" s="1"/>
    </row>
    <row r="21" spans="2:23" x14ac:dyDescent="0.35">
      <c r="B21" s="4">
        <v>30008661</v>
      </c>
      <c r="C21" s="1" t="s">
        <v>534</v>
      </c>
      <c r="D21" s="4" t="s">
        <v>86</v>
      </c>
      <c r="E21" s="3"/>
      <c r="F21" s="3" t="s">
        <v>68</v>
      </c>
      <c r="G21">
        <v>16</v>
      </c>
      <c r="H21" s="4">
        <v>16</v>
      </c>
      <c r="I21" s="4">
        <v>22</v>
      </c>
      <c r="J21" s="4" t="s">
        <v>8</v>
      </c>
      <c r="K21" s="4" t="s">
        <v>7</v>
      </c>
      <c r="L21" s="69">
        <v>1002690589</v>
      </c>
      <c r="M21" s="3">
        <v>8</v>
      </c>
      <c r="N21"/>
      <c r="O21" s="4"/>
      <c r="P21" s="1"/>
      <c r="Q21" s="22"/>
      <c r="R21"/>
      <c r="S21" s="11"/>
      <c r="T21" t="s">
        <v>71</v>
      </c>
      <c r="U21" t="s">
        <v>6838</v>
      </c>
      <c r="V21" s="1"/>
      <c r="W21" s="1"/>
    </row>
    <row r="22" spans="2:23" x14ac:dyDescent="0.35">
      <c r="B22" s="4">
        <v>30008664</v>
      </c>
      <c r="C22" s="1" t="s">
        <v>1072</v>
      </c>
      <c r="D22" s="4" t="s">
        <v>86</v>
      </c>
      <c r="E22" s="3" t="s">
        <v>1225</v>
      </c>
      <c r="F22" s="3" t="s">
        <v>102</v>
      </c>
      <c r="G22">
        <v>113</v>
      </c>
      <c r="H22" s="4">
        <v>112</v>
      </c>
      <c r="I22" s="4">
        <v>172</v>
      </c>
      <c r="J22" s="4" t="s">
        <v>8</v>
      </c>
      <c r="K22" s="4" t="s">
        <v>7</v>
      </c>
      <c r="L22" s="69">
        <v>1002690589</v>
      </c>
      <c r="M22" s="3">
        <v>56</v>
      </c>
      <c r="N22"/>
      <c r="O22" s="4"/>
      <c r="P22" s="1"/>
      <c r="Q22" s="22"/>
      <c r="R22"/>
      <c r="S22" s="11"/>
      <c r="T22" t="s">
        <v>71</v>
      </c>
      <c r="U22" t="s">
        <v>6838</v>
      </c>
      <c r="V22" s="1"/>
      <c r="W22" s="1"/>
    </row>
    <row r="23" spans="2:23" x14ac:dyDescent="0.35">
      <c r="B23" s="4">
        <v>30008782</v>
      </c>
      <c r="C23" s="1" t="s">
        <v>1077</v>
      </c>
      <c r="D23" s="4" t="s">
        <v>86</v>
      </c>
      <c r="E23" s="3" t="s">
        <v>1225</v>
      </c>
      <c r="F23" s="3" t="s">
        <v>102</v>
      </c>
      <c r="G23">
        <v>5</v>
      </c>
      <c r="H23" s="4">
        <v>4</v>
      </c>
      <c r="I23" s="4">
        <v>4</v>
      </c>
      <c r="J23" s="4" t="s">
        <v>8</v>
      </c>
      <c r="K23" s="4" t="s">
        <v>9</v>
      </c>
      <c r="L23" s="11">
        <v>1002690589</v>
      </c>
      <c r="M23" s="3">
        <v>2</v>
      </c>
      <c r="N23"/>
      <c r="O23" s="4"/>
      <c r="P23" s="1"/>
      <c r="Q23" s="22"/>
      <c r="R23"/>
      <c r="S23" s="11" t="s">
        <v>6856</v>
      </c>
      <c r="T23" t="s">
        <v>71</v>
      </c>
      <c r="U23" t="s">
        <v>6838</v>
      </c>
      <c r="V23" s="1"/>
      <c r="W23" s="1"/>
    </row>
    <row r="24" spans="2:23" x14ac:dyDescent="0.35">
      <c r="B24" s="4">
        <v>30008804</v>
      </c>
      <c r="C24" s="1" t="s">
        <v>1079</v>
      </c>
      <c r="D24" s="4" t="s">
        <v>86</v>
      </c>
      <c r="E24" s="3" t="s">
        <v>1225</v>
      </c>
      <c r="F24" s="3" t="s">
        <v>102</v>
      </c>
      <c r="G24">
        <v>2</v>
      </c>
      <c r="H24" s="4">
        <v>1</v>
      </c>
      <c r="I24" s="4">
        <v>1</v>
      </c>
      <c r="J24" s="4" t="s">
        <v>8</v>
      </c>
      <c r="K24" s="4" t="s">
        <v>9</v>
      </c>
      <c r="L24" s="11">
        <v>1002690589</v>
      </c>
      <c r="M24" s="3">
        <v>1</v>
      </c>
      <c r="N24"/>
      <c r="O24" s="4"/>
      <c r="P24" s="1"/>
      <c r="Q24" s="22"/>
      <c r="R24"/>
      <c r="S24" s="11" t="s">
        <v>6857</v>
      </c>
      <c r="T24" t="s">
        <v>71</v>
      </c>
      <c r="U24" t="s">
        <v>6838</v>
      </c>
      <c r="V24" s="1"/>
      <c r="W24" s="1"/>
    </row>
    <row r="25" spans="2:23" x14ac:dyDescent="0.35">
      <c r="B25" s="4">
        <v>20011173</v>
      </c>
      <c r="C25" s="1" t="s">
        <v>53</v>
      </c>
      <c r="D25" s="4" t="s">
        <v>86</v>
      </c>
      <c r="E25" s="3" t="s">
        <v>87</v>
      </c>
      <c r="F25" s="3" t="s">
        <v>89</v>
      </c>
      <c r="G25">
        <v>8</v>
      </c>
      <c r="H25" s="4">
        <v>10</v>
      </c>
      <c r="I25" s="4">
        <v>6</v>
      </c>
      <c r="J25" s="4" t="s">
        <v>8</v>
      </c>
      <c r="K25" s="4" t="s">
        <v>9</v>
      </c>
      <c r="L25" s="11">
        <v>1002687240</v>
      </c>
      <c r="M25" s="3">
        <v>10</v>
      </c>
      <c r="N25"/>
      <c r="O25" s="4"/>
      <c r="P25" s="1"/>
      <c r="Q25" s="22"/>
      <c r="R25" t="s">
        <v>88</v>
      </c>
      <c r="S25" s="11"/>
      <c r="T25" t="s">
        <v>70</v>
      </c>
      <c r="U25"/>
      <c r="V25" s="1"/>
      <c r="W25" s="1"/>
    </row>
    <row r="26" spans="2:23" x14ac:dyDescent="0.35">
      <c r="B26" s="4">
        <v>20015630</v>
      </c>
      <c r="C26" s="1" t="s">
        <v>241</v>
      </c>
      <c r="D26" s="4" t="s">
        <v>86</v>
      </c>
      <c r="E26" s="3" t="s">
        <v>87</v>
      </c>
      <c r="F26" s="3" t="s">
        <v>89</v>
      </c>
      <c r="G26">
        <v>10</v>
      </c>
      <c r="H26" s="4">
        <v>10</v>
      </c>
      <c r="I26" s="4">
        <v>0</v>
      </c>
      <c r="J26" s="4" t="s">
        <v>8</v>
      </c>
      <c r="K26" s="4" t="s">
        <v>13</v>
      </c>
      <c r="L26" s="11">
        <v>1002682089</v>
      </c>
      <c r="M26" s="3">
        <v>20</v>
      </c>
      <c r="N26"/>
      <c r="O26" s="4"/>
      <c r="P26" s="1"/>
      <c r="Q26" s="22"/>
      <c r="R26" t="s">
        <v>88</v>
      </c>
      <c r="S26" s="11"/>
      <c r="T26" t="s">
        <v>70</v>
      </c>
      <c r="U26"/>
      <c r="V26" s="1"/>
      <c r="W26" s="1"/>
    </row>
    <row r="27" spans="2:23" x14ac:dyDescent="0.35">
      <c r="B27" s="4">
        <v>20023886</v>
      </c>
      <c r="C27" s="1" t="s">
        <v>1531</v>
      </c>
      <c r="D27" s="4" t="s">
        <v>86</v>
      </c>
      <c r="E27" s="3"/>
      <c r="F27" s="3" t="s">
        <v>68</v>
      </c>
      <c r="G27">
        <v>15</v>
      </c>
      <c r="H27" s="4">
        <v>30</v>
      </c>
      <c r="I27" s="4">
        <v>2</v>
      </c>
      <c r="J27" s="4" t="s">
        <v>8</v>
      </c>
      <c r="K27" s="4" t="s">
        <v>9</v>
      </c>
      <c r="L27" s="11">
        <v>1002692724</v>
      </c>
      <c r="M27" s="3">
        <v>43</v>
      </c>
      <c r="N27"/>
      <c r="O27" s="4"/>
      <c r="P27" s="1"/>
      <c r="Q27" s="22"/>
      <c r="R27"/>
      <c r="S27" s="11"/>
      <c r="T27" t="s">
        <v>66</v>
      </c>
      <c r="U27"/>
      <c r="V27" s="1"/>
      <c r="W27" s="1"/>
    </row>
    <row r="28" spans="2:23" x14ac:dyDescent="0.35">
      <c r="B28" s="4">
        <v>30050583</v>
      </c>
      <c r="C28" s="1" t="s">
        <v>734</v>
      </c>
      <c r="D28" s="4" t="s">
        <v>86</v>
      </c>
      <c r="E28" s="3"/>
      <c r="F28" s="3" t="s">
        <v>68</v>
      </c>
      <c r="G28">
        <v>2</v>
      </c>
      <c r="H28" s="4">
        <v>3</v>
      </c>
      <c r="I28" s="4">
        <v>1</v>
      </c>
      <c r="J28" s="4" t="s">
        <v>8</v>
      </c>
      <c r="K28" s="4" t="s">
        <v>9</v>
      </c>
      <c r="L28" s="11">
        <v>1002696594</v>
      </c>
      <c r="M28" s="3">
        <v>3</v>
      </c>
      <c r="N28"/>
      <c r="O28" s="4"/>
      <c r="P28" s="1"/>
      <c r="Q28" s="22"/>
      <c r="R28"/>
      <c r="S28" s="11"/>
      <c r="T28" t="s">
        <v>70</v>
      </c>
      <c r="U28"/>
      <c r="V28" s="1"/>
      <c r="W28" s="1"/>
    </row>
    <row r="29" spans="2:23" ht="14.5" customHeight="1" x14ac:dyDescent="0.35">
      <c r="B29" s="4">
        <v>20022101</v>
      </c>
      <c r="C29" s="1" t="s">
        <v>1248</v>
      </c>
      <c r="D29" s="4" t="s">
        <v>86</v>
      </c>
      <c r="E29" s="3"/>
      <c r="F29" s="3" t="s">
        <v>68</v>
      </c>
      <c r="G29">
        <v>5</v>
      </c>
      <c r="H29" s="4">
        <v>10</v>
      </c>
      <c r="I29" s="4">
        <v>0</v>
      </c>
      <c r="J29" s="4" t="s">
        <v>8</v>
      </c>
      <c r="K29" s="4" t="s">
        <v>13</v>
      </c>
      <c r="L29" s="11">
        <v>1002648051</v>
      </c>
      <c r="M29" s="3">
        <v>5</v>
      </c>
      <c r="N29"/>
      <c r="O29" s="4"/>
      <c r="P29" s="1"/>
      <c r="Q29" s="22"/>
      <c r="R29"/>
      <c r="S29" s="11"/>
      <c r="T29" t="s">
        <v>1603</v>
      </c>
      <c r="U29" t="s">
        <v>2260</v>
      </c>
      <c r="V29" s="1"/>
      <c r="W29" s="1"/>
    </row>
    <row r="30" spans="2:23" ht="14.5" customHeight="1" x14ac:dyDescent="0.35">
      <c r="B30" s="4">
        <v>20026525</v>
      </c>
      <c r="C30" s="1" t="s">
        <v>467</v>
      </c>
      <c r="D30" s="4" t="s">
        <v>86</v>
      </c>
      <c r="E30" s="3"/>
      <c r="F30" s="3" t="s">
        <v>68</v>
      </c>
      <c r="G30">
        <v>2</v>
      </c>
      <c r="H30" s="4">
        <v>2</v>
      </c>
      <c r="I30" s="4">
        <v>1</v>
      </c>
      <c r="J30" s="4" t="s">
        <v>8</v>
      </c>
      <c r="K30" s="4" t="s">
        <v>9</v>
      </c>
      <c r="L30" s="11">
        <v>1002667097</v>
      </c>
      <c r="M30" s="3">
        <v>2</v>
      </c>
      <c r="N30"/>
      <c r="O30" s="4"/>
      <c r="P30" s="1"/>
      <c r="Q30" s="22"/>
      <c r="R30"/>
      <c r="S30" s="11"/>
      <c r="T30" t="s">
        <v>70</v>
      </c>
      <c r="U30" t="s">
        <v>2313</v>
      </c>
      <c r="V30" s="1"/>
      <c r="W30" s="1"/>
    </row>
    <row r="31" spans="2:23" ht="14.5" customHeight="1" x14ac:dyDescent="0.35">
      <c r="B31" s="4">
        <v>30032263</v>
      </c>
      <c r="C31" s="1" t="s">
        <v>622</v>
      </c>
      <c r="D31" s="4" t="s">
        <v>86</v>
      </c>
      <c r="E31" s="3"/>
      <c r="F31" s="3" t="s">
        <v>68</v>
      </c>
      <c r="G31">
        <v>10</v>
      </c>
      <c r="H31" s="4">
        <v>10</v>
      </c>
      <c r="I31" s="4">
        <v>7</v>
      </c>
      <c r="J31" s="4" t="s">
        <v>8</v>
      </c>
      <c r="K31" s="4" t="s">
        <v>9</v>
      </c>
      <c r="L31" s="11">
        <v>1002671116</v>
      </c>
      <c r="M31" s="3">
        <v>10</v>
      </c>
      <c r="N31"/>
      <c r="O31" s="4"/>
      <c r="P31" s="1"/>
      <c r="Q31" s="22"/>
      <c r="R31"/>
      <c r="S31" s="11"/>
      <c r="T31" t="s">
        <v>70</v>
      </c>
      <c r="U31"/>
      <c r="V31" s="1"/>
      <c r="W31" s="1"/>
    </row>
    <row r="32" spans="2:23" ht="14.5" customHeight="1" x14ac:dyDescent="0.35">
      <c r="B32" s="4">
        <v>20024067</v>
      </c>
      <c r="C32" s="1" t="s">
        <v>385</v>
      </c>
      <c r="D32" s="4" t="s">
        <v>86</v>
      </c>
      <c r="E32" s="3"/>
      <c r="F32" s="3" t="s">
        <v>68</v>
      </c>
      <c r="G32">
        <v>40</v>
      </c>
      <c r="H32" s="4">
        <v>60</v>
      </c>
      <c r="I32" s="4">
        <v>0</v>
      </c>
      <c r="J32" s="4" t="s">
        <v>8</v>
      </c>
      <c r="K32" s="4" t="s">
        <v>13</v>
      </c>
      <c r="L32" s="11">
        <v>1002674974</v>
      </c>
      <c r="M32" s="3">
        <v>80</v>
      </c>
      <c r="N32"/>
      <c r="O32" s="4"/>
      <c r="P32" s="1"/>
      <c r="Q32" s="22"/>
      <c r="R32"/>
      <c r="S32" s="11"/>
      <c r="T32" t="s">
        <v>70</v>
      </c>
      <c r="U32"/>
      <c r="V32" s="1"/>
      <c r="W32" s="1"/>
    </row>
    <row r="33" spans="2:23" ht="14.5" customHeight="1" x14ac:dyDescent="0.35">
      <c r="B33" s="4">
        <v>30051089</v>
      </c>
      <c r="C33" s="1" t="s">
        <v>742</v>
      </c>
      <c r="D33" s="4" t="s">
        <v>86</v>
      </c>
      <c r="E33" s="3"/>
      <c r="F33" s="3" t="s">
        <v>68</v>
      </c>
      <c r="G33">
        <v>7</v>
      </c>
      <c r="H33" s="4">
        <v>4</v>
      </c>
      <c r="I33" s="4">
        <v>5</v>
      </c>
      <c r="J33" s="4" t="s">
        <v>8</v>
      </c>
      <c r="K33" s="4" t="s">
        <v>9</v>
      </c>
      <c r="L33" s="11">
        <v>1002674974</v>
      </c>
      <c r="M33" s="3">
        <v>4</v>
      </c>
      <c r="N33"/>
      <c r="O33" s="4"/>
      <c r="P33" s="1"/>
      <c r="Q33" s="22"/>
      <c r="R33"/>
      <c r="S33" s="11"/>
      <c r="T33" t="s">
        <v>70</v>
      </c>
      <c r="U33"/>
      <c r="V33" s="1"/>
      <c r="W33" s="1"/>
    </row>
    <row r="34" spans="2:23" ht="14.5" customHeight="1" x14ac:dyDescent="0.35">
      <c r="B34" s="4">
        <v>30009365</v>
      </c>
      <c r="C34" s="1" t="s">
        <v>1486</v>
      </c>
      <c r="D34" s="4" t="s">
        <v>86</v>
      </c>
      <c r="E34" s="3"/>
      <c r="F34" s="3" t="s">
        <v>68</v>
      </c>
      <c r="G34">
        <v>5</v>
      </c>
      <c r="H34" s="4">
        <v>4</v>
      </c>
      <c r="I34" s="4">
        <v>0</v>
      </c>
      <c r="J34" s="4" t="s">
        <v>8</v>
      </c>
      <c r="K34" s="4" t="s">
        <v>13</v>
      </c>
      <c r="L34" s="11">
        <v>1002687240</v>
      </c>
      <c r="M34" s="3">
        <v>4</v>
      </c>
      <c r="N34"/>
      <c r="O34" s="4"/>
      <c r="P34" s="1"/>
      <c r="Q34" s="22"/>
      <c r="R34"/>
      <c r="S34" s="11"/>
      <c r="T34" t="s">
        <v>70</v>
      </c>
      <c r="U34"/>
      <c r="V34" s="1"/>
      <c r="W34" s="1"/>
    </row>
    <row r="35" spans="2:23" ht="14.5" customHeight="1" x14ac:dyDescent="0.35">
      <c r="B35" s="4">
        <v>20026818</v>
      </c>
      <c r="C35" s="1" t="s">
        <v>476</v>
      </c>
      <c r="D35" s="4" t="s">
        <v>86</v>
      </c>
      <c r="E35" s="3"/>
      <c r="F35" s="3" t="s">
        <v>68</v>
      </c>
      <c r="G35">
        <v>10</v>
      </c>
      <c r="H35" s="4">
        <v>40</v>
      </c>
      <c r="I35" s="4">
        <v>10</v>
      </c>
      <c r="J35" s="4" t="s">
        <v>8</v>
      </c>
      <c r="K35" s="4" t="s">
        <v>7</v>
      </c>
      <c r="L35" s="11">
        <v>1002673993</v>
      </c>
      <c r="M35" s="3">
        <v>40</v>
      </c>
      <c r="N35"/>
      <c r="O35" s="4"/>
      <c r="P35" s="1"/>
      <c r="Q35" s="22"/>
      <c r="R35"/>
      <c r="S35" s="11"/>
      <c r="T35" t="s">
        <v>70</v>
      </c>
      <c r="U35"/>
      <c r="V35" s="1"/>
      <c r="W35" s="1"/>
    </row>
    <row r="36" spans="2:23" ht="14.5" customHeight="1" x14ac:dyDescent="0.35">
      <c r="B36" s="4">
        <v>30008604</v>
      </c>
      <c r="C36" s="1" t="s">
        <v>1363</v>
      </c>
      <c r="D36" s="4" t="s">
        <v>86</v>
      </c>
      <c r="E36" s="3"/>
      <c r="F36" s="3" t="s">
        <v>68</v>
      </c>
      <c r="G36">
        <v>16</v>
      </c>
      <c r="H36" s="4">
        <v>20</v>
      </c>
      <c r="I36" s="4">
        <v>4</v>
      </c>
      <c r="J36" s="4" t="s">
        <v>8</v>
      </c>
      <c r="K36" s="4" t="s">
        <v>9</v>
      </c>
      <c r="L36" s="11">
        <v>1002692725</v>
      </c>
      <c r="M36" s="3">
        <v>20</v>
      </c>
      <c r="N36"/>
      <c r="O36" s="4"/>
      <c r="P36" s="1"/>
      <c r="Q36" s="22"/>
      <c r="R36"/>
      <c r="S36" s="11"/>
      <c r="T36" t="s">
        <v>70</v>
      </c>
      <c r="U36"/>
      <c r="V36" s="1"/>
      <c r="W36" s="1"/>
    </row>
    <row r="37" spans="2:23" ht="14.5" customHeight="1" x14ac:dyDescent="0.35">
      <c r="B37" s="4">
        <v>30006616</v>
      </c>
      <c r="C37" s="1" t="s">
        <v>1119</v>
      </c>
      <c r="D37" s="4" t="s">
        <v>86</v>
      </c>
      <c r="E37" s="3"/>
      <c r="F37" s="3" t="s">
        <v>102</v>
      </c>
      <c r="G37">
        <v>9</v>
      </c>
      <c r="H37" s="4">
        <v>8</v>
      </c>
      <c r="I37" s="4">
        <v>21</v>
      </c>
      <c r="J37" s="4" t="s">
        <v>8</v>
      </c>
      <c r="K37" s="4" t="s">
        <v>14</v>
      </c>
      <c r="L37" s="11"/>
      <c r="M37" s="3"/>
      <c r="N37">
        <v>4700162429</v>
      </c>
      <c r="O37" s="4">
        <v>8</v>
      </c>
      <c r="P37" s="1" t="s">
        <v>1506</v>
      </c>
      <c r="Q37" s="22">
        <v>46252</v>
      </c>
      <c r="R37"/>
      <c r="S37" s="11"/>
      <c r="T37" t="s">
        <v>71</v>
      </c>
      <c r="U37" t="s">
        <v>6839</v>
      </c>
      <c r="V37" s="1"/>
      <c r="W37" s="1"/>
    </row>
    <row r="38" spans="2:23" ht="14.5" customHeight="1" x14ac:dyDescent="0.35">
      <c r="B38" s="4">
        <v>30008779</v>
      </c>
      <c r="C38" s="1" t="s">
        <v>1028</v>
      </c>
      <c r="D38" s="4" t="s">
        <v>86</v>
      </c>
      <c r="E38" s="3" t="s">
        <v>1225</v>
      </c>
      <c r="F38" s="3" t="s">
        <v>102</v>
      </c>
      <c r="G38">
        <v>17</v>
      </c>
      <c r="H38" s="4">
        <v>16</v>
      </c>
      <c r="I38" s="4">
        <v>10</v>
      </c>
      <c r="J38" s="4" t="s">
        <v>8</v>
      </c>
      <c r="K38" s="4" t="s">
        <v>9</v>
      </c>
      <c r="L38" s="11"/>
      <c r="M38" s="3"/>
      <c r="N38">
        <v>4700162660</v>
      </c>
      <c r="O38" s="4">
        <v>16</v>
      </c>
      <c r="P38" s="1" t="s">
        <v>1614</v>
      </c>
      <c r="Q38" s="22">
        <v>46402</v>
      </c>
      <c r="R38"/>
      <c r="S38" s="11"/>
      <c r="T38" t="s">
        <v>71</v>
      </c>
      <c r="U38" t="s">
        <v>68</v>
      </c>
      <c r="V38" s="1"/>
      <c r="W38" s="1"/>
    </row>
    <row r="39" spans="2:23" ht="14.5" customHeight="1" x14ac:dyDescent="0.35">
      <c r="B39" s="4">
        <v>30007389</v>
      </c>
      <c r="C39" s="1" t="s">
        <v>817</v>
      </c>
      <c r="D39" s="4" t="s">
        <v>86</v>
      </c>
      <c r="E39" s="3" t="s">
        <v>1225</v>
      </c>
      <c r="F39" s="3" t="s">
        <v>102</v>
      </c>
      <c r="G39">
        <v>8</v>
      </c>
      <c r="H39" s="4">
        <v>8</v>
      </c>
      <c r="I39" s="4">
        <v>9</v>
      </c>
      <c r="J39" s="4" t="s">
        <v>8</v>
      </c>
      <c r="K39" s="4" t="s">
        <v>7</v>
      </c>
      <c r="L39" s="11"/>
      <c r="M39" s="3"/>
      <c r="N39">
        <v>4700162308</v>
      </c>
      <c r="O39" s="4">
        <v>7</v>
      </c>
      <c r="P39" s="1" t="s">
        <v>1599</v>
      </c>
      <c r="Q39" s="22">
        <v>46293</v>
      </c>
      <c r="R39"/>
      <c r="S39" s="11"/>
      <c r="T39" t="s">
        <v>71</v>
      </c>
      <c r="U39" t="s">
        <v>68</v>
      </c>
      <c r="V39" s="1"/>
      <c r="W39" s="1"/>
    </row>
    <row r="40" spans="2:23" ht="14.5" customHeight="1" x14ac:dyDescent="0.35">
      <c r="B40" s="4">
        <v>30007375</v>
      </c>
      <c r="C40" s="1" t="s">
        <v>808</v>
      </c>
      <c r="D40" s="4" t="s">
        <v>86</v>
      </c>
      <c r="E40" s="3" t="s">
        <v>1225</v>
      </c>
      <c r="F40" s="3" t="s">
        <v>102</v>
      </c>
      <c r="G40">
        <v>3</v>
      </c>
      <c r="H40" s="4">
        <v>2</v>
      </c>
      <c r="I40" s="4">
        <v>3</v>
      </c>
      <c r="J40" s="4" t="s">
        <v>8</v>
      </c>
      <c r="K40" s="4" t="s">
        <v>7</v>
      </c>
      <c r="L40" s="11"/>
      <c r="M40" s="3"/>
      <c r="N40">
        <v>4700162308</v>
      </c>
      <c r="O40" s="4">
        <v>2</v>
      </c>
      <c r="P40" s="1" t="s">
        <v>1599</v>
      </c>
      <c r="Q40" s="22">
        <v>46293</v>
      </c>
      <c r="R40"/>
      <c r="S40" s="11" t="s">
        <v>6860</v>
      </c>
      <c r="T40" t="s">
        <v>71</v>
      </c>
      <c r="U40">
        <v>0</v>
      </c>
      <c r="V40" s="1"/>
      <c r="W40" s="1"/>
    </row>
    <row r="41" spans="2:23" ht="14.5" customHeight="1" x14ac:dyDescent="0.35">
      <c r="B41" s="4">
        <v>30007374</v>
      </c>
      <c r="C41" s="1" t="s">
        <v>807</v>
      </c>
      <c r="D41" s="4" t="s">
        <v>86</v>
      </c>
      <c r="E41" s="3" t="s">
        <v>1225</v>
      </c>
      <c r="F41" s="3" t="s">
        <v>102</v>
      </c>
      <c r="G41">
        <v>3</v>
      </c>
      <c r="H41" s="4">
        <v>2</v>
      </c>
      <c r="I41" s="4">
        <v>3</v>
      </c>
      <c r="J41" s="4" t="s">
        <v>8</v>
      </c>
      <c r="K41" s="4" t="s">
        <v>7</v>
      </c>
      <c r="L41" s="11"/>
      <c r="M41" s="3"/>
      <c r="N41">
        <v>4700162308</v>
      </c>
      <c r="O41" s="4">
        <v>2</v>
      </c>
      <c r="P41" s="1" t="s">
        <v>1599</v>
      </c>
      <c r="Q41" s="22">
        <v>46293</v>
      </c>
      <c r="R41"/>
      <c r="S41" s="11" t="s">
        <v>6860</v>
      </c>
      <c r="T41" t="s">
        <v>71</v>
      </c>
      <c r="U41" t="s">
        <v>68</v>
      </c>
      <c r="V41" s="1"/>
      <c r="W41" s="1"/>
    </row>
    <row r="42" spans="2:23" ht="14.5" customHeight="1" x14ac:dyDescent="0.35">
      <c r="B42" s="4">
        <v>30007421</v>
      </c>
      <c r="C42" s="1" t="s">
        <v>827</v>
      </c>
      <c r="D42" s="4" t="s">
        <v>86</v>
      </c>
      <c r="E42" s="3"/>
      <c r="F42" s="3" t="s">
        <v>102</v>
      </c>
      <c r="G42">
        <v>3</v>
      </c>
      <c r="H42" s="4">
        <v>2</v>
      </c>
      <c r="I42" s="4">
        <v>4</v>
      </c>
      <c r="J42" s="4" t="s">
        <v>8</v>
      </c>
      <c r="K42" s="4" t="s">
        <v>7</v>
      </c>
      <c r="L42" s="11"/>
      <c r="M42" s="3"/>
      <c r="N42">
        <v>4700162303</v>
      </c>
      <c r="O42" s="4">
        <v>2</v>
      </c>
      <c r="P42" s="1" t="s">
        <v>1599</v>
      </c>
      <c r="Q42" s="22">
        <v>46297</v>
      </c>
      <c r="R42"/>
      <c r="S42" s="11"/>
      <c r="T42" t="s">
        <v>71</v>
      </c>
      <c r="U42"/>
      <c r="V42" s="1"/>
      <c r="W42" s="1"/>
    </row>
    <row r="43" spans="2:23" ht="14.5" customHeight="1" x14ac:dyDescent="0.35">
      <c r="B43" s="4">
        <v>20020107</v>
      </c>
      <c r="C43" s="73" t="s">
        <v>294</v>
      </c>
      <c r="D43" s="4" t="s">
        <v>86</v>
      </c>
      <c r="E43" s="3" t="s">
        <v>87</v>
      </c>
      <c r="F43" s="3" t="s">
        <v>89</v>
      </c>
      <c r="G43">
        <v>4</v>
      </c>
      <c r="H43" s="4">
        <v>4</v>
      </c>
      <c r="I43" s="4">
        <v>1</v>
      </c>
      <c r="J43" s="4" t="s">
        <v>8</v>
      </c>
      <c r="K43" s="4" t="s">
        <v>9</v>
      </c>
      <c r="L43" s="11"/>
      <c r="M43" s="3"/>
      <c r="N43">
        <v>4700161995</v>
      </c>
      <c r="O43" s="4">
        <v>2</v>
      </c>
      <c r="P43" s="1" t="s">
        <v>1584</v>
      </c>
      <c r="Q43" s="22">
        <v>46262</v>
      </c>
      <c r="R43" t="s">
        <v>88</v>
      </c>
      <c r="S43" s="11"/>
      <c r="T43" t="s">
        <v>66</v>
      </c>
      <c r="U43" t="s">
        <v>6840</v>
      </c>
      <c r="V43" s="1"/>
      <c r="W43" s="1"/>
    </row>
    <row r="44" spans="2:23" ht="14.5" customHeight="1" x14ac:dyDescent="0.35">
      <c r="B44" s="4">
        <v>30006496</v>
      </c>
      <c r="C44" s="1" t="s">
        <v>1402</v>
      </c>
      <c r="D44" s="4" t="s">
        <v>86</v>
      </c>
      <c r="E44" s="3"/>
      <c r="F44" s="3" t="s">
        <v>102</v>
      </c>
      <c r="G44">
        <v>3</v>
      </c>
      <c r="H44" s="4">
        <v>6</v>
      </c>
      <c r="I44" s="4">
        <v>4</v>
      </c>
      <c r="J44" s="4" t="s">
        <v>8</v>
      </c>
      <c r="K44" s="4" t="s">
        <v>7</v>
      </c>
      <c r="L44" s="11"/>
      <c r="M44" s="3"/>
      <c r="N44">
        <v>4700161517</v>
      </c>
      <c r="O44" s="4">
        <v>1</v>
      </c>
      <c r="P44" s="1" t="s">
        <v>1577</v>
      </c>
      <c r="Q44" s="22">
        <v>46192</v>
      </c>
      <c r="R44"/>
      <c r="S44" s="11"/>
      <c r="T44" t="s">
        <v>66</v>
      </c>
      <c r="U44" t="s">
        <v>3521</v>
      </c>
      <c r="V44" s="1"/>
      <c r="W44" s="1"/>
    </row>
    <row r="45" spans="2:23" ht="14.5" customHeight="1" x14ac:dyDescent="0.35">
      <c r="B45" s="4">
        <v>30006724</v>
      </c>
      <c r="C45" s="1" t="s">
        <v>528</v>
      </c>
      <c r="D45" s="4" t="s">
        <v>86</v>
      </c>
      <c r="E45" s="3" t="s">
        <v>1225</v>
      </c>
      <c r="F45" s="3" t="s">
        <v>102</v>
      </c>
      <c r="G45">
        <v>21</v>
      </c>
      <c r="H45" s="4">
        <v>20</v>
      </c>
      <c r="I45" s="4">
        <v>8</v>
      </c>
      <c r="J45" s="4" t="s">
        <v>8</v>
      </c>
      <c r="K45" s="4" t="s">
        <v>9</v>
      </c>
      <c r="L45" s="11"/>
      <c r="M45" s="3"/>
      <c r="N45">
        <v>4502700694</v>
      </c>
      <c r="O45" s="4">
        <v>20</v>
      </c>
      <c r="P45" s="1" t="s">
        <v>1574</v>
      </c>
      <c r="Q45" s="22">
        <v>46237</v>
      </c>
      <c r="R45"/>
      <c r="S45" s="11"/>
      <c r="T45" t="s">
        <v>66</v>
      </c>
      <c r="U45" t="s">
        <v>3200</v>
      </c>
      <c r="V45" s="1"/>
      <c r="W45" s="1"/>
    </row>
    <row r="46" spans="2:23" ht="14.5" customHeight="1" x14ac:dyDescent="0.35">
      <c r="B46" s="4">
        <v>30038441</v>
      </c>
      <c r="C46" s="1" t="s">
        <v>646</v>
      </c>
      <c r="D46" s="4" t="s">
        <v>86</v>
      </c>
      <c r="E46" s="3"/>
      <c r="F46" s="3" t="s">
        <v>68</v>
      </c>
      <c r="G46">
        <v>4000</v>
      </c>
      <c r="H46" s="4">
        <v>4000</v>
      </c>
      <c r="I46" s="4">
        <v>3725</v>
      </c>
      <c r="J46" s="4" t="s">
        <v>24</v>
      </c>
      <c r="K46" s="4" t="s">
        <v>9</v>
      </c>
      <c r="L46" s="11"/>
      <c r="M46" s="3"/>
      <c r="N46">
        <v>4700157655</v>
      </c>
      <c r="O46" s="4">
        <v>2875</v>
      </c>
      <c r="P46" s="1" t="s">
        <v>1506</v>
      </c>
      <c r="Q46" s="22">
        <v>46115</v>
      </c>
      <c r="R46"/>
      <c r="S46" s="11" t="s">
        <v>6862</v>
      </c>
      <c r="T46" t="s">
        <v>71</v>
      </c>
      <c r="U46" t="s">
        <v>4724</v>
      </c>
      <c r="V46" s="1"/>
      <c r="W46" s="1"/>
    </row>
    <row r="47" spans="2:23" ht="14.5" customHeight="1" x14ac:dyDescent="0.35">
      <c r="B47" s="4">
        <v>30007438</v>
      </c>
      <c r="C47" s="73" t="s">
        <v>837</v>
      </c>
      <c r="D47" s="4" t="s">
        <v>86</v>
      </c>
      <c r="E47" s="3"/>
      <c r="F47" s="3" t="s">
        <v>102</v>
      </c>
      <c r="G47">
        <v>7</v>
      </c>
      <c r="H47" s="4">
        <v>6</v>
      </c>
      <c r="I47" s="4">
        <v>2</v>
      </c>
      <c r="J47" s="4" t="s">
        <v>8</v>
      </c>
      <c r="K47" s="4" t="s">
        <v>9</v>
      </c>
      <c r="L47" s="11"/>
      <c r="M47" s="3"/>
      <c r="N47">
        <v>4502706915</v>
      </c>
      <c r="O47" s="4">
        <v>6</v>
      </c>
      <c r="P47" s="1" t="s">
        <v>1613</v>
      </c>
      <c r="Q47" s="22">
        <v>46258</v>
      </c>
      <c r="R47"/>
      <c r="S47" s="11"/>
      <c r="T47" t="s">
        <v>67</v>
      </c>
      <c r="U47" t="s">
        <v>68</v>
      </c>
      <c r="V47" s="1"/>
      <c r="W47" s="1"/>
    </row>
    <row r="48" spans="2:23" x14ac:dyDescent="0.35">
      <c r="B48" s="4">
        <v>20004877</v>
      </c>
      <c r="C48" s="1" t="s">
        <v>1228</v>
      </c>
      <c r="D48" s="4" t="s">
        <v>86</v>
      </c>
      <c r="E48" s="3"/>
      <c r="F48" s="3" t="s">
        <v>68</v>
      </c>
      <c r="G48">
        <v>21</v>
      </c>
      <c r="H48" s="4">
        <v>30</v>
      </c>
      <c r="I48" s="4">
        <v>0</v>
      </c>
      <c r="J48" s="4" t="s">
        <v>23</v>
      </c>
      <c r="K48" s="4" t="s">
        <v>13</v>
      </c>
      <c r="L48" s="11"/>
      <c r="M48" s="3"/>
      <c r="N48">
        <v>4502700348</v>
      </c>
      <c r="O48" s="4">
        <v>25</v>
      </c>
      <c r="P48" s="1" t="s">
        <v>1604</v>
      </c>
      <c r="Q48" s="22">
        <v>46247</v>
      </c>
      <c r="R48"/>
      <c r="S48" s="11" t="s">
        <v>6863</v>
      </c>
      <c r="T48" t="s">
        <v>1602</v>
      </c>
      <c r="U48" t="s">
        <v>4044</v>
      </c>
      <c r="V48" s="1"/>
      <c r="W48" s="1"/>
    </row>
    <row r="49" spans="2:23" x14ac:dyDescent="0.35">
      <c r="B49" s="4">
        <v>20026364</v>
      </c>
      <c r="C49" s="1" t="s">
        <v>460</v>
      </c>
      <c r="D49" s="4" t="s">
        <v>86</v>
      </c>
      <c r="E49" s="3"/>
      <c r="F49" s="3" t="s">
        <v>68</v>
      </c>
      <c r="G49">
        <v>2</v>
      </c>
      <c r="H49" s="4">
        <v>2</v>
      </c>
      <c r="I49" s="4">
        <v>1</v>
      </c>
      <c r="J49" s="4" t="s">
        <v>8</v>
      </c>
      <c r="K49" s="4" t="s">
        <v>9</v>
      </c>
      <c r="L49" s="11"/>
      <c r="M49" s="3"/>
      <c r="N49">
        <v>4502681822</v>
      </c>
      <c r="O49" s="4">
        <v>2</v>
      </c>
      <c r="P49" s="1" t="s">
        <v>1573</v>
      </c>
      <c r="Q49" s="22">
        <v>46241</v>
      </c>
      <c r="R49"/>
      <c r="S49" s="11"/>
      <c r="T49" t="s">
        <v>1602</v>
      </c>
      <c r="U49" t="s">
        <v>6841</v>
      </c>
      <c r="V49" s="1"/>
      <c r="W49" s="1"/>
    </row>
    <row r="50" spans="2:23" x14ac:dyDescent="0.35">
      <c r="B50" s="4">
        <v>20020081</v>
      </c>
      <c r="C50" s="1" t="s">
        <v>293</v>
      </c>
      <c r="D50" s="4" t="s">
        <v>86</v>
      </c>
      <c r="E50" s="3"/>
      <c r="F50" s="3" t="s">
        <v>89</v>
      </c>
      <c r="G50">
        <v>100</v>
      </c>
      <c r="H50" s="4">
        <v>200</v>
      </c>
      <c r="I50" s="4">
        <v>74</v>
      </c>
      <c r="J50" s="4" t="s">
        <v>21</v>
      </c>
      <c r="K50" s="4" t="s">
        <v>9</v>
      </c>
      <c r="L50" s="11"/>
      <c r="M50" s="3"/>
      <c r="N50">
        <v>4502708507</v>
      </c>
      <c r="O50" s="4">
        <v>250</v>
      </c>
      <c r="P50" s="1" t="s">
        <v>22</v>
      </c>
      <c r="Q50" s="22">
        <v>46258</v>
      </c>
      <c r="R50" t="s">
        <v>113</v>
      </c>
      <c r="S50" s="11"/>
      <c r="T50" t="s">
        <v>69</v>
      </c>
      <c r="U50" t="s">
        <v>68</v>
      </c>
      <c r="V50" s="1"/>
      <c r="W50" s="1"/>
    </row>
    <row r="51" spans="2:23" x14ac:dyDescent="0.35">
      <c r="B51" s="4">
        <v>20020123</v>
      </c>
      <c r="C51" s="2" t="s">
        <v>297</v>
      </c>
      <c r="D51" s="4" t="s">
        <v>86</v>
      </c>
      <c r="E51" s="3"/>
      <c r="F51" s="3" t="s">
        <v>89</v>
      </c>
      <c r="G51">
        <v>15</v>
      </c>
      <c r="H51" s="4">
        <v>25</v>
      </c>
      <c r="I51" s="4">
        <v>4</v>
      </c>
      <c r="J51" s="4" t="s">
        <v>21</v>
      </c>
      <c r="K51" s="4" t="s">
        <v>9</v>
      </c>
      <c r="L51" s="11"/>
      <c r="M51" s="3"/>
      <c r="N51">
        <v>4502708479</v>
      </c>
      <c r="O51" s="4">
        <v>30</v>
      </c>
      <c r="P51" s="1" t="s">
        <v>22</v>
      </c>
      <c r="Q51" s="22">
        <v>46258</v>
      </c>
      <c r="R51" t="s">
        <v>113</v>
      </c>
      <c r="S51" s="11"/>
      <c r="T51" t="s">
        <v>69</v>
      </c>
      <c r="U51" t="s">
        <v>68</v>
      </c>
      <c r="V51" s="1"/>
      <c r="W51" s="1"/>
    </row>
    <row r="52" spans="2:23" x14ac:dyDescent="0.35">
      <c r="B52" s="4">
        <v>30023347</v>
      </c>
      <c r="C52" s="1" t="s">
        <v>851</v>
      </c>
      <c r="D52" s="4" t="s">
        <v>86</v>
      </c>
      <c r="E52" s="3" t="s">
        <v>1225</v>
      </c>
      <c r="F52" s="3" t="s">
        <v>102</v>
      </c>
      <c r="G52">
        <v>3</v>
      </c>
      <c r="H52" s="4">
        <v>2</v>
      </c>
      <c r="I52" s="4">
        <v>6</v>
      </c>
      <c r="J52" s="4" t="s">
        <v>8</v>
      </c>
      <c r="K52" s="4" t="s">
        <v>14</v>
      </c>
      <c r="L52" s="11"/>
      <c r="M52" s="3"/>
      <c r="N52">
        <v>4502708170</v>
      </c>
      <c r="O52" s="4">
        <v>1</v>
      </c>
      <c r="P52" s="1" t="s">
        <v>6834</v>
      </c>
      <c r="Q52" s="22">
        <v>46328</v>
      </c>
      <c r="R52"/>
      <c r="S52" s="11"/>
      <c r="T52" t="s">
        <v>67</v>
      </c>
      <c r="U52" t="s">
        <v>68</v>
      </c>
      <c r="V52" s="1"/>
      <c r="W52" s="1"/>
    </row>
    <row r="53" spans="2:23" x14ac:dyDescent="0.35">
      <c r="B53" s="4">
        <v>20050351</v>
      </c>
      <c r="C53" s="1" t="s">
        <v>1109</v>
      </c>
      <c r="D53" s="4" t="s">
        <v>86</v>
      </c>
      <c r="E53" s="3"/>
      <c r="F53" s="3" t="s">
        <v>68</v>
      </c>
      <c r="G53">
        <v>35</v>
      </c>
      <c r="H53" s="4">
        <v>100</v>
      </c>
      <c r="I53" s="4">
        <v>59</v>
      </c>
      <c r="J53" s="4" t="s">
        <v>8</v>
      </c>
      <c r="K53" s="4" t="s">
        <v>7</v>
      </c>
      <c r="L53" s="11"/>
      <c r="M53" s="3"/>
      <c r="N53">
        <v>4502701784</v>
      </c>
      <c r="O53" s="4">
        <v>76</v>
      </c>
      <c r="P53" s="1" t="s">
        <v>1612</v>
      </c>
      <c r="Q53" s="22">
        <v>46245</v>
      </c>
      <c r="R53"/>
      <c r="S53" s="11"/>
      <c r="T53" t="s">
        <v>1603</v>
      </c>
      <c r="U53" t="s">
        <v>5629</v>
      </c>
      <c r="V53" s="1"/>
      <c r="W53" s="1"/>
    </row>
    <row r="54" spans="2:23" x14ac:dyDescent="0.35">
      <c r="B54" s="4">
        <v>20020665</v>
      </c>
      <c r="C54" s="1" t="s">
        <v>313</v>
      </c>
      <c r="D54" s="4" t="s">
        <v>86</v>
      </c>
      <c r="E54" s="3"/>
      <c r="F54" s="3" t="s">
        <v>89</v>
      </c>
      <c r="G54">
        <v>5</v>
      </c>
      <c r="H54" s="4">
        <v>10</v>
      </c>
      <c r="I54" s="4">
        <v>1</v>
      </c>
      <c r="J54" s="4" t="s">
        <v>8</v>
      </c>
      <c r="K54" s="4" t="s">
        <v>9</v>
      </c>
      <c r="L54" s="11"/>
      <c r="M54" s="3"/>
      <c r="N54">
        <v>4502702087</v>
      </c>
      <c r="O54" s="4">
        <v>4</v>
      </c>
      <c r="P54" s="1" t="s">
        <v>1600</v>
      </c>
      <c r="Q54" s="22">
        <v>46244</v>
      </c>
      <c r="R54" t="s">
        <v>113</v>
      </c>
      <c r="S54" s="11"/>
      <c r="T54" t="s">
        <v>66</v>
      </c>
      <c r="U54" t="s">
        <v>4044</v>
      </c>
      <c r="V54" s="1"/>
      <c r="W54" s="1"/>
    </row>
    <row r="55" spans="2:23" x14ac:dyDescent="0.35">
      <c r="B55" s="4">
        <v>20024851</v>
      </c>
      <c r="C55" s="1" t="s">
        <v>412</v>
      </c>
      <c r="D55" s="4" t="s">
        <v>86</v>
      </c>
      <c r="E55" s="3"/>
      <c r="F55" s="3" t="s">
        <v>68</v>
      </c>
      <c r="G55">
        <v>2</v>
      </c>
      <c r="H55" s="4">
        <v>4</v>
      </c>
      <c r="I55" s="4">
        <v>0</v>
      </c>
      <c r="J55" s="4" t="s">
        <v>21</v>
      </c>
      <c r="K55" s="4" t="s">
        <v>13</v>
      </c>
      <c r="L55" s="11"/>
      <c r="M55" s="3"/>
      <c r="N55">
        <v>4502701172</v>
      </c>
      <c r="O55" s="4">
        <v>4</v>
      </c>
      <c r="P55" s="1" t="s">
        <v>1565</v>
      </c>
      <c r="Q55" s="22">
        <v>46240</v>
      </c>
      <c r="R55"/>
      <c r="S55" s="11"/>
      <c r="T55" t="s">
        <v>69</v>
      </c>
      <c r="U55" t="s">
        <v>6842</v>
      </c>
      <c r="V55" s="1"/>
      <c r="W55" s="1"/>
    </row>
    <row r="56" spans="2:23" x14ac:dyDescent="0.35">
      <c r="B56" s="4">
        <v>30020488</v>
      </c>
      <c r="C56" s="1" t="s">
        <v>849</v>
      </c>
      <c r="D56" s="4" t="s">
        <v>86</v>
      </c>
      <c r="E56" s="3"/>
      <c r="F56" s="3" t="s">
        <v>68</v>
      </c>
      <c r="G56">
        <v>8</v>
      </c>
      <c r="H56" s="4">
        <v>4</v>
      </c>
      <c r="I56" s="4">
        <v>0</v>
      </c>
      <c r="J56" s="4" t="s">
        <v>8</v>
      </c>
      <c r="K56" s="4" t="s">
        <v>13</v>
      </c>
      <c r="L56" s="11"/>
      <c r="M56" s="3"/>
      <c r="N56">
        <v>4502707596</v>
      </c>
      <c r="O56" s="4">
        <v>8</v>
      </c>
      <c r="P56" s="1" t="s">
        <v>6832</v>
      </c>
      <c r="Q56" s="22">
        <v>46281</v>
      </c>
      <c r="R56"/>
      <c r="S56" s="11"/>
      <c r="T56" t="s">
        <v>70</v>
      </c>
      <c r="U56" t="s">
        <v>68</v>
      </c>
      <c r="V56" s="1"/>
      <c r="W56" s="1"/>
    </row>
    <row r="57" spans="2:23" x14ac:dyDescent="0.35">
      <c r="B57" s="4">
        <v>20021006</v>
      </c>
      <c r="C57" s="1" t="s">
        <v>326</v>
      </c>
      <c r="D57" s="4" t="s">
        <v>86</v>
      </c>
      <c r="E57" s="3"/>
      <c r="F57" s="3" t="s">
        <v>89</v>
      </c>
      <c r="G57">
        <v>8</v>
      </c>
      <c r="H57" s="4">
        <v>16</v>
      </c>
      <c r="I57" s="4">
        <v>5</v>
      </c>
      <c r="J57" s="4" t="s">
        <v>8</v>
      </c>
      <c r="K57" s="4" t="s">
        <v>9</v>
      </c>
      <c r="L57" s="11"/>
      <c r="M57" s="3"/>
      <c r="N57">
        <v>4502708247</v>
      </c>
      <c r="O57" s="4">
        <v>10</v>
      </c>
      <c r="P57" s="1" t="s">
        <v>6833</v>
      </c>
      <c r="Q57" s="22">
        <v>46251</v>
      </c>
      <c r="R57"/>
      <c r="S57" s="11"/>
      <c r="T57" t="s">
        <v>66</v>
      </c>
      <c r="U57" t="s">
        <v>68</v>
      </c>
      <c r="V57" s="1"/>
      <c r="W57" s="1"/>
    </row>
    <row r="58" spans="2:23" x14ac:dyDescent="0.35">
      <c r="B58" s="4">
        <v>20026699</v>
      </c>
      <c r="C58" s="1" t="s">
        <v>473</v>
      </c>
      <c r="D58" s="4" t="s">
        <v>86</v>
      </c>
      <c r="E58" s="3"/>
      <c r="F58" s="3" t="s">
        <v>68</v>
      </c>
      <c r="G58">
        <v>1</v>
      </c>
      <c r="H58" s="4">
        <v>1</v>
      </c>
      <c r="I58" s="4">
        <v>4</v>
      </c>
      <c r="J58" s="4" t="s">
        <v>8</v>
      </c>
      <c r="K58" s="4" t="s">
        <v>14</v>
      </c>
      <c r="L58" s="11"/>
      <c r="M58" s="3"/>
      <c r="N58">
        <v>4502668886</v>
      </c>
      <c r="O58" s="4">
        <v>4</v>
      </c>
      <c r="P58" s="1" t="s">
        <v>1575</v>
      </c>
      <c r="Q58" s="22">
        <v>46259</v>
      </c>
      <c r="R58"/>
      <c r="S58" s="11" t="s">
        <v>6864</v>
      </c>
      <c r="T58" t="s">
        <v>70</v>
      </c>
      <c r="U58" t="s">
        <v>68</v>
      </c>
      <c r="V58" s="1"/>
      <c r="W58" s="1"/>
    </row>
    <row r="59" spans="2:23" x14ac:dyDescent="0.35">
      <c r="B59" s="4">
        <v>30039714</v>
      </c>
      <c r="C59" s="2" t="s">
        <v>656</v>
      </c>
      <c r="D59" s="4" t="s">
        <v>86</v>
      </c>
      <c r="E59" s="3"/>
      <c r="F59" s="3" t="s">
        <v>68</v>
      </c>
      <c r="G59">
        <v>10</v>
      </c>
      <c r="H59" s="4">
        <v>6</v>
      </c>
      <c r="I59" s="4">
        <v>31</v>
      </c>
      <c r="J59" s="4" t="s">
        <v>8</v>
      </c>
      <c r="K59" s="4" t="s">
        <v>14</v>
      </c>
      <c r="L59" s="71"/>
      <c r="M59" s="3"/>
      <c r="N59">
        <v>4502699745</v>
      </c>
      <c r="O59" s="4">
        <v>4</v>
      </c>
      <c r="P59" s="1" t="s">
        <v>1519</v>
      </c>
      <c r="Q59" s="22">
        <v>46246</v>
      </c>
      <c r="R59"/>
      <c r="S59" s="11"/>
      <c r="T59" t="s">
        <v>70</v>
      </c>
      <c r="U59" t="s">
        <v>4044</v>
      </c>
      <c r="V59" s="1"/>
      <c r="W59" s="1"/>
    </row>
    <row r="60" spans="2:23" x14ac:dyDescent="0.35">
      <c r="B60" s="4">
        <v>30053646</v>
      </c>
      <c r="C60" s="1" t="s">
        <v>771</v>
      </c>
      <c r="D60" s="4" t="s">
        <v>86</v>
      </c>
      <c r="E60" s="3"/>
      <c r="F60" s="3" t="s">
        <v>68</v>
      </c>
      <c r="G60">
        <v>6</v>
      </c>
      <c r="H60" s="4">
        <v>8</v>
      </c>
      <c r="I60" s="4">
        <v>10</v>
      </c>
      <c r="J60" s="4" t="s">
        <v>8</v>
      </c>
      <c r="K60" s="4" t="s">
        <v>7</v>
      </c>
      <c r="L60" s="11"/>
      <c r="M60" s="3"/>
      <c r="N60">
        <v>4502699745</v>
      </c>
      <c r="O60" s="4">
        <v>3</v>
      </c>
      <c r="P60" s="1" t="s">
        <v>1519</v>
      </c>
      <c r="Q60" s="22">
        <v>46246</v>
      </c>
      <c r="R60"/>
      <c r="S60" s="11" t="s">
        <v>6866</v>
      </c>
      <c r="T60" t="s">
        <v>70</v>
      </c>
      <c r="U60" t="s">
        <v>4044</v>
      </c>
      <c r="V60" s="1"/>
      <c r="W60" s="1"/>
    </row>
    <row r="61" spans="2:23" x14ac:dyDescent="0.35">
      <c r="B61" s="4">
        <v>30042934</v>
      </c>
      <c r="C61" s="1" t="s">
        <v>693</v>
      </c>
      <c r="D61" s="4" t="s">
        <v>86</v>
      </c>
      <c r="E61" s="3"/>
      <c r="F61" s="3" t="s">
        <v>68</v>
      </c>
      <c r="G61">
        <v>3</v>
      </c>
      <c r="H61" s="4">
        <v>2</v>
      </c>
      <c r="I61" s="4">
        <v>0</v>
      </c>
      <c r="J61" s="4" t="s">
        <v>8</v>
      </c>
      <c r="K61" s="4" t="s">
        <v>13</v>
      </c>
      <c r="L61" s="11"/>
      <c r="M61" s="3"/>
      <c r="N61">
        <v>4502706781</v>
      </c>
      <c r="O61" s="4">
        <v>3</v>
      </c>
      <c r="P61" s="1" t="s">
        <v>1558</v>
      </c>
      <c r="Q61" s="22">
        <v>46301</v>
      </c>
      <c r="R61"/>
      <c r="S61" s="11" t="s">
        <v>6865</v>
      </c>
      <c r="T61" t="s">
        <v>70</v>
      </c>
      <c r="U61" t="s">
        <v>68</v>
      </c>
      <c r="V61" s="1"/>
      <c r="W61" s="1"/>
    </row>
    <row r="62" spans="2:23" x14ac:dyDescent="0.35">
      <c r="B62" s="4">
        <v>30007152</v>
      </c>
      <c r="C62" s="1" t="s">
        <v>1141</v>
      </c>
      <c r="D62" s="4" t="s">
        <v>86</v>
      </c>
      <c r="E62" s="3" t="s">
        <v>1225</v>
      </c>
      <c r="F62" s="3" t="s">
        <v>102</v>
      </c>
      <c r="G62">
        <v>3</v>
      </c>
      <c r="H62" s="4">
        <v>2</v>
      </c>
      <c r="I62" s="4">
        <v>2</v>
      </c>
      <c r="J62" s="4" t="s">
        <v>8</v>
      </c>
      <c r="K62" s="4" t="s">
        <v>9</v>
      </c>
      <c r="L62" s="11"/>
      <c r="M62" s="3"/>
      <c r="N62">
        <v>4502694446</v>
      </c>
      <c r="O62" s="4">
        <v>2</v>
      </c>
      <c r="P62" s="1" t="s">
        <v>1563</v>
      </c>
      <c r="Q62" s="22">
        <v>46241</v>
      </c>
      <c r="R62"/>
      <c r="S62" s="11"/>
      <c r="T62" t="s">
        <v>71</v>
      </c>
      <c r="U62" t="s">
        <v>3200</v>
      </c>
      <c r="V62" s="1"/>
      <c r="W62" s="1"/>
    </row>
    <row r="63" spans="2:23" x14ac:dyDescent="0.35">
      <c r="B63" s="4">
        <v>20022605</v>
      </c>
      <c r="C63" s="1" t="s">
        <v>1304</v>
      </c>
      <c r="D63" s="4" t="s">
        <v>86</v>
      </c>
      <c r="E63" s="3"/>
      <c r="F63" s="3" t="s">
        <v>68</v>
      </c>
      <c r="G63">
        <v>2</v>
      </c>
      <c r="H63" s="4">
        <v>2</v>
      </c>
      <c r="I63" s="4">
        <v>2</v>
      </c>
      <c r="J63" s="4" t="s">
        <v>8</v>
      </c>
      <c r="K63" s="4" t="s">
        <v>7</v>
      </c>
      <c r="L63" s="11"/>
      <c r="M63" s="3"/>
      <c r="N63">
        <v>4502695247</v>
      </c>
      <c r="O63" s="4">
        <v>1</v>
      </c>
      <c r="P63" s="1" t="s">
        <v>1579</v>
      </c>
      <c r="Q63" s="22">
        <v>46234</v>
      </c>
      <c r="R63"/>
      <c r="S63" s="11"/>
      <c r="T63" t="s">
        <v>1603</v>
      </c>
      <c r="U63" t="s">
        <v>4044</v>
      </c>
      <c r="V63" s="1"/>
      <c r="W63" s="1"/>
    </row>
    <row r="64" spans="2:23" x14ac:dyDescent="0.35">
      <c r="B64" s="4">
        <v>20018777</v>
      </c>
      <c r="C64" s="73" t="s">
        <v>1384</v>
      </c>
      <c r="D64" s="4" t="s">
        <v>86</v>
      </c>
      <c r="E64" s="3"/>
      <c r="F64" s="3" t="s">
        <v>68</v>
      </c>
      <c r="G64">
        <v>20</v>
      </c>
      <c r="H64" s="4">
        <v>40</v>
      </c>
      <c r="I64" s="4">
        <v>16</v>
      </c>
      <c r="J64" s="4" t="s">
        <v>8</v>
      </c>
      <c r="K64" s="4" t="s">
        <v>9</v>
      </c>
      <c r="L64" s="11"/>
      <c r="M64" s="3"/>
      <c r="N64">
        <v>4502707713</v>
      </c>
      <c r="O64" s="4">
        <v>40</v>
      </c>
      <c r="P64" s="1" t="s">
        <v>6830</v>
      </c>
      <c r="Q64" s="22">
        <v>46241</v>
      </c>
      <c r="R64"/>
      <c r="S64" s="11"/>
      <c r="T64" t="s">
        <v>66</v>
      </c>
      <c r="U64" t="s">
        <v>68</v>
      </c>
      <c r="V64" s="1"/>
      <c r="W64" s="1"/>
    </row>
    <row r="65" spans="2:23" x14ac:dyDescent="0.35">
      <c r="B65" s="4">
        <v>20009699</v>
      </c>
      <c r="C65" s="1" t="s">
        <v>1381</v>
      </c>
      <c r="D65" s="4" t="s">
        <v>86</v>
      </c>
      <c r="E65" s="3"/>
      <c r="F65" s="3" t="s">
        <v>68</v>
      </c>
      <c r="G65">
        <v>30</v>
      </c>
      <c r="H65" s="4">
        <v>60</v>
      </c>
      <c r="I65" s="4">
        <v>18</v>
      </c>
      <c r="J65" s="4" t="s">
        <v>8</v>
      </c>
      <c r="K65" s="4" t="s">
        <v>9</v>
      </c>
      <c r="L65" s="11"/>
      <c r="M65" s="3"/>
      <c r="N65">
        <v>4502707713</v>
      </c>
      <c r="O65" s="4">
        <v>60</v>
      </c>
      <c r="P65" s="1" t="s">
        <v>6830</v>
      </c>
      <c r="Q65" s="22">
        <v>46258</v>
      </c>
      <c r="R65"/>
      <c r="S65" s="11"/>
      <c r="T65" t="s">
        <v>66</v>
      </c>
      <c r="U65" t="s">
        <v>68</v>
      </c>
      <c r="V65" s="1"/>
      <c r="W65" s="1"/>
    </row>
    <row r="66" spans="2:23" x14ac:dyDescent="0.35">
      <c r="B66" s="4">
        <v>30021143</v>
      </c>
      <c r="C66" s="1" t="s">
        <v>1085</v>
      </c>
      <c r="D66" s="4" t="s">
        <v>86</v>
      </c>
      <c r="E66" s="75"/>
      <c r="F66" s="3" t="s">
        <v>102</v>
      </c>
      <c r="G66">
        <v>5</v>
      </c>
      <c r="H66" s="4">
        <v>4</v>
      </c>
      <c r="I66" s="4">
        <v>4</v>
      </c>
      <c r="J66" s="4" t="s">
        <v>8</v>
      </c>
      <c r="K66" s="4" t="s">
        <v>9</v>
      </c>
      <c r="L66" s="11"/>
      <c r="M66" s="3"/>
      <c r="N66">
        <v>4502640423</v>
      </c>
      <c r="O66" s="4">
        <v>2</v>
      </c>
      <c r="P66" s="1" t="s">
        <v>1360</v>
      </c>
      <c r="Q66" s="22">
        <v>46241</v>
      </c>
      <c r="R66"/>
      <c r="S66" s="11"/>
      <c r="T66" t="s">
        <v>71</v>
      </c>
      <c r="U66" t="s">
        <v>6843</v>
      </c>
      <c r="V66" s="1"/>
      <c r="W66" s="1"/>
    </row>
    <row r="67" spans="2:23" x14ac:dyDescent="0.35">
      <c r="B67" s="4">
        <v>30073791</v>
      </c>
      <c r="C67" s="1" t="s">
        <v>1557</v>
      </c>
      <c r="D67" s="4" t="s">
        <v>86</v>
      </c>
      <c r="E67" s="3"/>
      <c r="F67" s="3" t="s">
        <v>68</v>
      </c>
      <c r="G67">
        <v>2</v>
      </c>
      <c r="H67" s="4">
        <v>2</v>
      </c>
      <c r="I67" s="4">
        <v>0</v>
      </c>
      <c r="J67" s="4" t="s">
        <v>8</v>
      </c>
      <c r="K67" s="4" t="s">
        <v>13</v>
      </c>
      <c r="L67" s="11"/>
      <c r="M67" s="3"/>
      <c r="N67">
        <v>4502700098</v>
      </c>
      <c r="O67" s="4">
        <v>4</v>
      </c>
      <c r="P67" s="1" t="s">
        <v>1564</v>
      </c>
      <c r="Q67" s="22">
        <v>46244</v>
      </c>
      <c r="R67"/>
      <c r="S67" s="11" t="s">
        <v>6867</v>
      </c>
      <c r="T67" t="s">
        <v>66</v>
      </c>
      <c r="U67" t="s">
        <v>3200</v>
      </c>
      <c r="V67" s="1"/>
      <c r="W67" s="1"/>
    </row>
    <row r="68" spans="2:23" x14ac:dyDescent="0.35">
      <c r="B68" s="4">
        <v>30073790</v>
      </c>
      <c r="C68" s="1" t="s">
        <v>1556</v>
      </c>
      <c r="D68" s="4" t="s">
        <v>86</v>
      </c>
      <c r="E68" s="3"/>
      <c r="F68" s="3" t="s">
        <v>68</v>
      </c>
      <c r="G68">
        <v>2</v>
      </c>
      <c r="H68" s="4">
        <v>2</v>
      </c>
      <c r="I68" s="4">
        <v>0</v>
      </c>
      <c r="J68" s="4" t="s">
        <v>8</v>
      </c>
      <c r="K68" s="4" t="s">
        <v>13</v>
      </c>
      <c r="L68" s="11"/>
      <c r="M68" s="3"/>
      <c r="N68">
        <v>4502700098</v>
      </c>
      <c r="O68" s="4">
        <v>4</v>
      </c>
      <c r="P68" s="1" t="s">
        <v>1564</v>
      </c>
      <c r="Q68" s="22">
        <v>46244</v>
      </c>
      <c r="R68"/>
      <c r="S68" s="11" t="s">
        <v>6867</v>
      </c>
      <c r="T68" t="s">
        <v>66</v>
      </c>
      <c r="U68" t="s">
        <v>3200</v>
      </c>
      <c r="V68" s="1"/>
      <c r="W68" s="1"/>
    </row>
    <row r="69" spans="2:23" x14ac:dyDescent="0.35">
      <c r="B69" s="4">
        <v>20005074</v>
      </c>
      <c r="C69" s="1" t="s">
        <v>1234</v>
      </c>
      <c r="D69" s="4" t="s">
        <v>86</v>
      </c>
      <c r="E69" s="3"/>
      <c r="F69" s="3" t="s">
        <v>68</v>
      </c>
      <c r="G69">
        <v>100</v>
      </c>
      <c r="H69" s="4">
        <v>100</v>
      </c>
      <c r="I69" s="4">
        <v>200</v>
      </c>
      <c r="J69" s="4" t="s">
        <v>353</v>
      </c>
      <c r="K69" s="4" t="s">
        <v>7</v>
      </c>
      <c r="L69" s="11"/>
      <c r="M69" s="3"/>
      <c r="N69">
        <v>4502700627</v>
      </c>
      <c r="O69" s="4">
        <v>200</v>
      </c>
      <c r="P69" s="1" t="s">
        <v>1604</v>
      </c>
      <c r="Q69" s="22">
        <v>46283</v>
      </c>
      <c r="R69"/>
      <c r="S69" s="11"/>
      <c r="T69" t="s">
        <v>1602</v>
      </c>
      <c r="U69" t="s">
        <v>68</v>
      </c>
      <c r="V69" s="1"/>
      <c r="W69" s="1"/>
    </row>
    <row r="70" spans="2:23" x14ac:dyDescent="0.35">
      <c r="B70" s="4">
        <v>20005498</v>
      </c>
      <c r="C70" s="1" t="s">
        <v>112</v>
      </c>
      <c r="D70" s="4" t="s">
        <v>86</v>
      </c>
      <c r="E70" s="3" t="s">
        <v>87</v>
      </c>
      <c r="F70" s="3" t="s">
        <v>89</v>
      </c>
      <c r="G70">
        <v>25</v>
      </c>
      <c r="H70" s="4">
        <v>50</v>
      </c>
      <c r="I70" s="4">
        <v>63</v>
      </c>
      <c r="J70" s="4" t="s">
        <v>24</v>
      </c>
      <c r="K70" s="4" t="s">
        <v>7</v>
      </c>
      <c r="L70" s="11"/>
      <c r="M70" s="3"/>
      <c r="N70">
        <v>4502708308</v>
      </c>
      <c r="O70" s="4">
        <v>1</v>
      </c>
      <c r="P70" s="1" t="s">
        <v>1562</v>
      </c>
      <c r="Q70" s="22">
        <v>46258</v>
      </c>
      <c r="R70" t="s">
        <v>109</v>
      </c>
      <c r="S70" s="11"/>
      <c r="T70" t="s">
        <v>66</v>
      </c>
      <c r="U70" t="s">
        <v>68</v>
      </c>
      <c r="V70" s="1"/>
      <c r="W70" s="1"/>
    </row>
    <row r="71" spans="2:23" x14ac:dyDescent="0.35">
      <c r="B71" s="4">
        <v>30018097</v>
      </c>
      <c r="C71" s="1" t="s">
        <v>576</v>
      </c>
      <c r="D71" s="4" t="s">
        <v>86</v>
      </c>
      <c r="E71" s="3"/>
      <c r="F71" s="3" t="s">
        <v>68</v>
      </c>
      <c r="G71">
        <v>2</v>
      </c>
      <c r="H71" s="4">
        <v>3</v>
      </c>
      <c r="I71" s="4">
        <v>1</v>
      </c>
      <c r="J71" s="4" t="s">
        <v>8</v>
      </c>
      <c r="K71" s="4" t="s">
        <v>9</v>
      </c>
      <c r="L71" s="11"/>
      <c r="M71" s="3"/>
      <c r="N71">
        <v>4502698822</v>
      </c>
      <c r="O71" s="4">
        <v>3</v>
      </c>
      <c r="P71" s="1" t="s">
        <v>1452</v>
      </c>
      <c r="Q71" s="22">
        <v>46216</v>
      </c>
      <c r="R71"/>
      <c r="S71" s="11"/>
      <c r="T71" t="s">
        <v>66</v>
      </c>
      <c r="U71" t="s">
        <v>68</v>
      </c>
      <c r="V71" s="1"/>
      <c r="W71" s="1"/>
    </row>
    <row r="72" spans="2:23" x14ac:dyDescent="0.35">
      <c r="B72" s="4">
        <v>20046229</v>
      </c>
      <c r="C72" s="1" t="s">
        <v>1208</v>
      </c>
      <c r="D72" s="4" t="s">
        <v>86</v>
      </c>
      <c r="E72" s="3"/>
      <c r="F72" s="3" t="s">
        <v>68</v>
      </c>
      <c r="G72">
        <v>70</v>
      </c>
      <c r="H72" s="4">
        <v>100</v>
      </c>
      <c r="I72" s="4">
        <v>77</v>
      </c>
      <c r="J72" s="4" t="s">
        <v>8</v>
      </c>
      <c r="K72" s="4" t="s">
        <v>7</v>
      </c>
      <c r="L72" s="11"/>
      <c r="M72" s="3"/>
      <c r="N72">
        <v>4502698059</v>
      </c>
      <c r="O72" s="4">
        <v>150</v>
      </c>
      <c r="P72" s="1" t="s">
        <v>1583</v>
      </c>
      <c r="Q72" s="22">
        <v>46230</v>
      </c>
      <c r="R72"/>
      <c r="S72" s="11"/>
      <c r="T72" t="s">
        <v>1603</v>
      </c>
      <c r="U72" t="s">
        <v>5559</v>
      </c>
      <c r="V72" s="1"/>
      <c r="W72" s="1"/>
    </row>
    <row r="73" spans="2:23" x14ac:dyDescent="0.35">
      <c r="B73" s="4">
        <v>30028519</v>
      </c>
      <c r="C73" s="1" t="s">
        <v>609</v>
      </c>
      <c r="D73" s="4" t="s">
        <v>86</v>
      </c>
      <c r="E73" s="3"/>
      <c r="F73" s="3" t="s">
        <v>68</v>
      </c>
      <c r="G73">
        <v>2</v>
      </c>
      <c r="H73" s="4">
        <v>2</v>
      </c>
      <c r="I73" s="4">
        <v>0</v>
      </c>
      <c r="J73" s="4" t="s">
        <v>8</v>
      </c>
      <c r="K73" s="4" t="s">
        <v>13</v>
      </c>
      <c r="L73" s="11"/>
      <c r="M73" s="3"/>
      <c r="N73">
        <v>4502697060</v>
      </c>
      <c r="O73" s="4">
        <v>4</v>
      </c>
      <c r="P73" s="1" t="s">
        <v>22</v>
      </c>
      <c r="Q73" s="22">
        <v>46230</v>
      </c>
      <c r="R73"/>
      <c r="S73" s="11"/>
      <c r="T73" t="s">
        <v>69</v>
      </c>
      <c r="U73" t="s">
        <v>3200</v>
      </c>
      <c r="V73" s="1"/>
      <c r="W73" s="1"/>
    </row>
    <row r="74" spans="2:23" x14ac:dyDescent="0.35">
      <c r="B74" s="4">
        <v>30051092</v>
      </c>
      <c r="C74" s="1" t="s">
        <v>745</v>
      </c>
      <c r="D74" s="4" t="s">
        <v>86</v>
      </c>
      <c r="E74" s="3"/>
      <c r="F74" s="3" t="s">
        <v>68</v>
      </c>
      <c r="G74">
        <v>11</v>
      </c>
      <c r="H74" s="4">
        <v>5</v>
      </c>
      <c r="I74" s="4">
        <v>10</v>
      </c>
      <c r="J74" s="4" t="s">
        <v>8</v>
      </c>
      <c r="K74" s="4" t="s">
        <v>9</v>
      </c>
      <c r="L74" s="11"/>
      <c r="M74" s="3"/>
      <c r="N74">
        <v>4502697024</v>
      </c>
      <c r="O74" s="4">
        <v>5</v>
      </c>
      <c r="P74" s="1" t="s">
        <v>1576</v>
      </c>
      <c r="Q74" s="22">
        <v>46233</v>
      </c>
      <c r="R74"/>
      <c r="S74" s="11"/>
      <c r="T74" t="s">
        <v>71</v>
      </c>
      <c r="U74" t="s">
        <v>3200</v>
      </c>
      <c r="V74" s="1"/>
      <c r="W74" s="1"/>
    </row>
    <row r="75" spans="2:23" x14ac:dyDescent="0.35">
      <c r="B75" s="4">
        <v>30051090</v>
      </c>
      <c r="C75" s="1" t="s">
        <v>743</v>
      </c>
      <c r="D75" s="4" t="s">
        <v>86</v>
      </c>
      <c r="E75" s="3"/>
      <c r="F75" s="3" t="s">
        <v>68</v>
      </c>
      <c r="G75">
        <v>7</v>
      </c>
      <c r="H75" s="4">
        <v>4</v>
      </c>
      <c r="I75" s="4">
        <v>3</v>
      </c>
      <c r="J75" s="4" t="s">
        <v>8</v>
      </c>
      <c r="K75" s="4" t="s">
        <v>9</v>
      </c>
      <c r="L75" s="11"/>
      <c r="M75" s="3"/>
      <c r="N75">
        <v>4502696023</v>
      </c>
      <c r="O75" s="4">
        <v>4</v>
      </c>
      <c r="P75" s="1" t="s">
        <v>1576</v>
      </c>
      <c r="Q75" s="22">
        <v>46286</v>
      </c>
      <c r="R75"/>
      <c r="S75" s="11" t="s">
        <v>6866</v>
      </c>
      <c r="T75" t="s">
        <v>70</v>
      </c>
      <c r="U75" t="s">
        <v>68</v>
      </c>
      <c r="V75" s="1"/>
      <c r="W75" s="1"/>
    </row>
    <row r="76" spans="2:23" x14ac:dyDescent="0.35">
      <c r="B76" s="4">
        <v>30051124</v>
      </c>
      <c r="C76" s="1" t="s">
        <v>747</v>
      </c>
      <c r="D76" s="4" t="s">
        <v>86</v>
      </c>
      <c r="E76" s="3"/>
      <c r="F76" s="3" t="s">
        <v>68</v>
      </c>
      <c r="G76">
        <v>16</v>
      </c>
      <c r="H76" s="4">
        <v>16</v>
      </c>
      <c r="I76" s="4">
        <v>18</v>
      </c>
      <c r="J76" s="4" t="s">
        <v>8</v>
      </c>
      <c r="K76" s="4" t="s">
        <v>7</v>
      </c>
      <c r="L76" s="11"/>
      <c r="M76" s="3"/>
      <c r="N76">
        <v>4502696023</v>
      </c>
      <c r="O76" s="4">
        <v>14</v>
      </c>
      <c r="P76" s="1" t="s">
        <v>1576</v>
      </c>
      <c r="Q76" s="22">
        <v>46286</v>
      </c>
      <c r="R76"/>
      <c r="S76" s="11" t="s">
        <v>6866</v>
      </c>
      <c r="T76" t="s">
        <v>70</v>
      </c>
      <c r="U76" t="s">
        <v>68</v>
      </c>
      <c r="V76" s="1"/>
      <c r="W76" s="1"/>
    </row>
    <row r="77" spans="2:23" x14ac:dyDescent="0.35">
      <c r="B77" s="4">
        <v>30006632</v>
      </c>
      <c r="C77" s="1" t="s">
        <v>1124</v>
      </c>
      <c r="D77" s="4" t="s">
        <v>86</v>
      </c>
      <c r="E77" s="3" t="s">
        <v>1225</v>
      </c>
      <c r="F77" s="3" t="s">
        <v>102</v>
      </c>
      <c r="G77">
        <v>3</v>
      </c>
      <c r="H77" s="4">
        <v>2</v>
      </c>
      <c r="I77" s="4">
        <v>3</v>
      </c>
      <c r="J77" s="4" t="s">
        <v>8</v>
      </c>
      <c r="K77" s="5" t="s">
        <v>7</v>
      </c>
      <c r="L77" s="11"/>
      <c r="M77" s="3"/>
      <c r="N77">
        <v>4502694883</v>
      </c>
      <c r="O77" s="4">
        <v>2</v>
      </c>
      <c r="P77" s="1" t="s">
        <v>1563</v>
      </c>
      <c r="Q77" s="22">
        <v>46230</v>
      </c>
      <c r="R77"/>
      <c r="S77" s="11"/>
      <c r="T77" t="s">
        <v>71</v>
      </c>
      <c r="U77" t="s">
        <v>3200</v>
      </c>
      <c r="V77" s="1"/>
      <c r="W77" s="1"/>
    </row>
    <row r="78" spans="2:23" x14ac:dyDescent="0.35">
      <c r="B78" s="4">
        <v>30051088</v>
      </c>
      <c r="C78" s="2" t="s">
        <v>741</v>
      </c>
      <c r="D78" s="4" t="s">
        <v>86</v>
      </c>
      <c r="E78" s="3"/>
      <c r="F78" s="3" t="s">
        <v>68</v>
      </c>
      <c r="G78">
        <v>5</v>
      </c>
      <c r="H78" s="4">
        <v>3</v>
      </c>
      <c r="I78" s="4">
        <v>3</v>
      </c>
      <c r="J78" s="4" t="s">
        <v>8</v>
      </c>
      <c r="K78" s="4" t="s">
        <v>9</v>
      </c>
      <c r="L78" s="11"/>
      <c r="M78" s="3"/>
      <c r="N78">
        <v>4502694826</v>
      </c>
      <c r="O78" s="4">
        <v>3</v>
      </c>
      <c r="P78" s="1" t="s">
        <v>1576</v>
      </c>
      <c r="Q78" s="22">
        <v>46233</v>
      </c>
      <c r="R78"/>
      <c r="S78" s="11"/>
      <c r="T78" t="s">
        <v>71</v>
      </c>
      <c r="U78" t="s">
        <v>3200</v>
      </c>
      <c r="V78" s="1"/>
      <c r="W78" s="1"/>
    </row>
    <row r="79" spans="2:23" x14ac:dyDescent="0.35">
      <c r="B79" s="4">
        <v>30051548</v>
      </c>
      <c r="C79" s="2" t="s">
        <v>1169</v>
      </c>
      <c r="D79" s="4" t="s">
        <v>86</v>
      </c>
      <c r="E79" s="3" t="s">
        <v>1225</v>
      </c>
      <c r="F79" s="3" t="s">
        <v>102</v>
      </c>
      <c r="G79">
        <v>3</v>
      </c>
      <c r="H79" s="4">
        <v>2</v>
      </c>
      <c r="I79" s="4">
        <v>2</v>
      </c>
      <c r="J79" s="4" t="s">
        <v>8</v>
      </c>
      <c r="K79" s="4" t="s">
        <v>9</v>
      </c>
      <c r="L79" s="11"/>
      <c r="M79" s="3"/>
      <c r="N79">
        <v>4502693668</v>
      </c>
      <c r="O79" s="4">
        <v>3</v>
      </c>
      <c r="P79" s="1" t="s">
        <v>1593</v>
      </c>
      <c r="Q79" s="22">
        <v>46350</v>
      </c>
      <c r="R79"/>
      <c r="S79" s="11" t="s">
        <v>6868</v>
      </c>
      <c r="T79" t="s">
        <v>70</v>
      </c>
      <c r="U79" t="s">
        <v>68</v>
      </c>
      <c r="V79" s="1"/>
      <c r="W79" s="1"/>
    </row>
    <row r="80" spans="2:23" x14ac:dyDescent="0.35">
      <c r="B80" s="4">
        <v>20020513</v>
      </c>
      <c r="C80" s="2" t="s">
        <v>1528</v>
      </c>
      <c r="D80" s="4" t="s">
        <v>86</v>
      </c>
      <c r="E80" s="3"/>
      <c r="F80" s="3" t="s">
        <v>68</v>
      </c>
      <c r="G80">
        <v>4</v>
      </c>
      <c r="H80" s="4">
        <v>2</v>
      </c>
      <c r="I80" s="4">
        <v>1</v>
      </c>
      <c r="J80" s="4" t="s">
        <v>8</v>
      </c>
      <c r="K80" s="4" t="s">
        <v>9</v>
      </c>
      <c r="L80" s="11"/>
      <c r="M80" s="3"/>
      <c r="N80">
        <v>4502701319</v>
      </c>
      <c r="O80" s="4">
        <v>3</v>
      </c>
      <c r="P80" s="1" t="s">
        <v>1609</v>
      </c>
      <c r="Q80" s="22">
        <v>46258</v>
      </c>
      <c r="R80"/>
      <c r="S80" s="11"/>
      <c r="T80" t="s">
        <v>67</v>
      </c>
      <c r="U80" t="s">
        <v>3200</v>
      </c>
      <c r="V80" s="1"/>
      <c r="W80" s="1"/>
    </row>
    <row r="81" spans="2:23" x14ac:dyDescent="0.35">
      <c r="B81" s="4">
        <v>20007282</v>
      </c>
      <c r="C81" s="1" t="s">
        <v>144</v>
      </c>
      <c r="D81" s="4" t="s">
        <v>86</v>
      </c>
      <c r="E81" s="3" t="s">
        <v>87</v>
      </c>
      <c r="F81" s="3" t="s">
        <v>89</v>
      </c>
      <c r="G81">
        <v>8</v>
      </c>
      <c r="H81" s="4">
        <v>16</v>
      </c>
      <c r="I81" s="4">
        <v>6</v>
      </c>
      <c r="J81" s="4" t="s">
        <v>8</v>
      </c>
      <c r="K81" s="4" t="s">
        <v>9</v>
      </c>
      <c r="L81" s="11"/>
      <c r="M81" s="3"/>
      <c r="N81">
        <v>4502689155</v>
      </c>
      <c r="O81" s="4">
        <v>16</v>
      </c>
      <c r="P81" s="1" t="s">
        <v>22</v>
      </c>
      <c r="Q81" s="22">
        <v>46206</v>
      </c>
      <c r="R81" t="s">
        <v>88</v>
      </c>
      <c r="S81" s="11"/>
      <c r="T81" t="s">
        <v>1603</v>
      </c>
      <c r="U81" t="s">
        <v>3200</v>
      </c>
      <c r="V81" s="1"/>
      <c r="W81" s="1"/>
    </row>
    <row r="82" spans="2:23" x14ac:dyDescent="0.35">
      <c r="B82" s="4">
        <v>20004989</v>
      </c>
      <c r="C82" s="1" t="s">
        <v>1607</v>
      </c>
      <c r="D82" s="4" t="s">
        <v>86</v>
      </c>
      <c r="E82" s="3"/>
      <c r="F82" s="3" t="s">
        <v>68</v>
      </c>
      <c r="G82">
        <v>2</v>
      </c>
      <c r="H82" s="4">
        <v>2</v>
      </c>
      <c r="I82" s="4">
        <v>0</v>
      </c>
      <c r="J82" s="4" t="s">
        <v>8</v>
      </c>
      <c r="K82" s="4" t="s">
        <v>13</v>
      </c>
      <c r="L82" s="11"/>
      <c r="M82" s="3"/>
      <c r="N82">
        <v>4502686713</v>
      </c>
      <c r="O82" s="4">
        <v>3</v>
      </c>
      <c r="P82" s="1" t="s">
        <v>1604</v>
      </c>
      <c r="Q82" s="22">
        <v>46199</v>
      </c>
      <c r="R82"/>
      <c r="S82" s="11"/>
      <c r="T82" t="s">
        <v>1602</v>
      </c>
      <c r="U82" t="s">
        <v>3200</v>
      </c>
      <c r="V82" s="1"/>
      <c r="W82" s="1"/>
    </row>
    <row r="83" spans="2:23" x14ac:dyDescent="0.35">
      <c r="B83" s="4">
        <v>20019916</v>
      </c>
      <c r="C83" s="1" t="s">
        <v>276</v>
      </c>
      <c r="D83" s="4" t="s">
        <v>86</v>
      </c>
      <c r="E83" s="3"/>
      <c r="F83" s="3" t="s">
        <v>89</v>
      </c>
      <c r="G83">
        <v>15000</v>
      </c>
      <c r="H83" s="4">
        <v>10000</v>
      </c>
      <c r="I83" s="4">
        <v>31400</v>
      </c>
      <c r="J83" s="4" t="s">
        <v>25</v>
      </c>
      <c r="K83" s="4" t="s">
        <v>14</v>
      </c>
      <c r="L83" s="11"/>
      <c r="M83" s="3"/>
      <c r="N83">
        <v>4502682483</v>
      </c>
      <c r="O83" s="4">
        <v>5800</v>
      </c>
      <c r="P83" s="1" t="s">
        <v>1554</v>
      </c>
      <c r="Q83" s="22">
        <v>46202</v>
      </c>
      <c r="R83"/>
      <c r="S83" s="11"/>
      <c r="T83" t="s">
        <v>66</v>
      </c>
      <c r="U83" t="s">
        <v>68</v>
      </c>
      <c r="V83" s="1"/>
      <c r="W83" s="1"/>
    </row>
    <row r="84" spans="2:23" x14ac:dyDescent="0.35">
      <c r="B84" s="4">
        <v>30010272</v>
      </c>
      <c r="C84" s="1" t="s">
        <v>1493</v>
      </c>
      <c r="D84" s="4" t="s">
        <v>86</v>
      </c>
      <c r="E84" s="3"/>
      <c r="F84" s="3" t="s">
        <v>68</v>
      </c>
      <c r="G84">
        <v>6</v>
      </c>
      <c r="H84" s="4">
        <v>3</v>
      </c>
      <c r="I84" s="4">
        <v>1</v>
      </c>
      <c r="J84" s="4" t="s">
        <v>8</v>
      </c>
      <c r="K84" s="4" t="s">
        <v>9</v>
      </c>
      <c r="L84" s="11"/>
      <c r="M84" s="3"/>
      <c r="N84">
        <v>4502682207</v>
      </c>
      <c r="O84" s="4">
        <v>5</v>
      </c>
      <c r="P84" s="1" t="s">
        <v>1582</v>
      </c>
      <c r="Q84" s="22">
        <v>46315</v>
      </c>
      <c r="R84"/>
      <c r="S84" s="11" t="s">
        <v>6869</v>
      </c>
      <c r="T84" t="s">
        <v>67</v>
      </c>
      <c r="U84" t="s">
        <v>68</v>
      </c>
      <c r="V84" s="1"/>
      <c r="W84" s="1"/>
    </row>
    <row r="85" spans="2:23" x14ac:dyDescent="0.35">
      <c r="B85" s="4">
        <v>20026346</v>
      </c>
      <c r="C85" s="1" t="s">
        <v>459</v>
      </c>
      <c r="D85" s="4" t="s">
        <v>86</v>
      </c>
      <c r="E85" s="3"/>
      <c r="F85" s="3" t="s">
        <v>68</v>
      </c>
      <c r="G85">
        <v>6</v>
      </c>
      <c r="H85" s="4">
        <v>10</v>
      </c>
      <c r="I85" s="4">
        <v>3</v>
      </c>
      <c r="J85" s="4" t="s">
        <v>8</v>
      </c>
      <c r="K85" s="4" t="s">
        <v>9</v>
      </c>
      <c r="L85" s="11"/>
      <c r="M85" s="3"/>
      <c r="N85">
        <v>4502679143</v>
      </c>
      <c r="O85" s="4">
        <v>6</v>
      </c>
      <c r="P85" s="1" t="s">
        <v>1573</v>
      </c>
      <c r="Q85" s="22">
        <v>46213</v>
      </c>
      <c r="R85"/>
      <c r="S85" s="11"/>
      <c r="T85" t="s">
        <v>1602</v>
      </c>
      <c r="U85" t="s">
        <v>3200</v>
      </c>
      <c r="V85" s="1"/>
      <c r="W85" s="1"/>
    </row>
    <row r="86" spans="2:23" x14ac:dyDescent="0.35">
      <c r="B86" s="4">
        <v>20011962</v>
      </c>
      <c r="C86" s="1" t="s">
        <v>789</v>
      </c>
      <c r="D86" s="4" t="s">
        <v>86</v>
      </c>
      <c r="E86" s="3"/>
      <c r="F86" s="3" t="s">
        <v>68</v>
      </c>
      <c r="G86">
        <v>3</v>
      </c>
      <c r="H86" s="4">
        <v>5</v>
      </c>
      <c r="I86" s="4">
        <v>2</v>
      </c>
      <c r="J86" s="4" t="s">
        <v>8</v>
      </c>
      <c r="K86" s="4" t="s">
        <v>9</v>
      </c>
      <c r="L86" s="11"/>
      <c r="M86" s="3"/>
      <c r="N86">
        <v>4502666756</v>
      </c>
      <c r="O86" s="4">
        <v>3</v>
      </c>
      <c r="P86" s="1" t="s">
        <v>1573</v>
      </c>
      <c r="Q86" s="22">
        <v>46161</v>
      </c>
      <c r="R86"/>
      <c r="S86" s="11"/>
      <c r="T86" t="s">
        <v>1602</v>
      </c>
      <c r="U86" t="s">
        <v>5714</v>
      </c>
      <c r="V86" s="1"/>
      <c r="W86" s="1"/>
    </row>
    <row r="87" spans="2:23" x14ac:dyDescent="0.35">
      <c r="B87" s="4">
        <v>30043661</v>
      </c>
      <c r="C87" s="1" t="s">
        <v>717</v>
      </c>
      <c r="D87" s="4" t="s">
        <v>86</v>
      </c>
      <c r="E87" s="3"/>
      <c r="F87" s="3" t="s">
        <v>68</v>
      </c>
      <c r="G87">
        <v>2</v>
      </c>
      <c r="H87" s="4">
        <v>1</v>
      </c>
      <c r="I87" s="4">
        <v>0</v>
      </c>
      <c r="J87" s="4" t="s">
        <v>8</v>
      </c>
      <c r="K87" s="4" t="s">
        <v>13</v>
      </c>
      <c r="L87" s="11"/>
      <c r="M87" s="3"/>
      <c r="N87">
        <v>4502662897</v>
      </c>
      <c r="O87" s="4">
        <v>2</v>
      </c>
      <c r="P87" s="1" t="s">
        <v>1572</v>
      </c>
      <c r="Q87" s="22">
        <v>46161</v>
      </c>
      <c r="R87"/>
      <c r="S87" s="11" t="s">
        <v>6870</v>
      </c>
      <c r="T87" t="s">
        <v>67</v>
      </c>
      <c r="U87" t="s">
        <v>3200</v>
      </c>
      <c r="V87" s="1"/>
      <c r="W87" s="1"/>
    </row>
    <row r="88" spans="2:23" x14ac:dyDescent="0.35">
      <c r="B88" s="4">
        <v>30030969</v>
      </c>
      <c r="C88" s="1" t="s">
        <v>619</v>
      </c>
      <c r="D88" s="4" t="s">
        <v>86</v>
      </c>
      <c r="E88" s="3"/>
      <c r="F88" s="3" t="s">
        <v>68</v>
      </c>
      <c r="G88">
        <v>3</v>
      </c>
      <c r="H88" s="4">
        <v>4</v>
      </c>
      <c r="I88" s="4">
        <v>1</v>
      </c>
      <c r="J88" s="4" t="s">
        <v>8</v>
      </c>
      <c r="K88" s="4" t="s">
        <v>9</v>
      </c>
      <c r="L88" s="11"/>
      <c r="M88" s="3"/>
      <c r="N88">
        <v>4502655035</v>
      </c>
      <c r="O88" s="4">
        <v>5</v>
      </c>
      <c r="P88" s="1" t="s">
        <v>1568</v>
      </c>
      <c r="Q88" s="22">
        <v>46224</v>
      </c>
      <c r="R88"/>
      <c r="S88" s="11"/>
      <c r="T88" t="s">
        <v>67</v>
      </c>
      <c r="U88" t="s">
        <v>6845</v>
      </c>
      <c r="V88" s="1"/>
      <c r="W88" s="1"/>
    </row>
    <row r="89" spans="2:23" x14ac:dyDescent="0.35">
      <c r="B89" s="4">
        <v>30010989</v>
      </c>
      <c r="C89" s="1" t="s">
        <v>1465</v>
      </c>
      <c r="D89" s="4" t="s">
        <v>86</v>
      </c>
      <c r="E89" s="3"/>
      <c r="F89" s="3" t="s">
        <v>68</v>
      </c>
      <c r="G89">
        <v>5</v>
      </c>
      <c r="H89" s="4">
        <v>2</v>
      </c>
      <c r="I89" s="4">
        <v>6</v>
      </c>
      <c r="J89" s="4" t="s">
        <v>8</v>
      </c>
      <c r="K89" s="4" t="s">
        <v>7</v>
      </c>
      <c r="L89" s="11"/>
      <c r="M89" s="3"/>
      <c r="N89">
        <v>4502655014</v>
      </c>
      <c r="O89" s="4">
        <v>4</v>
      </c>
      <c r="P89" s="1" t="s">
        <v>1452</v>
      </c>
      <c r="Q89" s="22">
        <v>46140</v>
      </c>
      <c r="R89"/>
      <c r="S89" s="11"/>
      <c r="T89" t="s">
        <v>70</v>
      </c>
      <c r="U89" t="s">
        <v>4999</v>
      </c>
      <c r="V89" s="1"/>
      <c r="W89" s="1"/>
    </row>
    <row r="90" spans="2:23" x14ac:dyDescent="0.35">
      <c r="B90" s="4">
        <v>30010931</v>
      </c>
      <c r="C90" s="1" t="s">
        <v>557</v>
      </c>
      <c r="D90" s="4" t="s">
        <v>86</v>
      </c>
      <c r="E90" s="3"/>
      <c r="F90" s="3" t="s">
        <v>68</v>
      </c>
      <c r="G90">
        <v>15</v>
      </c>
      <c r="H90" s="4">
        <v>10</v>
      </c>
      <c r="I90" s="4">
        <v>12</v>
      </c>
      <c r="J90" s="4" t="s">
        <v>8</v>
      </c>
      <c r="K90" s="4" t="s">
        <v>9</v>
      </c>
      <c r="L90" s="11"/>
      <c r="M90" s="3"/>
      <c r="N90">
        <v>4502655014</v>
      </c>
      <c r="O90" s="4">
        <v>2</v>
      </c>
      <c r="P90" s="1" t="s">
        <v>1452</v>
      </c>
      <c r="Q90" s="22">
        <v>46140</v>
      </c>
      <c r="R90"/>
      <c r="S90" s="11"/>
      <c r="T90" t="s">
        <v>70</v>
      </c>
      <c r="U90" t="s">
        <v>4999</v>
      </c>
      <c r="V90" s="1"/>
      <c r="W90" s="1"/>
    </row>
    <row r="91" spans="2:23" x14ac:dyDescent="0.35">
      <c r="B91" s="4">
        <v>30023839</v>
      </c>
      <c r="C91" s="1" t="s">
        <v>594</v>
      </c>
      <c r="D91" s="4" t="s">
        <v>86</v>
      </c>
      <c r="E91" s="3"/>
      <c r="F91" s="3" t="s">
        <v>68</v>
      </c>
      <c r="G91">
        <v>6</v>
      </c>
      <c r="H91" s="4">
        <v>4</v>
      </c>
      <c r="I91" s="4">
        <v>4</v>
      </c>
      <c r="J91" s="4" t="s">
        <v>8</v>
      </c>
      <c r="K91" s="4" t="s">
        <v>9</v>
      </c>
      <c r="L91" s="11"/>
      <c r="M91" s="3"/>
      <c r="N91">
        <v>4502631216</v>
      </c>
      <c r="O91" s="4">
        <v>4</v>
      </c>
      <c r="P91" s="1" t="s">
        <v>1558</v>
      </c>
      <c r="Q91" s="22">
        <v>46142</v>
      </c>
      <c r="R91"/>
      <c r="S91" s="11"/>
      <c r="T91" t="s">
        <v>70</v>
      </c>
      <c r="U91" t="s">
        <v>5948</v>
      </c>
      <c r="V91" s="1"/>
      <c r="W91" s="1"/>
    </row>
    <row r="92" spans="2:23" x14ac:dyDescent="0.35">
      <c r="B92" s="4">
        <v>20009248</v>
      </c>
      <c r="C92" s="1" t="s">
        <v>163</v>
      </c>
      <c r="D92" s="4" t="s">
        <v>86</v>
      </c>
      <c r="E92" s="3" t="s">
        <v>87</v>
      </c>
      <c r="F92" s="3" t="s">
        <v>89</v>
      </c>
      <c r="G92">
        <v>200</v>
      </c>
      <c r="H92" s="4">
        <v>200</v>
      </c>
      <c r="I92" s="4">
        <v>390</v>
      </c>
      <c r="J92" s="4" t="s">
        <v>8</v>
      </c>
      <c r="K92" s="4" t="s">
        <v>7</v>
      </c>
      <c r="L92" s="11"/>
      <c r="M92" s="3"/>
      <c r="N92">
        <v>4502620991</v>
      </c>
      <c r="O92" s="4">
        <v>200</v>
      </c>
      <c r="P92" s="1" t="s">
        <v>1608</v>
      </c>
      <c r="Q92" s="22">
        <v>46041</v>
      </c>
      <c r="R92" t="s">
        <v>88</v>
      </c>
      <c r="S92" s="11"/>
      <c r="T92" t="s">
        <v>66</v>
      </c>
      <c r="U92" t="s">
        <v>4039</v>
      </c>
      <c r="V92" s="1"/>
      <c r="W92" s="1"/>
    </row>
    <row r="93" spans="2:23" x14ac:dyDescent="0.35">
      <c r="B93" s="4">
        <v>30039035</v>
      </c>
      <c r="C93" s="1" t="s">
        <v>652</v>
      </c>
      <c r="D93" s="4" t="s">
        <v>86</v>
      </c>
      <c r="E93" s="3"/>
      <c r="F93" s="3" t="s">
        <v>68</v>
      </c>
      <c r="G93">
        <v>2</v>
      </c>
      <c r="H93" s="4">
        <v>4</v>
      </c>
      <c r="I93" s="4">
        <v>0</v>
      </c>
      <c r="J93" s="4" t="s">
        <v>8</v>
      </c>
      <c r="K93" s="4" t="s">
        <v>13</v>
      </c>
      <c r="L93" s="11"/>
      <c r="M93" s="3"/>
      <c r="N93">
        <v>4502511982</v>
      </c>
      <c r="O93" s="4">
        <v>4</v>
      </c>
      <c r="P93" s="1" t="s">
        <v>1396</v>
      </c>
      <c r="Q93" s="22">
        <v>45743</v>
      </c>
      <c r="R93"/>
      <c r="S93" s="11" t="s">
        <v>6871</v>
      </c>
      <c r="T93" t="s">
        <v>66</v>
      </c>
      <c r="U93" t="s">
        <v>4764</v>
      </c>
      <c r="V93" s="1"/>
      <c r="W93" s="1"/>
    </row>
    <row r="94" spans="2:23" x14ac:dyDescent="0.35">
      <c r="B94" s="4">
        <v>30041029</v>
      </c>
      <c r="C94" s="1" t="s">
        <v>683</v>
      </c>
      <c r="D94" s="4" t="s">
        <v>86</v>
      </c>
      <c r="E94" s="3"/>
      <c r="F94" s="3" t="s">
        <v>68</v>
      </c>
      <c r="G94">
        <v>20</v>
      </c>
      <c r="H94" s="4">
        <v>10</v>
      </c>
      <c r="I94" s="4">
        <v>5</v>
      </c>
      <c r="J94" s="4" t="s">
        <v>8</v>
      </c>
      <c r="K94" s="4" t="s">
        <v>9</v>
      </c>
      <c r="L94" s="11"/>
      <c r="M94" s="3"/>
      <c r="N94">
        <v>4502503608</v>
      </c>
      <c r="O94" s="4">
        <v>13</v>
      </c>
      <c r="P94" s="1" t="s">
        <v>1519</v>
      </c>
      <c r="Q94" s="22">
        <v>45758</v>
      </c>
      <c r="R94"/>
      <c r="S94" s="11" t="s">
        <v>6872</v>
      </c>
      <c r="T94" t="s">
        <v>70</v>
      </c>
      <c r="U94" t="s">
        <v>4044</v>
      </c>
      <c r="V94" s="1"/>
      <c r="W94" s="1"/>
    </row>
    <row r="95" spans="2:23" x14ac:dyDescent="0.35">
      <c r="B95" s="4">
        <v>30030170</v>
      </c>
      <c r="C95" s="1" t="s">
        <v>617</v>
      </c>
      <c r="D95" s="4" t="s">
        <v>86</v>
      </c>
      <c r="E95" s="3"/>
      <c r="F95" s="3" t="s">
        <v>68</v>
      </c>
      <c r="G95">
        <v>2</v>
      </c>
      <c r="H95" s="4">
        <v>3</v>
      </c>
      <c r="I95" s="4">
        <v>0</v>
      </c>
      <c r="J95" s="4" t="s">
        <v>8</v>
      </c>
      <c r="K95" s="4" t="s">
        <v>13</v>
      </c>
      <c r="L95" s="11"/>
      <c r="M95" s="3"/>
      <c r="N95">
        <v>4502486323</v>
      </c>
      <c r="O95" s="4">
        <v>3</v>
      </c>
      <c r="P95" s="1" t="s">
        <v>1427</v>
      </c>
      <c r="Q95" s="22">
        <v>46196</v>
      </c>
      <c r="R95"/>
      <c r="S95" s="11" t="s">
        <v>6872</v>
      </c>
      <c r="T95" t="s">
        <v>67</v>
      </c>
      <c r="U95" t="s">
        <v>6149</v>
      </c>
      <c r="V95" s="1"/>
      <c r="W95" s="1"/>
    </row>
    <row r="96" spans="2:23" x14ac:dyDescent="0.35">
      <c r="B96" s="4">
        <v>20004806</v>
      </c>
      <c r="C96" s="1" t="s">
        <v>1211</v>
      </c>
      <c r="D96" s="4" t="s">
        <v>86</v>
      </c>
      <c r="E96" s="3" t="s">
        <v>87</v>
      </c>
      <c r="F96" s="3" t="s">
        <v>89</v>
      </c>
      <c r="G96">
        <v>40</v>
      </c>
      <c r="H96" s="4">
        <v>50</v>
      </c>
      <c r="I96" s="4">
        <v>119</v>
      </c>
      <c r="J96" s="4" t="s">
        <v>8</v>
      </c>
      <c r="K96" s="4" t="s">
        <v>14</v>
      </c>
      <c r="L96" s="11"/>
      <c r="M96" s="3"/>
      <c r="N96"/>
      <c r="O96" s="4"/>
      <c r="P96" s="1"/>
      <c r="Q96" s="22"/>
      <c r="R96" t="s">
        <v>88</v>
      </c>
      <c r="S96" s="11"/>
      <c r="T96" t="s">
        <v>66</v>
      </c>
      <c r="U96"/>
      <c r="V96" s="1"/>
      <c r="W96" s="1"/>
    </row>
    <row r="97" spans="2:23" x14ac:dyDescent="0.35">
      <c r="B97" s="4">
        <v>20004808</v>
      </c>
      <c r="C97" s="1" t="s">
        <v>93</v>
      </c>
      <c r="D97" s="4" t="s">
        <v>86</v>
      </c>
      <c r="E97" s="3"/>
      <c r="F97" s="3" t="s">
        <v>89</v>
      </c>
      <c r="G97">
        <v>200</v>
      </c>
      <c r="H97" s="4">
        <v>300</v>
      </c>
      <c r="I97" s="4">
        <v>149</v>
      </c>
      <c r="J97" s="4" t="s">
        <v>8</v>
      </c>
      <c r="K97" s="4" t="s">
        <v>9</v>
      </c>
      <c r="L97" s="11">
        <v>1002717000</v>
      </c>
      <c r="M97" s="3">
        <v>400</v>
      </c>
      <c r="N97"/>
      <c r="O97" s="4"/>
      <c r="P97" s="1"/>
      <c r="Q97" s="22"/>
      <c r="R97" t="s">
        <v>94</v>
      </c>
      <c r="S97" s="11"/>
      <c r="T97" t="s">
        <v>1602</v>
      </c>
      <c r="U97"/>
      <c r="V97" s="1"/>
      <c r="W97" s="1"/>
    </row>
    <row r="98" spans="2:23" x14ac:dyDescent="0.35">
      <c r="B98" s="4">
        <v>20019781</v>
      </c>
      <c r="C98" s="1" t="s">
        <v>90</v>
      </c>
      <c r="D98" s="4" t="s">
        <v>86</v>
      </c>
      <c r="E98" s="3" t="s">
        <v>91</v>
      </c>
      <c r="F98" s="3" t="s">
        <v>89</v>
      </c>
      <c r="G98">
        <v>75</v>
      </c>
      <c r="H98" s="4">
        <v>100</v>
      </c>
      <c r="I98" s="4">
        <v>150</v>
      </c>
      <c r="J98" s="4" t="s">
        <v>8</v>
      </c>
      <c r="K98" s="4" t="s">
        <v>7</v>
      </c>
      <c r="L98" s="11"/>
      <c r="M98" s="3"/>
      <c r="N98"/>
      <c r="O98" s="4"/>
      <c r="P98" s="1"/>
      <c r="Q98" s="22"/>
      <c r="R98" t="s">
        <v>92</v>
      </c>
      <c r="S98" s="11"/>
      <c r="T98" t="s">
        <v>1603</v>
      </c>
      <c r="U98"/>
      <c r="V98" s="1"/>
      <c r="W98" s="1"/>
    </row>
    <row r="99" spans="2:23" x14ac:dyDescent="0.35">
      <c r="B99" s="4">
        <v>20004847</v>
      </c>
      <c r="C99" s="1" t="s">
        <v>1339</v>
      </c>
      <c r="D99" s="4" t="s">
        <v>86</v>
      </c>
      <c r="E99" s="3"/>
      <c r="F99" s="3" t="s">
        <v>68</v>
      </c>
      <c r="G99">
        <v>5</v>
      </c>
      <c r="H99" s="4">
        <v>10</v>
      </c>
      <c r="I99" s="4">
        <v>14</v>
      </c>
      <c r="J99" s="4" t="s">
        <v>8</v>
      </c>
      <c r="K99" s="4" t="s">
        <v>7</v>
      </c>
      <c r="L99" s="11"/>
      <c r="M99" s="3"/>
      <c r="N99"/>
      <c r="O99" s="4"/>
      <c r="P99" s="1"/>
      <c r="Q99" s="22"/>
      <c r="R99"/>
      <c r="S99" s="11"/>
      <c r="T99" t="s">
        <v>66</v>
      </c>
      <c r="U99"/>
      <c r="V99" s="1"/>
      <c r="W99" s="1"/>
    </row>
    <row r="100" spans="2:23" x14ac:dyDescent="0.35">
      <c r="B100" s="4">
        <v>20004885</v>
      </c>
      <c r="C100" s="1" t="s">
        <v>1229</v>
      </c>
      <c r="D100" s="4" t="s">
        <v>86</v>
      </c>
      <c r="E100" s="3"/>
      <c r="F100" s="3" t="s">
        <v>68</v>
      </c>
      <c r="G100">
        <v>5</v>
      </c>
      <c r="H100" s="4">
        <v>10</v>
      </c>
      <c r="I100" s="4">
        <v>13</v>
      </c>
      <c r="J100" s="4" t="s">
        <v>24</v>
      </c>
      <c r="K100" s="4" t="s">
        <v>7</v>
      </c>
      <c r="L100" s="11"/>
      <c r="M100" s="3"/>
      <c r="N100"/>
      <c r="O100" s="4"/>
      <c r="P100" s="1"/>
      <c r="Q100" s="22"/>
      <c r="R100"/>
      <c r="S100" s="11"/>
      <c r="T100" t="s">
        <v>1602</v>
      </c>
      <c r="U100"/>
      <c r="V100" s="1"/>
      <c r="W100" s="1"/>
    </row>
    <row r="101" spans="2:23" x14ac:dyDescent="0.35">
      <c r="B101" s="4">
        <v>20014604</v>
      </c>
      <c r="C101" s="1" t="s">
        <v>95</v>
      </c>
      <c r="D101" s="4" t="s">
        <v>86</v>
      </c>
      <c r="E101" s="75" t="s">
        <v>91</v>
      </c>
      <c r="F101" s="3" t="s">
        <v>89</v>
      </c>
      <c r="G101">
        <v>5</v>
      </c>
      <c r="H101" s="4">
        <v>10</v>
      </c>
      <c r="I101" s="4">
        <v>14</v>
      </c>
      <c r="J101" s="4" t="s">
        <v>354</v>
      </c>
      <c r="K101" s="4" t="s">
        <v>7</v>
      </c>
      <c r="L101" s="11"/>
      <c r="M101" s="3"/>
      <c r="N101"/>
      <c r="O101" s="4"/>
      <c r="P101" s="1"/>
      <c r="Q101" s="22"/>
      <c r="R101" t="s">
        <v>92</v>
      </c>
      <c r="S101" s="11"/>
      <c r="T101" t="s">
        <v>1603</v>
      </c>
      <c r="U101"/>
      <c r="V101" s="1"/>
      <c r="W101" s="1"/>
    </row>
    <row r="102" spans="2:23" x14ac:dyDescent="0.35">
      <c r="B102" s="4">
        <v>20004886</v>
      </c>
      <c r="C102" s="1" t="s">
        <v>1230</v>
      </c>
      <c r="D102" s="4" t="s">
        <v>86</v>
      </c>
      <c r="E102" s="3"/>
      <c r="F102" s="3" t="s">
        <v>68</v>
      </c>
      <c r="G102">
        <v>2</v>
      </c>
      <c r="H102" s="4">
        <v>2</v>
      </c>
      <c r="I102" s="4">
        <v>28</v>
      </c>
      <c r="J102" s="4" t="s">
        <v>8</v>
      </c>
      <c r="K102" s="4" t="s">
        <v>14</v>
      </c>
      <c r="L102" s="11"/>
      <c r="M102" s="3"/>
      <c r="N102"/>
      <c r="O102" s="4"/>
      <c r="P102" s="1"/>
      <c r="Q102" s="22"/>
      <c r="R102"/>
      <c r="S102" s="11"/>
      <c r="T102" t="s">
        <v>1602</v>
      </c>
      <c r="U102"/>
      <c r="V102" s="1"/>
      <c r="W102" s="1"/>
    </row>
    <row r="103" spans="2:23" x14ac:dyDescent="0.35">
      <c r="B103" s="4">
        <v>20004927</v>
      </c>
      <c r="C103" s="1" t="s">
        <v>1405</v>
      </c>
      <c r="D103" s="4" t="s">
        <v>86</v>
      </c>
      <c r="E103" s="3"/>
      <c r="F103" s="3" t="s">
        <v>68</v>
      </c>
      <c r="G103">
        <v>50</v>
      </c>
      <c r="H103" s="4">
        <v>100</v>
      </c>
      <c r="I103" s="4">
        <v>100</v>
      </c>
      <c r="J103" s="4" t="s">
        <v>353</v>
      </c>
      <c r="K103" s="4" t="s">
        <v>7</v>
      </c>
      <c r="L103" s="11"/>
      <c r="M103" s="3"/>
      <c r="N103"/>
      <c r="O103" s="4"/>
      <c r="P103" s="1"/>
      <c r="Q103" s="22"/>
      <c r="R103"/>
      <c r="S103" s="11"/>
      <c r="T103" t="s">
        <v>1602</v>
      </c>
      <c r="U103"/>
      <c r="V103" s="1"/>
      <c r="W103" s="1"/>
    </row>
    <row r="104" spans="2:23" x14ac:dyDescent="0.35">
      <c r="B104" s="4">
        <v>20004931</v>
      </c>
      <c r="C104" s="1" t="s">
        <v>96</v>
      </c>
      <c r="D104" s="4" t="s">
        <v>86</v>
      </c>
      <c r="E104" s="3" t="s">
        <v>97</v>
      </c>
      <c r="F104" s="3" t="s">
        <v>89</v>
      </c>
      <c r="G104">
        <v>1001</v>
      </c>
      <c r="H104" s="4">
        <v>3000</v>
      </c>
      <c r="I104" s="4">
        <v>2000</v>
      </c>
      <c r="J104" s="4" t="s">
        <v>353</v>
      </c>
      <c r="K104" s="4" t="s">
        <v>7</v>
      </c>
      <c r="L104" s="11"/>
      <c r="M104" s="3"/>
      <c r="N104"/>
      <c r="O104" s="4"/>
      <c r="P104" s="1"/>
      <c r="Q104" s="22"/>
      <c r="R104" t="s">
        <v>98</v>
      </c>
      <c r="S104" s="11"/>
      <c r="T104" t="s">
        <v>1602</v>
      </c>
      <c r="U104"/>
      <c r="V104" s="1"/>
      <c r="W104" s="1"/>
    </row>
    <row r="105" spans="2:23" x14ac:dyDescent="0.35">
      <c r="B105" s="4">
        <v>20004932</v>
      </c>
      <c r="C105" s="1" t="s">
        <v>1231</v>
      </c>
      <c r="D105" s="4" t="s">
        <v>86</v>
      </c>
      <c r="E105" s="3"/>
      <c r="F105" s="3" t="s">
        <v>68</v>
      </c>
      <c r="G105">
        <v>250</v>
      </c>
      <c r="H105" s="4">
        <v>250</v>
      </c>
      <c r="I105" s="4">
        <v>1000</v>
      </c>
      <c r="J105" s="4" t="s">
        <v>353</v>
      </c>
      <c r="K105" s="4" t="s">
        <v>14</v>
      </c>
      <c r="L105" s="11"/>
      <c r="M105" s="3"/>
      <c r="N105"/>
      <c r="O105" s="4"/>
      <c r="P105" s="1"/>
      <c r="Q105" s="22"/>
      <c r="R105"/>
      <c r="S105" s="11"/>
      <c r="T105" t="s">
        <v>1602</v>
      </c>
      <c r="U105"/>
      <c r="V105" s="1"/>
      <c r="W105" s="1"/>
    </row>
    <row r="106" spans="2:23" x14ac:dyDescent="0.35">
      <c r="B106" s="4">
        <v>20004936</v>
      </c>
      <c r="C106" s="1" t="s">
        <v>99</v>
      </c>
      <c r="D106" s="4" t="s">
        <v>86</v>
      </c>
      <c r="E106" s="3" t="s">
        <v>97</v>
      </c>
      <c r="F106" s="3" t="s">
        <v>89</v>
      </c>
      <c r="G106">
        <v>2</v>
      </c>
      <c r="H106" s="4">
        <v>3</v>
      </c>
      <c r="I106" s="4">
        <v>5</v>
      </c>
      <c r="J106" s="4" t="s">
        <v>24</v>
      </c>
      <c r="K106" s="4" t="s">
        <v>7</v>
      </c>
      <c r="L106" s="11"/>
      <c r="M106" s="3"/>
      <c r="N106"/>
      <c r="O106" s="4"/>
      <c r="P106" s="1"/>
      <c r="Q106" s="22"/>
      <c r="R106" t="s">
        <v>98</v>
      </c>
      <c r="S106" s="11"/>
      <c r="T106" t="s">
        <v>1602</v>
      </c>
      <c r="U106"/>
      <c r="V106" s="1"/>
      <c r="W106" s="1"/>
    </row>
    <row r="107" spans="2:23" x14ac:dyDescent="0.35">
      <c r="B107" s="4">
        <v>20004983</v>
      </c>
      <c r="C107" s="1" t="s">
        <v>100</v>
      </c>
      <c r="D107" s="4" t="s">
        <v>86</v>
      </c>
      <c r="E107" s="3" t="s">
        <v>97</v>
      </c>
      <c r="F107" s="3" t="s">
        <v>89</v>
      </c>
      <c r="G107">
        <v>1</v>
      </c>
      <c r="H107" s="4">
        <v>3</v>
      </c>
      <c r="I107" s="4">
        <v>7</v>
      </c>
      <c r="J107" s="4" t="s">
        <v>24</v>
      </c>
      <c r="K107" s="4" t="s">
        <v>14</v>
      </c>
      <c r="L107" s="11"/>
      <c r="M107" s="3"/>
      <c r="N107"/>
      <c r="O107" s="4"/>
      <c r="P107" s="1"/>
      <c r="Q107" s="22"/>
      <c r="R107" t="s">
        <v>98</v>
      </c>
      <c r="S107" s="11"/>
      <c r="T107" t="s">
        <v>1602</v>
      </c>
      <c r="U107"/>
      <c r="V107" s="1"/>
      <c r="W107" s="1"/>
    </row>
    <row r="108" spans="2:23" x14ac:dyDescent="0.35">
      <c r="B108" s="4">
        <v>20004986</v>
      </c>
      <c r="C108" s="1" t="s">
        <v>1232</v>
      </c>
      <c r="D108" s="4" t="s">
        <v>86</v>
      </c>
      <c r="E108" s="3"/>
      <c r="F108" s="3" t="s">
        <v>68</v>
      </c>
      <c r="G108">
        <v>4</v>
      </c>
      <c r="H108" s="4">
        <v>4</v>
      </c>
      <c r="I108" s="4">
        <v>7</v>
      </c>
      <c r="J108" s="4" t="s">
        <v>8</v>
      </c>
      <c r="K108" s="4" t="s">
        <v>7</v>
      </c>
      <c r="L108" s="11"/>
      <c r="M108" s="3"/>
      <c r="N108"/>
      <c r="O108" s="4"/>
      <c r="P108" s="1"/>
      <c r="Q108" s="22"/>
      <c r="R108"/>
      <c r="S108" s="11"/>
      <c r="T108" t="s">
        <v>1602</v>
      </c>
      <c r="U108"/>
      <c r="V108" s="1"/>
      <c r="W108" s="1"/>
    </row>
    <row r="109" spans="2:23" x14ac:dyDescent="0.35">
      <c r="B109" s="4">
        <v>20005053</v>
      </c>
      <c r="C109" s="1" t="s">
        <v>101</v>
      </c>
      <c r="D109" s="4" t="s">
        <v>86</v>
      </c>
      <c r="E109" s="3" t="s">
        <v>97</v>
      </c>
      <c r="F109" s="3" t="s">
        <v>89</v>
      </c>
      <c r="G109">
        <v>13</v>
      </c>
      <c r="H109" s="4">
        <v>20</v>
      </c>
      <c r="I109" s="4">
        <v>121</v>
      </c>
      <c r="J109" s="4" t="s">
        <v>23</v>
      </c>
      <c r="K109" s="5" t="s">
        <v>14</v>
      </c>
      <c r="L109" s="11"/>
      <c r="M109" s="3"/>
      <c r="N109"/>
      <c r="O109" s="4"/>
      <c r="P109" s="1"/>
      <c r="Q109" s="22"/>
      <c r="R109" t="s">
        <v>98</v>
      </c>
      <c r="S109" s="11"/>
      <c r="T109" t="s">
        <v>1602</v>
      </c>
      <c r="U109"/>
      <c r="V109" s="1"/>
      <c r="W109" s="1"/>
    </row>
    <row r="110" spans="2:23" x14ac:dyDescent="0.35">
      <c r="B110" s="4">
        <v>20004987</v>
      </c>
      <c r="C110" s="1" t="s">
        <v>1605</v>
      </c>
      <c r="D110" s="4" t="s">
        <v>86</v>
      </c>
      <c r="E110" s="3"/>
      <c r="F110" s="3" t="s">
        <v>68</v>
      </c>
      <c r="G110">
        <v>2</v>
      </c>
      <c r="H110" s="4">
        <v>2</v>
      </c>
      <c r="I110" s="4">
        <v>2</v>
      </c>
      <c r="J110" s="4" t="s">
        <v>8</v>
      </c>
      <c r="K110" s="4" t="s">
        <v>7</v>
      </c>
      <c r="L110" s="11"/>
      <c r="M110" s="3"/>
      <c r="N110"/>
      <c r="O110" s="4"/>
      <c r="P110" s="1"/>
      <c r="Q110" s="22"/>
      <c r="R110"/>
      <c r="S110" s="11"/>
      <c r="T110" t="s">
        <v>1602</v>
      </c>
      <c r="U110"/>
      <c r="V110" s="1"/>
      <c r="W110" s="1"/>
    </row>
    <row r="111" spans="2:23" x14ac:dyDescent="0.35">
      <c r="B111" s="4">
        <v>20004988</v>
      </c>
      <c r="C111" s="1" t="s">
        <v>1606</v>
      </c>
      <c r="D111" s="4" t="s">
        <v>86</v>
      </c>
      <c r="E111" s="3"/>
      <c r="F111" s="3" t="s">
        <v>68</v>
      </c>
      <c r="G111">
        <v>2</v>
      </c>
      <c r="H111" s="4">
        <v>2</v>
      </c>
      <c r="I111" s="4">
        <v>2</v>
      </c>
      <c r="J111" s="4" t="s">
        <v>8</v>
      </c>
      <c r="K111" s="4" t="s">
        <v>7</v>
      </c>
      <c r="L111" s="11"/>
      <c r="M111" s="3"/>
      <c r="N111"/>
      <c r="O111" s="4"/>
      <c r="P111" s="1"/>
      <c r="Q111" s="22"/>
      <c r="R111"/>
      <c r="S111" s="11"/>
      <c r="T111" t="s">
        <v>1602</v>
      </c>
      <c r="U111"/>
      <c r="V111" s="1"/>
      <c r="W111" s="1"/>
    </row>
    <row r="112" spans="2:23" x14ac:dyDescent="0.35">
      <c r="B112" s="4">
        <v>20019900</v>
      </c>
      <c r="C112" s="1" t="s">
        <v>103</v>
      </c>
      <c r="D112" s="4" t="s">
        <v>86</v>
      </c>
      <c r="E112" s="3" t="s">
        <v>87</v>
      </c>
      <c r="F112" s="3" t="s">
        <v>89</v>
      </c>
      <c r="G112">
        <v>50</v>
      </c>
      <c r="H112" s="4">
        <v>30</v>
      </c>
      <c r="I112" s="4">
        <v>65</v>
      </c>
      <c r="J112" s="4" t="s">
        <v>8</v>
      </c>
      <c r="K112" s="5" t="s">
        <v>7</v>
      </c>
      <c r="L112" s="11"/>
      <c r="M112" s="3"/>
      <c r="N112"/>
      <c r="O112" s="4"/>
      <c r="P112" s="1"/>
      <c r="Q112" s="22"/>
      <c r="R112" t="s">
        <v>88</v>
      </c>
      <c r="S112" s="11"/>
      <c r="T112" t="s">
        <v>66</v>
      </c>
      <c r="U112"/>
      <c r="V112" s="1"/>
      <c r="W112" s="1"/>
    </row>
    <row r="113" spans="2:23" x14ac:dyDescent="0.35">
      <c r="B113" s="4">
        <v>20005239</v>
      </c>
      <c r="C113" s="1" t="s">
        <v>104</v>
      </c>
      <c r="D113" s="4" t="s">
        <v>86</v>
      </c>
      <c r="E113" s="3" t="s">
        <v>97</v>
      </c>
      <c r="F113" s="3" t="s">
        <v>89</v>
      </c>
      <c r="G113">
        <v>50</v>
      </c>
      <c r="H113" s="4">
        <v>50</v>
      </c>
      <c r="I113" s="4">
        <v>71</v>
      </c>
      <c r="J113" s="4" t="s">
        <v>8</v>
      </c>
      <c r="K113" s="4" t="s">
        <v>7</v>
      </c>
      <c r="L113" s="11"/>
      <c r="M113" s="3"/>
      <c r="N113"/>
      <c r="O113" s="4"/>
      <c r="P113" s="1"/>
      <c r="Q113" s="22"/>
      <c r="R113" t="s">
        <v>98</v>
      </c>
      <c r="S113" s="11"/>
      <c r="T113" t="s">
        <v>1603</v>
      </c>
      <c r="U113"/>
      <c r="V113" s="1"/>
      <c r="W113" s="1"/>
    </row>
    <row r="114" spans="2:23" x14ac:dyDescent="0.35">
      <c r="B114" s="4">
        <v>20004998</v>
      </c>
      <c r="C114" s="1" t="s">
        <v>1233</v>
      </c>
      <c r="D114" s="4" t="s">
        <v>86</v>
      </c>
      <c r="E114" s="3"/>
      <c r="F114" s="3" t="s">
        <v>68</v>
      </c>
      <c r="G114">
        <v>10</v>
      </c>
      <c r="H114" s="4">
        <v>20</v>
      </c>
      <c r="I114" s="4">
        <v>20</v>
      </c>
      <c r="J114" s="4" t="s">
        <v>23</v>
      </c>
      <c r="K114" s="5" t="s">
        <v>7</v>
      </c>
      <c r="L114" s="11"/>
      <c r="M114" s="3"/>
      <c r="N114"/>
      <c r="O114" s="4"/>
      <c r="P114" s="1"/>
      <c r="Q114" s="22"/>
      <c r="R114"/>
      <c r="S114" s="11"/>
      <c r="T114" t="s">
        <v>1602</v>
      </c>
      <c r="U114"/>
      <c r="V114" s="1"/>
      <c r="W114" s="1"/>
    </row>
    <row r="115" spans="2:23" x14ac:dyDescent="0.35">
      <c r="B115" s="4">
        <v>20019901</v>
      </c>
      <c r="C115" s="1" t="s">
        <v>105</v>
      </c>
      <c r="D115" s="4" t="s">
        <v>86</v>
      </c>
      <c r="E115" s="3" t="s">
        <v>87</v>
      </c>
      <c r="F115" s="3" t="s">
        <v>89</v>
      </c>
      <c r="G115">
        <v>50</v>
      </c>
      <c r="H115" s="4">
        <v>30</v>
      </c>
      <c r="I115" s="4">
        <v>74</v>
      </c>
      <c r="J115" s="4" t="s">
        <v>8</v>
      </c>
      <c r="K115" s="5" t="s">
        <v>7</v>
      </c>
      <c r="L115" s="11"/>
      <c r="M115" s="3"/>
      <c r="N115"/>
      <c r="O115" s="4"/>
      <c r="P115" s="1"/>
      <c r="Q115" s="22"/>
      <c r="R115" t="s">
        <v>88</v>
      </c>
      <c r="S115" s="11"/>
      <c r="T115" t="s">
        <v>66</v>
      </c>
      <c r="U115"/>
      <c r="V115" s="1"/>
      <c r="W115" s="1"/>
    </row>
    <row r="116" spans="2:23" x14ac:dyDescent="0.35">
      <c r="B116" s="4">
        <v>20005001</v>
      </c>
      <c r="C116" s="1" t="s">
        <v>1267</v>
      </c>
      <c r="D116" s="4" t="s">
        <v>86</v>
      </c>
      <c r="E116" s="3"/>
      <c r="F116" s="3" t="s">
        <v>68</v>
      </c>
      <c r="G116">
        <v>300</v>
      </c>
      <c r="H116" s="4">
        <v>600</v>
      </c>
      <c r="I116" s="4">
        <v>600</v>
      </c>
      <c r="J116" s="4" t="s">
        <v>23</v>
      </c>
      <c r="K116" s="4" t="s">
        <v>7</v>
      </c>
      <c r="L116" s="11"/>
      <c r="M116" s="3"/>
      <c r="N116"/>
      <c r="O116" s="4"/>
      <c r="P116" s="1"/>
      <c r="Q116" s="22"/>
      <c r="R116"/>
      <c r="S116" s="11"/>
      <c r="T116" t="s">
        <v>1602</v>
      </c>
      <c r="U116"/>
      <c r="V116" s="1"/>
      <c r="W116" s="1"/>
    </row>
    <row r="117" spans="2:23" x14ac:dyDescent="0.35">
      <c r="B117" s="4">
        <v>20005022</v>
      </c>
      <c r="C117" s="1" t="s">
        <v>1262</v>
      </c>
      <c r="D117" s="4" t="s">
        <v>86</v>
      </c>
      <c r="E117" s="3"/>
      <c r="F117" s="3" t="s">
        <v>68</v>
      </c>
      <c r="G117">
        <v>2</v>
      </c>
      <c r="H117" s="4">
        <v>2</v>
      </c>
      <c r="I117" s="4">
        <v>4</v>
      </c>
      <c r="J117" s="4" t="s">
        <v>8</v>
      </c>
      <c r="K117" s="4" t="s">
        <v>7</v>
      </c>
      <c r="L117" s="11"/>
      <c r="M117" s="3"/>
      <c r="N117"/>
      <c r="O117" s="4"/>
      <c r="P117" s="1"/>
      <c r="Q117" s="22"/>
      <c r="R117"/>
      <c r="S117" s="11"/>
      <c r="T117" t="s">
        <v>1602</v>
      </c>
      <c r="U117"/>
      <c r="V117" s="1"/>
      <c r="W117" s="1"/>
    </row>
    <row r="118" spans="2:23" x14ac:dyDescent="0.35">
      <c r="B118" s="4">
        <v>20005402</v>
      </c>
      <c r="C118" s="1" t="s">
        <v>106</v>
      </c>
      <c r="D118" s="4" t="s">
        <v>86</v>
      </c>
      <c r="E118" s="3" t="s">
        <v>87</v>
      </c>
      <c r="F118" s="3" t="s">
        <v>89</v>
      </c>
      <c r="G118">
        <v>2</v>
      </c>
      <c r="H118" s="4">
        <v>2</v>
      </c>
      <c r="I118" s="4">
        <v>3</v>
      </c>
      <c r="J118" s="4" t="s">
        <v>8</v>
      </c>
      <c r="K118" s="4" t="s">
        <v>7</v>
      </c>
      <c r="L118" s="11"/>
      <c r="M118" s="3"/>
      <c r="N118"/>
      <c r="O118" s="4"/>
      <c r="P118" s="1"/>
      <c r="Q118" s="22"/>
      <c r="R118" t="s">
        <v>88</v>
      </c>
      <c r="S118" s="11"/>
      <c r="T118" t="s">
        <v>66</v>
      </c>
      <c r="U118"/>
      <c r="V118" s="1"/>
      <c r="W118" s="1"/>
    </row>
    <row r="119" spans="2:23" x14ac:dyDescent="0.35">
      <c r="B119" s="4">
        <v>20005070</v>
      </c>
      <c r="C119" s="1" t="s">
        <v>1449</v>
      </c>
      <c r="D119" s="4" t="s">
        <v>86</v>
      </c>
      <c r="E119" s="3"/>
      <c r="F119" s="3" t="s">
        <v>68</v>
      </c>
      <c r="G119">
        <v>5</v>
      </c>
      <c r="H119" s="4">
        <v>15</v>
      </c>
      <c r="I119" s="4">
        <v>19</v>
      </c>
      <c r="J119" s="4" t="s">
        <v>8</v>
      </c>
      <c r="K119" s="5" t="s">
        <v>7</v>
      </c>
      <c r="L119" s="11"/>
      <c r="M119" s="3"/>
      <c r="N119"/>
      <c r="O119" s="4"/>
      <c r="P119" s="1"/>
      <c r="Q119" s="22"/>
      <c r="R119"/>
      <c r="S119" s="11"/>
      <c r="T119" t="s">
        <v>1602</v>
      </c>
      <c r="U119"/>
      <c r="V119" s="1"/>
      <c r="W119" s="1"/>
    </row>
    <row r="120" spans="2:23" x14ac:dyDescent="0.35">
      <c r="B120" s="4">
        <v>20019902</v>
      </c>
      <c r="C120" s="1" t="s">
        <v>107</v>
      </c>
      <c r="D120" s="4" t="s">
        <v>86</v>
      </c>
      <c r="E120" s="3" t="s">
        <v>87</v>
      </c>
      <c r="F120" s="3" t="s">
        <v>89</v>
      </c>
      <c r="G120">
        <v>45</v>
      </c>
      <c r="H120" s="4">
        <v>30</v>
      </c>
      <c r="I120" s="4">
        <v>74</v>
      </c>
      <c r="J120" s="4" t="s">
        <v>8</v>
      </c>
      <c r="K120" s="4" t="s">
        <v>7</v>
      </c>
      <c r="L120" s="11"/>
      <c r="M120" s="3"/>
      <c r="N120"/>
      <c r="O120" s="4"/>
      <c r="P120" s="1"/>
      <c r="Q120" s="22"/>
      <c r="R120" t="s">
        <v>88</v>
      </c>
      <c r="S120" s="11"/>
      <c r="T120" t="s">
        <v>66</v>
      </c>
      <c r="U120"/>
      <c r="V120" s="1"/>
      <c r="W120" s="1"/>
    </row>
    <row r="121" spans="2:23" x14ac:dyDescent="0.35">
      <c r="B121" s="4">
        <v>20005083</v>
      </c>
      <c r="C121" s="1" t="s">
        <v>1235</v>
      </c>
      <c r="D121" s="4" t="s">
        <v>86</v>
      </c>
      <c r="E121" s="3"/>
      <c r="F121" s="3" t="s">
        <v>68</v>
      </c>
      <c r="G121">
        <v>50</v>
      </c>
      <c r="H121" s="4">
        <v>100</v>
      </c>
      <c r="I121" s="4">
        <v>100</v>
      </c>
      <c r="J121" s="4" t="s">
        <v>353</v>
      </c>
      <c r="K121" s="4" t="s">
        <v>7</v>
      </c>
      <c r="L121" s="11"/>
      <c r="M121" s="3"/>
      <c r="N121"/>
      <c r="O121" s="4"/>
      <c r="P121" s="1"/>
      <c r="Q121" s="22"/>
      <c r="R121"/>
      <c r="S121" s="11"/>
      <c r="T121" t="s">
        <v>1602</v>
      </c>
      <c r="U121"/>
      <c r="V121" s="1"/>
      <c r="W121" s="1"/>
    </row>
    <row r="122" spans="2:23" x14ac:dyDescent="0.35">
      <c r="B122" s="4">
        <v>20005414</v>
      </c>
      <c r="C122" s="1" t="s">
        <v>108</v>
      </c>
      <c r="D122" s="4" t="s">
        <v>86</v>
      </c>
      <c r="E122" s="3" t="s">
        <v>87</v>
      </c>
      <c r="F122" s="3" t="s">
        <v>89</v>
      </c>
      <c r="G122">
        <v>25</v>
      </c>
      <c r="H122" s="4">
        <v>50</v>
      </c>
      <c r="I122" s="4">
        <v>36</v>
      </c>
      <c r="J122" s="4" t="s">
        <v>24</v>
      </c>
      <c r="K122" s="4" t="s">
        <v>7</v>
      </c>
      <c r="L122" s="11"/>
      <c r="M122" s="3"/>
      <c r="N122"/>
      <c r="O122" s="4"/>
      <c r="P122" s="1"/>
      <c r="Q122" s="22"/>
      <c r="R122" t="s">
        <v>109</v>
      </c>
      <c r="S122" s="11"/>
      <c r="T122" t="s">
        <v>66</v>
      </c>
      <c r="U122"/>
      <c r="V122" s="1"/>
      <c r="W122" s="1"/>
    </row>
    <row r="123" spans="2:23" x14ac:dyDescent="0.35">
      <c r="B123" s="4">
        <v>20005088</v>
      </c>
      <c r="C123" s="1" t="s">
        <v>1236</v>
      </c>
      <c r="D123" s="4" t="s">
        <v>86</v>
      </c>
      <c r="E123" s="3"/>
      <c r="F123" s="3" t="s">
        <v>68</v>
      </c>
      <c r="G123">
        <v>2</v>
      </c>
      <c r="H123" s="4">
        <v>2</v>
      </c>
      <c r="I123" s="4">
        <v>54</v>
      </c>
      <c r="J123" s="4" t="s">
        <v>8</v>
      </c>
      <c r="K123" s="4" t="s">
        <v>14</v>
      </c>
      <c r="L123" s="11"/>
      <c r="M123" s="3"/>
      <c r="N123"/>
      <c r="O123" s="4"/>
      <c r="P123" s="1"/>
      <c r="Q123" s="22"/>
      <c r="R123"/>
      <c r="S123" s="11" t="s">
        <v>6873</v>
      </c>
      <c r="T123" t="s">
        <v>70</v>
      </c>
      <c r="U123"/>
      <c r="V123" s="1"/>
      <c r="W123" s="1"/>
    </row>
    <row r="124" spans="2:23" x14ac:dyDescent="0.35">
      <c r="B124" s="4">
        <v>20005106</v>
      </c>
      <c r="C124" s="1" t="s">
        <v>1237</v>
      </c>
      <c r="D124" s="4" t="s">
        <v>86</v>
      </c>
      <c r="E124" s="3"/>
      <c r="F124" s="3" t="s">
        <v>68</v>
      </c>
      <c r="G124">
        <v>2</v>
      </c>
      <c r="H124" s="4">
        <v>2</v>
      </c>
      <c r="I124" s="4">
        <v>2</v>
      </c>
      <c r="J124" s="4" t="s">
        <v>1238</v>
      </c>
      <c r="K124" s="4" t="s">
        <v>7</v>
      </c>
      <c r="L124" s="11"/>
      <c r="M124" s="3"/>
      <c r="N124"/>
      <c r="O124" s="4"/>
      <c r="P124" s="1"/>
      <c r="Q124" s="22"/>
      <c r="R124"/>
      <c r="S124" s="11"/>
      <c r="T124" t="s">
        <v>1602</v>
      </c>
      <c r="U124"/>
      <c r="V124" s="1"/>
      <c r="W124" s="1"/>
    </row>
    <row r="125" spans="2:23" x14ac:dyDescent="0.35">
      <c r="B125" s="4">
        <v>20005460</v>
      </c>
      <c r="C125" s="1" t="s">
        <v>110</v>
      </c>
      <c r="D125" s="4" t="s">
        <v>86</v>
      </c>
      <c r="E125" s="3" t="s">
        <v>87</v>
      </c>
      <c r="F125" s="3" t="s">
        <v>89</v>
      </c>
      <c r="G125">
        <v>20</v>
      </c>
      <c r="H125" s="4">
        <v>20</v>
      </c>
      <c r="I125" s="4">
        <v>83</v>
      </c>
      <c r="J125" s="4" t="s">
        <v>24</v>
      </c>
      <c r="K125" s="4" t="s">
        <v>14</v>
      </c>
      <c r="L125" s="11"/>
      <c r="M125" s="3"/>
      <c r="N125"/>
      <c r="O125" s="4"/>
      <c r="P125" s="1"/>
      <c r="Q125" s="22"/>
      <c r="R125" t="s">
        <v>109</v>
      </c>
      <c r="S125" s="11"/>
      <c r="T125" t="s">
        <v>66</v>
      </c>
      <c r="U125"/>
      <c r="V125" s="1"/>
      <c r="W125" s="1"/>
    </row>
    <row r="126" spans="2:23" x14ac:dyDescent="0.35">
      <c r="B126" s="4">
        <v>20005132</v>
      </c>
      <c r="C126" s="1" t="s">
        <v>6851</v>
      </c>
      <c r="D126" s="4" t="s">
        <v>86</v>
      </c>
      <c r="E126" s="3"/>
      <c r="F126" s="3" t="s">
        <v>68</v>
      </c>
      <c r="G126">
        <v>6</v>
      </c>
      <c r="H126" s="4">
        <v>8</v>
      </c>
      <c r="I126" s="4">
        <v>19</v>
      </c>
      <c r="J126" s="4" t="s">
        <v>8</v>
      </c>
      <c r="K126" s="4" t="s">
        <v>14</v>
      </c>
      <c r="L126" s="11"/>
      <c r="M126" s="3"/>
      <c r="N126"/>
      <c r="O126" s="4"/>
      <c r="P126" s="1"/>
      <c r="Q126" s="22"/>
      <c r="R126"/>
      <c r="S126" s="11"/>
      <c r="T126" t="s">
        <v>1603</v>
      </c>
      <c r="U126"/>
      <c r="V126" s="1"/>
      <c r="W126" s="1"/>
    </row>
    <row r="127" spans="2:23" x14ac:dyDescent="0.35">
      <c r="B127" s="4">
        <v>20005954</v>
      </c>
      <c r="C127" s="1" t="s">
        <v>1338</v>
      </c>
      <c r="D127" s="4" t="s">
        <v>86</v>
      </c>
      <c r="E127" s="3" t="s">
        <v>91</v>
      </c>
      <c r="F127" s="3" t="s">
        <v>89</v>
      </c>
      <c r="G127">
        <v>1166</v>
      </c>
      <c r="H127" s="4">
        <v>2300</v>
      </c>
      <c r="I127" s="4">
        <v>800</v>
      </c>
      <c r="J127" s="4" t="s">
        <v>25</v>
      </c>
      <c r="K127" s="4" t="s">
        <v>9</v>
      </c>
      <c r="L127" s="11"/>
      <c r="M127" s="3"/>
      <c r="N127">
        <v>4502715485</v>
      </c>
      <c r="O127" s="4">
        <v>3000</v>
      </c>
      <c r="P127" s="1" t="s">
        <v>6898</v>
      </c>
      <c r="Q127" s="22">
        <v>46273</v>
      </c>
      <c r="R127" t="s">
        <v>92</v>
      </c>
      <c r="S127" s="11"/>
      <c r="T127" t="s">
        <v>1603</v>
      </c>
      <c r="U127"/>
      <c r="V127" s="1"/>
      <c r="W127" s="1"/>
    </row>
    <row r="128" spans="2:23" x14ac:dyDescent="0.35">
      <c r="B128" s="4">
        <v>20005210</v>
      </c>
      <c r="C128" s="1" t="s">
        <v>1415</v>
      </c>
      <c r="D128" s="4" t="s">
        <v>86</v>
      </c>
      <c r="E128" s="3"/>
      <c r="F128" s="3" t="s">
        <v>68</v>
      </c>
      <c r="G128">
        <v>130</v>
      </c>
      <c r="H128" s="4">
        <v>200</v>
      </c>
      <c r="I128" s="4">
        <v>200</v>
      </c>
      <c r="J128" s="4" t="s">
        <v>24</v>
      </c>
      <c r="K128" s="4" t="s">
        <v>7</v>
      </c>
      <c r="L128" s="11"/>
      <c r="M128" s="3"/>
      <c r="N128"/>
      <c r="O128" s="4"/>
      <c r="P128" s="1"/>
      <c r="Q128" s="22"/>
      <c r="R128"/>
      <c r="S128" s="11"/>
      <c r="T128" t="s">
        <v>1602</v>
      </c>
      <c r="U128"/>
      <c r="V128" s="1"/>
      <c r="W128" s="1"/>
    </row>
    <row r="129" spans="2:23" x14ac:dyDescent="0.35">
      <c r="B129" s="4">
        <v>20005464</v>
      </c>
      <c r="C129" s="1" t="s">
        <v>111</v>
      </c>
      <c r="D129" s="4" t="s">
        <v>86</v>
      </c>
      <c r="E129" s="3" t="s">
        <v>87</v>
      </c>
      <c r="F129" s="3" t="s">
        <v>89</v>
      </c>
      <c r="G129">
        <v>20</v>
      </c>
      <c r="H129" s="4">
        <v>20</v>
      </c>
      <c r="I129" s="4">
        <v>25</v>
      </c>
      <c r="J129" s="4" t="s">
        <v>24</v>
      </c>
      <c r="K129" s="4" t="s">
        <v>7</v>
      </c>
      <c r="L129" s="11"/>
      <c r="M129" s="3"/>
      <c r="N129"/>
      <c r="O129" s="4"/>
      <c r="P129" s="1"/>
      <c r="Q129" s="22"/>
      <c r="R129" t="s">
        <v>109</v>
      </c>
      <c r="S129" s="11"/>
      <c r="T129" t="s">
        <v>66</v>
      </c>
      <c r="U129"/>
      <c r="V129" s="1"/>
      <c r="W129" s="1"/>
    </row>
    <row r="130" spans="2:23" x14ac:dyDescent="0.35">
      <c r="B130" s="4">
        <v>20005221</v>
      </c>
      <c r="C130" s="1" t="s">
        <v>1433</v>
      </c>
      <c r="D130" s="4" t="s">
        <v>86</v>
      </c>
      <c r="E130" s="3"/>
      <c r="F130" s="3" t="s">
        <v>68</v>
      </c>
      <c r="G130">
        <v>6</v>
      </c>
      <c r="H130" s="4">
        <v>10</v>
      </c>
      <c r="I130" s="4">
        <v>23</v>
      </c>
      <c r="J130" s="4" t="s">
        <v>8</v>
      </c>
      <c r="K130" s="4" t="s">
        <v>14</v>
      </c>
      <c r="L130" s="11"/>
      <c r="M130" s="3"/>
      <c r="N130"/>
      <c r="O130" s="4"/>
      <c r="P130" s="1"/>
      <c r="Q130" s="22"/>
      <c r="R130"/>
      <c r="S130" s="11"/>
      <c r="T130" t="s">
        <v>1602</v>
      </c>
      <c r="U130"/>
      <c r="V130" s="1"/>
      <c r="W130" s="1"/>
    </row>
    <row r="131" spans="2:23" x14ac:dyDescent="0.35">
      <c r="B131" s="4">
        <v>20005224</v>
      </c>
      <c r="C131" s="1" t="s">
        <v>1239</v>
      </c>
      <c r="D131" s="4" t="s">
        <v>86</v>
      </c>
      <c r="E131" s="3"/>
      <c r="F131" s="3" t="s">
        <v>68</v>
      </c>
      <c r="G131">
        <v>2</v>
      </c>
      <c r="H131" s="4">
        <v>2</v>
      </c>
      <c r="I131" s="4">
        <v>3</v>
      </c>
      <c r="J131" s="4" t="s">
        <v>8</v>
      </c>
      <c r="K131" s="4" t="s">
        <v>7</v>
      </c>
      <c r="L131" s="11"/>
      <c r="M131" s="3"/>
      <c r="N131"/>
      <c r="O131" s="4"/>
      <c r="P131" s="1"/>
      <c r="Q131" s="22"/>
      <c r="R131"/>
      <c r="S131" s="11" t="s">
        <v>6865</v>
      </c>
      <c r="T131" t="s">
        <v>1602</v>
      </c>
      <c r="U131"/>
      <c r="V131" s="1"/>
      <c r="W131" s="1"/>
    </row>
    <row r="132" spans="2:23" x14ac:dyDescent="0.35">
      <c r="B132" s="4">
        <v>20005235</v>
      </c>
      <c r="C132" s="1" t="s">
        <v>1240</v>
      </c>
      <c r="D132" s="4" t="s">
        <v>86</v>
      </c>
      <c r="E132" s="3"/>
      <c r="F132" s="3" t="s">
        <v>68</v>
      </c>
      <c r="G132">
        <v>5</v>
      </c>
      <c r="H132" s="4">
        <v>10</v>
      </c>
      <c r="I132" s="4">
        <v>1</v>
      </c>
      <c r="J132" s="4" t="s">
        <v>1241</v>
      </c>
      <c r="K132" s="4" t="s">
        <v>9</v>
      </c>
      <c r="L132" s="11">
        <v>1002717000</v>
      </c>
      <c r="M132" s="3">
        <v>14</v>
      </c>
      <c r="N132"/>
      <c r="O132" s="4"/>
      <c r="P132" s="1"/>
      <c r="Q132" s="22"/>
      <c r="R132"/>
      <c r="S132" s="11"/>
      <c r="T132" t="s">
        <v>1602</v>
      </c>
      <c r="U132"/>
      <c r="V132" s="1"/>
      <c r="W132" s="1"/>
    </row>
    <row r="133" spans="2:23" x14ac:dyDescent="0.35">
      <c r="B133" s="4">
        <v>20005877</v>
      </c>
      <c r="C133" s="1" t="s">
        <v>16</v>
      </c>
      <c r="D133" s="4" t="s">
        <v>86</v>
      </c>
      <c r="E133" s="3"/>
      <c r="F133" s="3" t="s">
        <v>89</v>
      </c>
      <c r="G133">
        <v>72</v>
      </c>
      <c r="H133" s="4">
        <v>120</v>
      </c>
      <c r="I133" s="4">
        <v>124</v>
      </c>
      <c r="J133" s="4" t="s">
        <v>8</v>
      </c>
      <c r="K133" s="4" t="s">
        <v>7</v>
      </c>
      <c r="L133" s="11"/>
      <c r="M133" s="3"/>
      <c r="N133"/>
      <c r="O133" s="4"/>
      <c r="P133" s="1"/>
      <c r="Q133" s="22"/>
      <c r="R133" t="s">
        <v>113</v>
      </c>
      <c r="S133" s="11"/>
      <c r="T133" t="s">
        <v>69</v>
      </c>
      <c r="U133"/>
      <c r="V133" s="1"/>
      <c r="W133" s="1"/>
    </row>
    <row r="134" spans="2:23" x14ac:dyDescent="0.35">
      <c r="B134" s="4">
        <v>20005258</v>
      </c>
      <c r="C134" s="1" t="s">
        <v>1406</v>
      </c>
      <c r="D134" s="4" t="s">
        <v>86</v>
      </c>
      <c r="E134" s="3"/>
      <c r="F134" s="3" t="s">
        <v>68</v>
      </c>
      <c r="G134">
        <v>10</v>
      </c>
      <c r="H134" s="4">
        <v>10</v>
      </c>
      <c r="I134" s="4">
        <v>42</v>
      </c>
      <c r="J134" s="4" t="s">
        <v>8</v>
      </c>
      <c r="K134" s="4" t="s">
        <v>14</v>
      </c>
      <c r="L134" s="11"/>
      <c r="M134" s="3"/>
      <c r="N134"/>
      <c r="O134" s="4"/>
      <c r="P134" s="1"/>
      <c r="Q134" s="22"/>
      <c r="R134"/>
      <c r="S134" s="11"/>
      <c r="T134" t="s">
        <v>1602</v>
      </c>
      <c r="U134"/>
      <c r="V134" s="1"/>
      <c r="W134" s="1"/>
    </row>
    <row r="135" spans="2:23" x14ac:dyDescent="0.35">
      <c r="B135" s="4">
        <v>20005259</v>
      </c>
      <c r="C135" s="1" t="s">
        <v>1242</v>
      </c>
      <c r="D135" s="4" t="s">
        <v>86</v>
      </c>
      <c r="E135" s="3"/>
      <c r="F135" s="3" t="s">
        <v>68</v>
      </c>
      <c r="G135">
        <v>2</v>
      </c>
      <c r="H135" s="4">
        <v>2</v>
      </c>
      <c r="I135" s="4">
        <v>6</v>
      </c>
      <c r="J135" s="4" t="s">
        <v>8</v>
      </c>
      <c r="K135" s="4" t="s">
        <v>14</v>
      </c>
      <c r="L135" s="11"/>
      <c r="M135" s="3"/>
      <c r="N135"/>
      <c r="O135" s="4"/>
      <c r="P135" s="1"/>
      <c r="Q135" s="22"/>
      <c r="R135"/>
      <c r="S135" s="11"/>
      <c r="T135" t="s">
        <v>1602</v>
      </c>
      <c r="U135"/>
      <c r="V135" s="1"/>
      <c r="W135" s="1"/>
    </row>
    <row r="136" spans="2:23" x14ac:dyDescent="0.35">
      <c r="B136" s="4">
        <v>20005881</v>
      </c>
      <c r="C136" s="1" t="s">
        <v>114</v>
      </c>
      <c r="D136" s="4" t="s">
        <v>86</v>
      </c>
      <c r="E136" s="3" t="s">
        <v>115</v>
      </c>
      <c r="F136" s="3" t="s">
        <v>89</v>
      </c>
      <c r="G136">
        <v>15</v>
      </c>
      <c r="H136" s="4">
        <v>30</v>
      </c>
      <c r="I136" s="4">
        <v>35</v>
      </c>
      <c r="J136" s="4" t="s">
        <v>8</v>
      </c>
      <c r="K136" s="4" t="s">
        <v>7</v>
      </c>
      <c r="L136" s="11"/>
      <c r="M136" s="3"/>
      <c r="N136"/>
      <c r="O136" s="4"/>
      <c r="P136" s="1"/>
      <c r="Q136" s="22"/>
      <c r="R136" t="s">
        <v>116</v>
      </c>
      <c r="S136" s="11"/>
      <c r="T136" t="s">
        <v>1602</v>
      </c>
      <c r="U136"/>
      <c r="V136" s="1"/>
      <c r="W136" s="1"/>
    </row>
    <row r="137" spans="2:23" x14ac:dyDescent="0.35">
      <c r="B137" s="4">
        <v>20005298</v>
      </c>
      <c r="C137" s="1" t="s">
        <v>1243</v>
      </c>
      <c r="D137" s="4" t="s">
        <v>86</v>
      </c>
      <c r="E137" s="3"/>
      <c r="F137" s="3" t="s">
        <v>68</v>
      </c>
      <c r="G137">
        <v>2</v>
      </c>
      <c r="H137" s="4">
        <v>10</v>
      </c>
      <c r="I137" s="4">
        <v>16</v>
      </c>
      <c r="J137" s="4" t="s">
        <v>8</v>
      </c>
      <c r="K137" s="4" t="s">
        <v>14</v>
      </c>
      <c r="L137" s="11"/>
      <c r="M137" s="3"/>
      <c r="N137"/>
      <c r="O137" s="4"/>
      <c r="P137" s="1"/>
      <c r="Q137" s="22"/>
      <c r="R137"/>
      <c r="S137" s="11"/>
      <c r="T137" t="s">
        <v>1602</v>
      </c>
      <c r="U137"/>
      <c r="V137" s="1"/>
      <c r="W137" s="1"/>
    </row>
    <row r="138" spans="2:23" x14ac:dyDescent="0.35">
      <c r="B138" s="4">
        <v>20005318</v>
      </c>
      <c r="C138" s="1" t="s">
        <v>1450</v>
      </c>
      <c r="D138" s="4" t="s">
        <v>86</v>
      </c>
      <c r="E138" s="3"/>
      <c r="F138" s="3" t="s">
        <v>68</v>
      </c>
      <c r="G138">
        <v>5</v>
      </c>
      <c r="H138" s="4">
        <v>15</v>
      </c>
      <c r="I138" s="4">
        <v>30</v>
      </c>
      <c r="J138" s="4" t="s">
        <v>8</v>
      </c>
      <c r="K138" s="4" t="s">
        <v>14</v>
      </c>
      <c r="L138" s="11"/>
      <c r="M138" s="3"/>
      <c r="N138"/>
      <c r="O138" s="4"/>
      <c r="P138" s="1"/>
      <c r="Q138" s="22"/>
      <c r="R138"/>
      <c r="S138" s="11"/>
      <c r="T138" t="s">
        <v>1602</v>
      </c>
      <c r="U138"/>
      <c r="V138" s="1"/>
      <c r="W138" s="1"/>
    </row>
    <row r="139" spans="2:23" x14ac:dyDescent="0.35">
      <c r="B139" s="4">
        <v>20005883</v>
      </c>
      <c r="C139" s="1" t="s">
        <v>117</v>
      </c>
      <c r="D139" s="4" t="s">
        <v>86</v>
      </c>
      <c r="E139" s="3" t="s">
        <v>115</v>
      </c>
      <c r="F139" s="3" t="s">
        <v>89</v>
      </c>
      <c r="G139">
        <v>60</v>
      </c>
      <c r="H139" s="4">
        <v>90</v>
      </c>
      <c r="I139" s="4">
        <v>66</v>
      </c>
      <c r="J139" s="4" t="s">
        <v>8</v>
      </c>
      <c r="K139" s="4" t="s">
        <v>7</v>
      </c>
      <c r="L139" s="11"/>
      <c r="M139" s="3"/>
      <c r="N139"/>
      <c r="O139" s="4"/>
      <c r="P139" s="1"/>
      <c r="Q139" s="22"/>
      <c r="R139" t="s">
        <v>116</v>
      </c>
      <c r="S139" s="11"/>
      <c r="T139" t="s">
        <v>69</v>
      </c>
      <c r="U139"/>
      <c r="V139" s="1"/>
      <c r="W139" s="1"/>
    </row>
    <row r="140" spans="2:23" x14ac:dyDescent="0.35">
      <c r="B140" s="4">
        <v>20005324</v>
      </c>
      <c r="C140" s="1" t="s">
        <v>1244</v>
      </c>
      <c r="D140" s="4" t="s">
        <v>86</v>
      </c>
      <c r="E140" s="3"/>
      <c r="F140" s="3" t="s">
        <v>68</v>
      </c>
      <c r="G140">
        <v>3</v>
      </c>
      <c r="H140" s="4">
        <v>6</v>
      </c>
      <c r="I140" s="4">
        <v>6</v>
      </c>
      <c r="J140" s="4" t="s">
        <v>1241</v>
      </c>
      <c r="K140" s="4" t="s">
        <v>7</v>
      </c>
      <c r="L140" s="11"/>
      <c r="M140" s="3"/>
      <c r="N140"/>
      <c r="O140" s="4"/>
      <c r="P140" s="1"/>
      <c r="Q140" s="22"/>
      <c r="R140"/>
      <c r="S140" s="11"/>
      <c r="T140" t="s">
        <v>1603</v>
      </c>
      <c r="U140"/>
      <c r="V140" s="1"/>
      <c r="W140" s="1"/>
    </row>
    <row r="141" spans="2:23" x14ac:dyDescent="0.35">
      <c r="B141" s="4">
        <v>20005325</v>
      </c>
      <c r="C141" s="1" t="s">
        <v>1245</v>
      </c>
      <c r="D141" s="4" t="s">
        <v>86</v>
      </c>
      <c r="E141" s="3"/>
      <c r="F141" s="3" t="s">
        <v>68</v>
      </c>
      <c r="G141">
        <v>5</v>
      </c>
      <c r="H141" s="4">
        <v>10</v>
      </c>
      <c r="I141" s="4">
        <v>5</v>
      </c>
      <c r="J141" s="4" t="s">
        <v>1241</v>
      </c>
      <c r="K141" s="4" t="s">
        <v>7</v>
      </c>
      <c r="L141" s="11"/>
      <c r="M141" s="3"/>
      <c r="N141"/>
      <c r="O141" s="4"/>
      <c r="P141" s="1"/>
      <c r="Q141" s="22"/>
      <c r="R141"/>
      <c r="S141" s="11"/>
      <c r="T141" t="s">
        <v>1603</v>
      </c>
      <c r="U141"/>
      <c r="V141" s="1"/>
      <c r="W141" s="1"/>
    </row>
    <row r="142" spans="2:23" x14ac:dyDescent="0.35">
      <c r="B142" s="4">
        <v>20005329</v>
      </c>
      <c r="C142" s="1" t="s">
        <v>1246</v>
      </c>
      <c r="D142" s="4" t="s">
        <v>86</v>
      </c>
      <c r="E142" s="3"/>
      <c r="F142" s="3" t="s">
        <v>68</v>
      </c>
      <c r="G142">
        <v>2</v>
      </c>
      <c r="H142" s="4">
        <v>2</v>
      </c>
      <c r="I142" s="4">
        <v>24</v>
      </c>
      <c r="J142" s="4" t="s">
        <v>8</v>
      </c>
      <c r="K142" s="4" t="s">
        <v>14</v>
      </c>
      <c r="L142" s="11"/>
      <c r="M142" s="3"/>
      <c r="N142"/>
      <c r="O142" s="4"/>
      <c r="P142" s="1"/>
      <c r="Q142" s="22"/>
      <c r="R142"/>
      <c r="S142" s="11"/>
      <c r="T142" t="s">
        <v>69</v>
      </c>
      <c r="U142"/>
      <c r="V142" s="1"/>
      <c r="W142" s="1"/>
    </row>
    <row r="143" spans="2:23" x14ac:dyDescent="0.35">
      <c r="B143" s="4">
        <v>20005923</v>
      </c>
      <c r="C143" s="1" t="s">
        <v>1214</v>
      </c>
      <c r="D143" s="4" t="s">
        <v>86</v>
      </c>
      <c r="E143" s="3"/>
      <c r="F143" s="3" t="s">
        <v>89</v>
      </c>
      <c r="G143">
        <v>20</v>
      </c>
      <c r="H143" s="4">
        <v>20</v>
      </c>
      <c r="I143" s="4">
        <v>31</v>
      </c>
      <c r="J143" s="4" t="s">
        <v>8</v>
      </c>
      <c r="K143" s="4" t="s">
        <v>7</v>
      </c>
      <c r="L143" s="11"/>
      <c r="M143" s="3"/>
      <c r="N143"/>
      <c r="O143" s="4"/>
      <c r="P143" s="1"/>
      <c r="Q143" s="22"/>
      <c r="R143" t="s">
        <v>113</v>
      </c>
      <c r="S143" s="11"/>
      <c r="T143" t="s">
        <v>69</v>
      </c>
      <c r="U143"/>
      <c r="V143" s="1"/>
      <c r="W143" s="1"/>
    </row>
    <row r="144" spans="2:23" x14ac:dyDescent="0.35">
      <c r="B144" s="4">
        <v>20005942</v>
      </c>
      <c r="C144" s="1" t="s">
        <v>1373</v>
      </c>
      <c r="D144" s="4" t="s">
        <v>86</v>
      </c>
      <c r="E144" s="3" t="s">
        <v>118</v>
      </c>
      <c r="F144" s="3" t="s">
        <v>89</v>
      </c>
      <c r="G144">
        <v>1</v>
      </c>
      <c r="H144" s="4">
        <v>1</v>
      </c>
      <c r="I144" s="4">
        <v>1</v>
      </c>
      <c r="J144" s="4" t="s">
        <v>8</v>
      </c>
      <c r="K144" s="4" t="s">
        <v>7</v>
      </c>
      <c r="L144" s="11"/>
      <c r="M144" s="3"/>
      <c r="N144"/>
      <c r="O144" s="4"/>
      <c r="P144" s="1"/>
      <c r="Q144" s="22"/>
      <c r="R144" t="s">
        <v>119</v>
      </c>
      <c r="S144" s="11"/>
      <c r="T144" t="s">
        <v>1602</v>
      </c>
      <c r="U144"/>
      <c r="V144" s="1"/>
      <c r="W144" s="1"/>
    </row>
    <row r="145" spans="2:23" x14ac:dyDescent="0.35">
      <c r="B145" s="4">
        <v>20005456</v>
      </c>
      <c r="C145" s="1" t="s">
        <v>357</v>
      </c>
      <c r="D145" s="4" t="s">
        <v>86</v>
      </c>
      <c r="E145" s="3"/>
      <c r="F145" s="3" t="s">
        <v>68</v>
      </c>
      <c r="G145">
        <v>20</v>
      </c>
      <c r="H145" s="4">
        <v>25</v>
      </c>
      <c r="I145" s="4">
        <v>46</v>
      </c>
      <c r="J145" s="4" t="s">
        <v>24</v>
      </c>
      <c r="K145" s="4" t="s">
        <v>14</v>
      </c>
      <c r="L145" s="11"/>
      <c r="M145" s="3"/>
      <c r="N145"/>
      <c r="O145" s="4"/>
      <c r="P145" s="1"/>
      <c r="Q145" s="22"/>
      <c r="R145"/>
      <c r="S145" s="11"/>
      <c r="T145" t="s">
        <v>66</v>
      </c>
      <c r="U145"/>
      <c r="V145" s="1"/>
      <c r="W145" s="1"/>
    </row>
    <row r="146" spans="2:23" x14ac:dyDescent="0.35">
      <c r="B146" s="4">
        <v>20005485</v>
      </c>
      <c r="C146" s="1" t="s">
        <v>356</v>
      </c>
      <c r="D146" s="4" t="s">
        <v>86</v>
      </c>
      <c r="E146" s="3"/>
      <c r="F146" s="3" t="s">
        <v>68</v>
      </c>
      <c r="G146">
        <v>40</v>
      </c>
      <c r="H146" s="4">
        <v>20</v>
      </c>
      <c r="I146" s="4">
        <v>40</v>
      </c>
      <c r="J146" s="4" t="s">
        <v>24</v>
      </c>
      <c r="K146" s="4" t="s">
        <v>7</v>
      </c>
      <c r="L146" s="11"/>
      <c r="M146" s="3"/>
      <c r="N146"/>
      <c r="O146" s="4"/>
      <c r="P146" s="1"/>
      <c r="Q146" s="22"/>
      <c r="R146"/>
      <c r="S146" s="11"/>
      <c r="T146" t="s">
        <v>66</v>
      </c>
      <c r="U146"/>
      <c r="V146" s="1"/>
      <c r="W146" s="1"/>
    </row>
    <row r="147" spans="2:23" x14ac:dyDescent="0.35">
      <c r="B147" s="4">
        <v>20005986</v>
      </c>
      <c r="C147" s="1" t="s">
        <v>120</v>
      </c>
      <c r="D147" s="4" t="s">
        <v>86</v>
      </c>
      <c r="E147" s="3" t="s">
        <v>115</v>
      </c>
      <c r="F147" s="3" t="s">
        <v>89</v>
      </c>
      <c r="G147">
        <v>10</v>
      </c>
      <c r="H147" s="4">
        <v>10</v>
      </c>
      <c r="I147" s="4">
        <v>16</v>
      </c>
      <c r="J147" s="4" t="s">
        <v>8</v>
      </c>
      <c r="K147" s="4" t="s">
        <v>7</v>
      </c>
      <c r="L147" s="11"/>
      <c r="M147" s="3"/>
      <c r="N147"/>
      <c r="O147" s="4"/>
      <c r="P147" s="1"/>
      <c r="Q147" s="22"/>
      <c r="R147" t="s">
        <v>116</v>
      </c>
      <c r="S147" s="11"/>
      <c r="T147" t="s">
        <v>69</v>
      </c>
      <c r="U147"/>
      <c r="V147" s="1"/>
      <c r="W147" s="1"/>
    </row>
    <row r="148" spans="2:23" x14ac:dyDescent="0.35">
      <c r="B148" s="4">
        <v>20005494</v>
      </c>
      <c r="C148" s="1" t="s">
        <v>358</v>
      </c>
      <c r="D148" s="4" t="s">
        <v>86</v>
      </c>
      <c r="E148" s="3"/>
      <c r="F148" s="3" t="s">
        <v>68</v>
      </c>
      <c r="G148">
        <v>28</v>
      </c>
      <c r="H148" s="4">
        <v>20</v>
      </c>
      <c r="I148" s="4">
        <v>43</v>
      </c>
      <c r="J148" s="4" t="s">
        <v>24</v>
      </c>
      <c r="K148" s="4" t="s">
        <v>7</v>
      </c>
      <c r="L148" s="11"/>
      <c r="M148" s="3"/>
      <c r="N148"/>
      <c r="O148" s="4"/>
      <c r="P148" s="1"/>
      <c r="Q148" s="22"/>
      <c r="R148"/>
      <c r="S148" s="11"/>
      <c r="T148" t="s">
        <v>66</v>
      </c>
      <c r="U148"/>
      <c r="V148" s="1"/>
      <c r="W148" s="1"/>
    </row>
    <row r="149" spans="2:23" x14ac:dyDescent="0.35">
      <c r="B149" s="4">
        <v>20005496</v>
      </c>
      <c r="C149" s="1" t="s">
        <v>355</v>
      </c>
      <c r="D149" s="4" t="s">
        <v>86</v>
      </c>
      <c r="E149" s="3"/>
      <c r="F149" s="3" t="s">
        <v>68</v>
      </c>
      <c r="G149">
        <v>40</v>
      </c>
      <c r="H149" s="4">
        <v>100</v>
      </c>
      <c r="I149" s="4">
        <v>78</v>
      </c>
      <c r="J149" s="4" t="s">
        <v>24</v>
      </c>
      <c r="K149" s="4" t="s">
        <v>7</v>
      </c>
      <c r="L149" s="11"/>
      <c r="M149" s="3"/>
      <c r="N149"/>
      <c r="O149" s="4"/>
      <c r="P149" s="1"/>
      <c r="Q149" s="22"/>
      <c r="R149"/>
      <c r="S149" s="11"/>
      <c r="T149" t="s">
        <v>66</v>
      </c>
      <c r="U149"/>
      <c r="V149" s="1"/>
      <c r="W149" s="1"/>
    </row>
    <row r="150" spans="2:23" x14ac:dyDescent="0.35">
      <c r="B150" s="4">
        <v>20014660</v>
      </c>
      <c r="C150" s="1" t="s">
        <v>121</v>
      </c>
      <c r="D150" s="4" t="s">
        <v>86</v>
      </c>
      <c r="E150" s="3"/>
      <c r="F150" s="3" t="s">
        <v>89</v>
      </c>
      <c r="G150">
        <v>14</v>
      </c>
      <c r="H150" s="4">
        <v>20</v>
      </c>
      <c r="I150" s="4">
        <v>23</v>
      </c>
      <c r="J150" s="4" t="s">
        <v>8</v>
      </c>
      <c r="K150" s="4" t="s">
        <v>7</v>
      </c>
      <c r="L150" s="11"/>
      <c r="M150" s="3"/>
      <c r="N150"/>
      <c r="O150" s="4"/>
      <c r="P150" s="1"/>
      <c r="Q150" s="22"/>
      <c r="R150" t="s">
        <v>113</v>
      </c>
      <c r="S150" s="11"/>
      <c r="T150" t="s">
        <v>66</v>
      </c>
      <c r="U150"/>
      <c r="V150" s="1"/>
      <c r="W150" s="1"/>
    </row>
    <row r="151" spans="2:23" x14ac:dyDescent="0.35">
      <c r="B151" s="4">
        <v>20005497</v>
      </c>
      <c r="C151" s="1" t="s">
        <v>359</v>
      </c>
      <c r="D151" s="4" t="s">
        <v>86</v>
      </c>
      <c r="E151" s="3"/>
      <c r="F151" s="3" t="s">
        <v>68</v>
      </c>
      <c r="G151">
        <v>25</v>
      </c>
      <c r="H151" s="4">
        <v>50</v>
      </c>
      <c r="I151" s="4">
        <v>35</v>
      </c>
      <c r="J151" s="4" t="s">
        <v>24</v>
      </c>
      <c r="K151" s="4" t="s">
        <v>7</v>
      </c>
      <c r="L151" s="11"/>
      <c r="M151" s="3"/>
      <c r="N151"/>
      <c r="O151" s="4"/>
      <c r="P151" s="1"/>
      <c r="Q151" s="22"/>
      <c r="R151"/>
      <c r="S151" s="11"/>
      <c r="T151" t="s">
        <v>66</v>
      </c>
      <c r="U151"/>
      <c r="V151" s="1"/>
      <c r="W151" s="1"/>
    </row>
    <row r="152" spans="2:23" x14ac:dyDescent="0.35">
      <c r="B152" s="4">
        <v>20006108</v>
      </c>
      <c r="C152" s="1" t="s">
        <v>122</v>
      </c>
      <c r="D152" s="4" t="s">
        <v>86</v>
      </c>
      <c r="E152" s="3"/>
      <c r="F152" s="3" t="s">
        <v>89</v>
      </c>
      <c r="G152">
        <v>20</v>
      </c>
      <c r="H152" s="4">
        <v>30</v>
      </c>
      <c r="I152" s="4">
        <v>51</v>
      </c>
      <c r="J152" s="4" t="s">
        <v>8</v>
      </c>
      <c r="K152" s="4" t="s">
        <v>14</v>
      </c>
      <c r="L152" s="11"/>
      <c r="M152" s="3"/>
      <c r="N152"/>
      <c r="O152" s="4"/>
      <c r="P152" s="1"/>
      <c r="Q152" s="22"/>
      <c r="R152" t="s">
        <v>113</v>
      </c>
      <c r="S152" s="11"/>
      <c r="T152" t="s">
        <v>66</v>
      </c>
      <c r="U152"/>
      <c r="V152" s="1"/>
      <c r="W152" s="1"/>
    </row>
    <row r="153" spans="2:23" x14ac:dyDescent="0.35">
      <c r="B153" s="4">
        <v>20005513</v>
      </c>
      <c r="C153" s="1" t="s">
        <v>1423</v>
      </c>
      <c r="D153" s="4" t="s">
        <v>86</v>
      </c>
      <c r="E153" s="3"/>
      <c r="F153" s="3" t="s">
        <v>68</v>
      </c>
      <c r="G153">
        <v>10</v>
      </c>
      <c r="H153" s="4">
        <v>10</v>
      </c>
      <c r="I153" s="4">
        <v>15</v>
      </c>
      <c r="J153" s="4" t="s">
        <v>24</v>
      </c>
      <c r="K153" s="4" t="s">
        <v>7</v>
      </c>
      <c r="L153" s="11"/>
      <c r="M153" s="3"/>
      <c r="N153"/>
      <c r="O153" s="4"/>
      <c r="P153" s="1"/>
      <c r="Q153" s="22"/>
      <c r="R153"/>
      <c r="S153" s="11"/>
      <c r="T153" t="s">
        <v>66</v>
      </c>
      <c r="U153"/>
      <c r="V153" s="1"/>
      <c r="W153" s="1"/>
    </row>
    <row r="154" spans="2:23" x14ac:dyDescent="0.35">
      <c r="B154" s="4">
        <v>20005575</v>
      </c>
      <c r="C154" s="1" t="s">
        <v>1435</v>
      </c>
      <c r="D154" s="4" t="s">
        <v>86</v>
      </c>
      <c r="E154" s="3"/>
      <c r="F154" s="3" t="s">
        <v>68</v>
      </c>
      <c r="G154">
        <v>4</v>
      </c>
      <c r="H154" s="4">
        <v>10</v>
      </c>
      <c r="I154" s="4">
        <v>5</v>
      </c>
      <c r="J154" s="4" t="s">
        <v>8</v>
      </c>
      <c r="K154" s="4" t="s">
        <v>7</v>
      </c>
      <c r="L154" s="11"/>
      <c r="M154" s="3"/>
      <c r="N154"/>
      <c r="O154" s="4"/>
      <c r="P154" s="1"/>
      <c r="Q154" s="22"/>
      <c r="R154"/>
      <c r="S154" s="11"/>
      <c r="T154" t="s">
        <v>1602</v>
      </c>
      <c r="U154"/>
      <c r="V154" s="1"/>
      <c r="W154" s="1"/>
    </row>
    <row r="155" spans="2:23" x14ac:dyDescent="0.35">
      <c r="B155" s="4">
        <v>20009103</v>
      </c>
      <c r="C155" s="1" t="s">
        <v>32</v>
      </c>
      <c r="D155" s="4" t="s">
        <v>86</v>
      </c>
      <c r="E155" s="3"/>
      <c r="F155" s="3" t="s">
        <v>89</v>
      </c>
      <c r="G155">
        <v>80</v>
      </c>
      <c r="H155" s="4">
        <v>100</v>
      </c>
      <c r="I155" s="4">
        <v>496</v>
      </c>
      <c r="J155" s="4" t="s">
        <v>8</v>
      </c>
      <c r="K155" s="4" t="s">
        <v>14</v>
      </c>
      <c r="L155" s="11"/>
      <c r="M155" s="3"/>
      <c r="N155"/>
      <c r="O155" s="4"/>
      <c r="P155" s="1"/>
      <c r="Q155" s="22"/>
      <c r="R155" t="s">
        <v>113</v>
      </c>
      <c r="S155" s="11"/>
      <c r="T155" t="s">
        <v>66</v>
      </c>
      <c r="U155"/>
      <c r="V155" s="1"/>
      <c r="W155" s="1"/>
    </row>
    <row r="156" spans="2:23" x14ac:dyDescent="0.35">
      <c r="B156" s="4">
        <v>20005576</v>
      </c>
      <c r="C156" s="1" t="s">
        <v>1436</v>
      </c>
      <c r="D156" s="4" t="s">
        <v>86</v>
      </c>
      <c r="E156" s="3"/>
      <c r="F156" s="3" t="s">
        <v>68</v>
      </c>
      <c r="G156">
        <v>2</v>
      </c>
      <c r="H156" s="4">
        <v>4</v>
      </c>
      <c r="I156" s="4">
        <v>5</v>
      </c>
      <c r="J156" s="4" t="s">
        <v>8</v>
      </c>
      <c r="K156" s="4" t="s">
        <v>7</v>
      </c>
      <c r="L156" s="11"/>
      <c r="M156" s="3"/>
      <c r="N156"/>
      <c r="O156" s="4"/>
      <c r="P156" s="1"/>
      <c r="Q156" s="22"/>
      <c r="R156"/>
      <c r="S156" s="11"/>
      <c r="T156" t="s">
        <v>66</v>
      </c>
      <c r="U156"/>
      <c r="V156" s="1"/>
      <c r="W156" s="1"/>
    </row>
    <row r="157" spans="2:23" x14ac:dyDescent="0.35">
      <c r="B157" s="4">
        <v>20006109</v>
      </c>
      <c r="C157" s="1" t="s">
        <v>26</v>
      </c>
      <c r="D157" s="4" t="s">
        <v>86</v>
      </c>
      <c r="E157" s="3"/>
      <c r="F157" s="3" t="s">
        <v>89</v>
      </c>
      <c r="G157">
        <v>40</v>
      </c>
      <c r="H157" s="4">
        <v>120</v>
      </c>
      <c r="I157" s="4">
        <v>56</v>
      </c>
      <c r="J157" s="4" t="s">
        <v>8</v>
      </c>
      <c r="K157" s="4" t="s">
        <v>7</v>
      </c>
      <c r="L157" s="11"/>
      <c r="M157" s="3"/>
      <c r="N157"/>
      <c r="O157" s="4"/>
      <c r="P157" s="1"/>
      <c r="Q157" s="22"/>
      <c r="R157" t="s">
        <v>113</v>
      </c>
      <c r="S157" s="11"/>
      <c r="T157" t="s">
        <v>66</v>
      </c>
      <c r="U157"/>
      <c r="V157" s="1"/>
      <c r="W157" s="1"/>
    </row>
    <row r="158" spans="2:23" x14ac:dyDescent="0.35">
      <c r="B158" s="4">
        <v>20005577</v>
      </c>
      <c r="C158" s="1" t="s">
        <v>1437</v>
      </c>
      <c r="D158" s="4" t="s">
        <v>86</v>
      </c>
      <c r="E158" s="3"/>
      <c r="F158" s="3" t="s">
        <v>68</v>
      </c>
      <c r="G158">
        <v>3</v>
      </c>
      <c r="H158" s="4">
        <v>6</v>
      </c>
      <c r="I158" s="4">
        <v>7</v>
      </c>
      <c r="J158" s="4" t="s">
        <v>8</v>
      </c>
      <c r="K158" s="4" t="s">
        <v>7</v>
      </c>
      <c r="L158" s="11"/>
      <c r="M158" s="3"/>
      <c r="N158"/>
      <c r="O158" s="4"/>
      <c r="P158" s="1"/>
      <c r="Q158" s="22"/>
      <c r="R158"/>
      <c r="S158" s="11"/>
      <c r="T158" t="s">
        <v>1602</v>
      </c>
      <c r="U158"/>
      <c r="V158" s="1"/>
      <c r="W158" s="1"/>
    </row>
    <row r="159" spans="2:23" x14ac:dyDescent="0.35">
      <c r="B159" s="4">
        <v>20005749</v>
      </c>
      <c r="C159" s="1" t="s">
        <v>1113</v>
      </c>
      <c r="D159" s="4" t="s">
        <v>86</v>
      </c>
      <c r="E159" s="3"/>
      <c r="F159" s="3" t="s">
        <v>68</v>
      </c>
      <c r="G159">
        <v>10</v>
      </c>
      <c r="H159" s="4">
        <v>50</v>
      </c>
      <c r="I159" s="4">
        <v>25</v>
      </c>
      <c r="J159" s="4" t="s">
        <v>24</v>
      </c>
      <c r="K159" s="4" t="s">
        <v>7</v>
      </c>
      <c r="L159" s="11"/>
      <c r="M159" s="3"/>
      <c r="N159"/>
      <c r="O159" s="4"/>
      <c r="P159" s="1"/>
      <c r="Q159" s="22"/>
      <c r="R159"/>
      <c r="S159" s="11"/>
      <c r="T159" t="s">
        <v>66</v>
      </c>
      <c r="U159"/>
      <c r="V159" s="1"/>
      <c r="W159" s="1"/>
    </row>
    <row r="160" spans="2:23" x14ac:dyDescent="0.35">
      <c r="B160" s="4">
        <v>20012260</v>
      </c>
      <c r="C160" s="1" t="s">
        <v>34</v>
      </c>
      <c r="D160" s="4" t="s">
        <v>86</v>
      </c>
      <c r="E160" s="3"/>
      <c r="F160" s="3" t="s">
        <v>89</v>
      </c>
      <c r="G160">
        <v>25</v>
      </c>
      <c r="H160" s="4">
        <v>50</v>
      </c>
      <c r="I160" s="4">
        <v>67</v>
      </c>
      <c r="J160" s="4" t="s">
        <v>8</v>
      </c>
      <c r="K160" s="4" t="s">
        <v>7</v>
      </c>
      <c r="L160" s="11"/>
      <c r="M160" s="3"/>
      <c r="N160"/>
      <c r="O160" s="4"/>
      <c r="P160" s="1"/>
      <c r="Q160" s="22"/>
      <c r="R160" t="s">
        <v>113</v>
      </c>
      <c r="S160" s="11"/>
      <c r="T160" t="s">
        <v>66</v>
      </c>
      <c r="U160"/>
      <c r="V160" s="1"/>
      <c r="W160" s="1"/>
    </row>
    <row r="161" spans="2:23" x14ac:dyDescent="0.35">
      <c r="B161" s="4">
        <v>20006114</v>
      </c>
      <c r="C161" s="1" t="s">
        <v>123</v>
      </c>
      <c r="D161" s="4" t="s">
        <v>86</v>
      </c>
      <c r="E161" s="3"/>
      <c r="F161" s="3" t="s">
        <v>89</v>
      </c>
      <c r="G161">
        <v>6</v>
      </c>
      <c r="H161" s="4">
        <v>10</v>
      </c>
      <c r="I161" s="4">
        <v>14</v>
      </c>
      <c r="J161" s="4" t="s">
        <v>8</v>
      </c>
      <c r="K161" s="4" t="s">
        <v>7</v>
      </c>
      <c r="L161" s="11"/>
      <c r="M161" s="3"/>
      <c r="N161"/>
      <c r="O161" s="4"/>
      <c r="P161" s="1"/>
      <c r="Q161" s="22"/>
      <c r="R161" t="s">
        <v>113</v>
      </c>
      <c r="S161" s="11"/>
      <c r="T161" t="s">
        <v>1602</v>
      </c>
      <c r="U161"/>
      <c r="V161" s="1"/>
      <c r="W161" s="1"/>
    </row>
    <row r="162" spans="2:23" x14ac:dyDescent="0.35">
      <c r="B162" s="4">
        <v>20005899</v>
      </c>
      <c r="C162" s="1" t="s">
        <v>1454</v>
      </c>
      <c r="D162" s="4" t="s">
        <v>86</v>
      </c>
      <c r="E162" s="3"/>
      <c r="F162" s="3" t="s">
        <v>68</v>
      </c>
      <c r="G162">
        <v>5</v>
      </c>
      <c r="H162" s="4">
        <v>10</v>
      </c>
      <c r="I162" s="4">
        <v>9</v>
      </c>
      <c r="J162" s="4" t="s">
        <v>8</v>
      </c>
      <c r="K162" s="4" t="s">
        <v>7</v>
      </c>
      <c r="L162" s="11"/>
      <c r="M162" s="3"/>
      <c r="N162"/>
      <c r="O162" s="4"/>
      <c r="P162" s="1"/>
      <c r="Q162" s="22"/>
      <c r="R162"/>
      <c r="S162" s="11"/>
      <c r="T162" t="s">
        <v>69</v>
      </c>
      <c r="U162"/>
      <c r="V162" s="1"/>
      <c r="W162" s="1"/>
    </row>
    <row r="163" spans="2:23" x14ac:dyDescent="0.35">
      <c r="B163" s="4">
        <v>20006120</v>
      </c>
      <c r="C163" s="1" t="s">
        <v>124</v>
      </c>
      <c r="D163" s="4" t="s">
        <v>86</v>
      </c>
      <c r="E163" s="3"/>
      <c r="F163" s="3" t="s">
        <v>89</v>
      </c>
      <c r="G163">
        <v>72</v>
      </c>
      <c r="H163" s="4">
        <v>72</v>
      </c>
      <c r="I163" s="4">
        <v>64</v>
      </c>
      <c r="J163" s="4" t="s">
        <v>8</v>
      </c>
      <c r="K163" s="4" t="s">
        <v>9</v>
      </c>
      <c r="L163" s="11">
        <v>1002706195</v>
      </c>
      <c r="M163" s="3">
        <v>96</v>
      </c>
      <c r="N163"/>
      <c r="O163" s="4"/>
      <c r="P163" s="1"/>
      <c r="Q163" s="22"/>
      <c r="R163" t="s">
        <v>113</v>
      </c>
      <c r="S163" s="11"/>
      <c r="T163" t="s">
        <v>1602</v>
      </c>
      <c r="U163"/>
      <c r="V163" s="1"/>
      <c r="W163" s="1"/>
    </row>
    <row r="164" spans="2:23" x14ac:dyDescent="0.35">
      <c r="B164" s="4">
        <v>20011841</v>
      </c>
      <c r="C164" s="1" t="s">
        <v>125</v>
      </c>
      <c r="D164" s="4" t="s">
        <v>86</v>
      </c>
      <c r="E164" s="3" t="s">
        <v>87</v>
      </c>
      <c r="F164" s="3" t="s">
        <v>89</v>
      </c>
      <c r="G164">
        <v>325</v>
      </c>
      <c r="H164" s="4">
        <v>378</v>
      </c>
      <c r="I164" s="4">
        <v>162</v>
      </c>
      <c r="J164" s="4" t="s">
        <v>24</v>
      </c>
      <c r="K164" s="4" t="s">
        <v>9</v>
      </c>
      <c r="L164" s="11">
        <v>1002637281</v>
      </c>
      <c r="M164" s="3"/>
      <c r="N164">
        <v>4502713658</v>
      </c>
      <c r="O164" s="4">
        <v>378</v>
      </c>
      <c r="P164" s="1" t="s">
        <v>6899</v>
      </c>
      <c r="Q164" s="22">
        <v>46282</v>
      </c>
      <c r="R164" t="s">
        <v>88</v>
      </c>
      <c r="S164" s="11" t="s">
        <v>6866</v>
      </c>
      <c r="T164" t="s">
        <v>70</v>
      </c>
      <c r="U164"/>
      <c r="V164" s="1"/>
      <c r="W164" s="1"/>
    </row>
    <row r="165" spans="2:23" x14ac:dyDescent="0.35">
      <c r="B165" s="4">
        <v>20005974</v>
      </c>
      <c r="C165" s="1" t="s">
        <v>1264</v>
      </c>
      <c r="D165" s="4" t="s">
        <v>86</v>
      </c>
      <c r="E165" s="3"/>
      <c r="F165" s="3" t="s">
        <v>68</v>
      </c>
      <c r="G165">
        <v>5</v>
      </c>
      <c r="H165" s="4">
        <v>10</v>
      </c>
      <c r="I165" s="4">
        <v>6</v>
      </c>
      <c r="J165" s="4" t="s">
        <v>8</v>
      </c>
      <c r="K165" s="4" t="s">
        <v>7</v>
      </c>
      <c r="L165" s="11"/>
      <c r="M165" s="3"/>
      <c r="N165"/>
      <c r="O165" s="4"/>
      <c r="P165" s="1"/>
      <c r="Q165" s="22"/>
      <c r="R165"/>
      <c r="S165" s="11"/>
      <c r="T165" t="s">
        <v>1602</v>
      </c>
      <c r="U165"/>
      <c r="V165" s="1"/>
      <c r="W165" s="1"/>
    </row>
    <row r="166" spans="2:23" x14ac:dyDescent="0.35">
      <c r="B166" s="4">
        <v>20006144</v>
      </c>
      <c r="C166" s="1" t="s">
        <v>1215</v>
      </c>
      <c r="D166" s="4" t="s">
        <v>86</v>
      </c>
      <c r="E166" s="3" t="s">
        <v>87</v>
      </c>
      <c r="F166" s="3" t="s">
        <v>89</v>
      </c>
      <c r="G166">
        <v>50</v>
      </c>
      <c r="H166" s="4">
        <v>30</v>
      </c>
      <c r="I166" s="4">
        <v>95</v>
      </c>
      <c r="J166" s="4" t="s">
        <v>8</v>
      </c>
      <c r="K166" s="4" t="s">
        <v>14</v>
      </c>
      <c r="L166" s="11"/>
      <c r="M166" s="3"/>
      <c r="N166"/>
      <c r="O166" s="4"/>
      <c r="P166" s="1"/>
      <c r="Q166" s="22"/>
      <c r="R166" t="s">
        <v>88</v>
      </c>
      <c r="S166" s="11"/>
      <c r="T166" t="s">
        <v>67</v>
      </c>
      <c r="U166"/>
      <c r="V166" s="1"/>
      <c r="W166" s="1"/>
    </row>
    <row r="167" spans="2:23" x14ac:dyDescent="0.35">
      <c r="B167" s="4">
        <v>20006145</v>
      </c>
      <c r="C167" s="1" t="s">
        <v>126</v>
      </c>
      <c r="D167" s="4" t="s">
        <v>86</v>
      </c>
      <c r="E167" s="3" t="s">
        <v>87</v>
      </c>
      <c r="F167" s="3" t="s">
        <v>89</v>
      </c>
      <c r="G167">
        <v>60</v>
      </c>
      <c r="H167" s="4">
        <v>60</v>
      </c>
      <c r="I167" s="4">
        <v>122</v>
      </c>
      <c r="J167" s="4" t="s">
        <v>8</v>
      </c>
      <c r="K167" s="4" t="s">
        <v>14</v>
      </c>
      <c r="L167" s="11"/>
      <c r="M167" s="3"/>
      <c r="N167"/>
      <c r="O167" s="4"/>
      <c r="P167" s="1"/>
      <c r="Q167" s="22"/>
      <c r="R167" t="s">
        <v>88</v>
      </c>
      <c r="S167" s="11"/>
      <c r="T167" t="s">
        <v>1602</v>
      </c>
      <c r="U167"/>
      <c r="V167" s="1"/>
      <c r="W167" s="1"/>
    </row>
    <row r="168" spans="2:23" x14ac:dyDescent="0.35">
      <c r="B168" s="4">
        <v>20006153</v>
      </c>
      <c r="C168" s="1" t="s">
        <v>1217</v>
      </c>
      <c r="D168" s="4" t="s">
        <v>86</v>
      </c>
      <c r="E168" s="3"/>
      <c r="F168" s="3" t="s">
        <v>89</v>
      </c>
      <c r="G168">
        <v>550</v>
      </c>
      <c r="H168" s="4">
        <v>900</v>
      </c>
      <c r="I168" s="4">
        <v>1691</v>
      </c>
      <c r="J168" s="4" t="s">
        <v>24</v>
      </c>
      <c r="K168" s="4" t="s">
        <v>14</v>
      </c>
      <c r="L168" s="11"/>
      <c r="M168" s="3"/>
      <c r="N168"/>
      <c r="O168" s="4"/>
      <c r="P168" s="1"/>
      <c r="Q168" s="22"/>
      <c r="R168" t="s">
        <v>113</v>
      </c>
      <c r="S168" s="11"/>
      <c r="T168" t="s">
        <v>1603</v>
      </c>
      <c r="U168"/>
      <c r="V168" s="1"/>
      <c r="W168" s="1"/>
    </row>
    <row r="169" spans="2:23" x14ac:dyDescent="0.35">
      <c r="B169" s="4">
        <v>20006115</v>
      </c>
      <c r="C169" s="1" t="s">
        <v>1218</v>
      </c>
      <c r="D169" s="4" t="s">
        <v>86</v>
      </c>
      <c r="E169" s="3"/>
      <c r="F169" s="3" t="s">
        <v>102</v>
      </c>
      <c r="G169">
        <v>600</v>
      </c>
      <c r="H169" s="4">
        <v>600</v>
      </c>
      <c r="I169" s="4">
        <v>300</v>
      </c>
      <c r="J169" s="4" t="s">
        <v>24</v>
      </c>
      <c r="K169" s="4" t="s">
        <v>9</v>
      </c>
      <c r="L169" s="11">
        <v>1002703442</v>
      </c>
      <c r="M169" s="3">
        <v>900</v>
      </c>
      <c r="N169"/>
      <c r="O169" s="4"/>
      <c r="P169" s="1"/>
      <c r="Q169" s="22"/>
      <c r="R169"/>
      <c r="S169" s="11"/>
      <c r="T169" t="s">
        <v>1602</v>
      </c>
      <c r="U169"/>
      <c r="V169" s="1"/>
      <c r="W169" s="1"/>
    </row>
    <row r="170" spans="2:23" x14ac:dyDescent="0.35">
      <c r="B170" s="4">
        <v>20006158</v>
      </c>
      <c r="C170" s="1" t="s">
        <v>127</v>
      </c>
      <c r="D170" s="4" t="s">
        <v>86</v>
      </c>
      <c r="E170" s="3"/>
      <c r="F170" s="3" t="s">
        <v>89</v>
      </c>
      <c r="G170">
        <v>50</v>
      </c>
      <c r="H170" s="4">
        <v>50</v>
      </c>
      <c r="I170" s="4">
        <v>47</v>
      </c>
      <c r="J170" s="4" t="s">
        <v>8</v>
      </c>
      <c r="K170" s="4" t="s">
        <v>9</v>
      </c>
      <c r="L170" s="11">
        <v>1002711007</v>
      </c>
      <c r="M170" s="3">
        <v>60</v>
      </c>
      <c r="N170"/>
      <c r="O170" s="4"/>
      <c r="P170" s="1"/>
      <c r="Q170" s="22"/>
      <c r="R170" t="s">
        <v>113</v>
      </c>
      <c r="S170" s="11"/>
      <c r="T170" t="s">
        <v>1602</v>
      </c>
      <c r="U170"/>
      <c r="V170" s="1"/>
      <c r="W170" s="1"/>
    </row>
    <row r="171" spans="2:23" x14ac:dyDescent="0.35">
      <c r="B171" s="4">
        <v>20006165</v>
      </c>
      <c r="C171" s="1" t="s">
        <v>128</v>
      </c>
      <c r="D171" s="4" t="s">
        <v>86</v>
      </c>
      <c r="E171" s="3" t="s">
        <v>129</v>
      </c>
      <c r="F171" s="3" t="s">
        <v>89</v>
      </c>
      <c r="G171">
        <v>400</v>
      </c>
      <c r="H171" s="4">
        <v>400</v>
      </c>
      <c r="I171" s="4">
        <v>525</v>
      </c>
      <c r="J171" s="4" t="s">
        <v>24</v>
      </c>
      <c r="K171" s="4" t="s">
        <v>7</v>
      </c>
      <c r="L171" s="11"/>
      <c r="M171" s="3"/>
      <c r="N171"/>
      <c r="O171" s="4"/>
      <c r="P171" s="1"/>
      <c r="Q171" s="22"/>
      <c r="R171" t="s">
        <v>130</v>
      </c>
      <c r="S171" s="11"/>
      <c r="T171" t="s">
        <v>1602</v>
      </c>
      <c r="U171"/>
      <c r="V171" s="1"/>
      <c r="W171" s="1"/>
    </row>
    <row r="172" spans="2:23" x14ac:dyDescent="0.35">
      <c r="B172" s="4">
        <v>20006551</v>
      </c>
      <c r="C172" s="1" t="s">
        <v>131</v>
      </c>
      <c r="D172" s="4" t="s">
        <v>86</v>
      </c>
      <c r="E172" s="3"/>
      <c r="F172" s="3" t="s">
        <v>89</v>
      </c>
      <c r="G172">
        <v>80</v>
      </c>
      <c r="H172" s="4">
        <v>80</v>
      </c>
      <c r="I172" s="4">
        <v>86</v>
      </c>
      <c r="J172" s="4" t="s">
        <v>8</v>
      </c>
      <c r="K172" s="4" t="s">
        <v>7</v>
      </c>
      <c r="L172" s="11"/>
      <c r="M172" s="3"/>
      <c r="N172"/>
      <c r="O172" s="4"/>
      <c r="P172" s="1"/>
      <c r="Q172" s="22"/>
      <c r="R172" t="s">
        <v>113</v>
      </c>
      <c r="S172" s="11"/>
      <c r="T172" t="s">
        <v>66</v>
      </c>
      <c r="U172"/>
      <c r="V172" s="1"/>
      <c r="W172" s="1"/>
    </row>
    <row r="173" spans="2:23" x14ac:dyDescent="0.35">
      <c r="B173" s="4">
        <v>20006694</v>
      </c>
      <c r="C173" s="1" t="s">
        <v>132</v>
      </c>
      <c r="D173" s="4" t="s">
        <v>86</v>
      </c>
      <c r="E173" s="3"/>
      <c r="F173" s="3" t="s">
        <v>89</v>
      </c>
      <c r="G173">
        <v>150</v>
      </c>
      <c r="H173" s="4">
        <v>250</v>
      </c>
      <c r="I173" s="4">
        <v>437</v>
      </c>
      <c r="J173" s="4" t="s">
        <v>8</v>
      </c>
      <c r="K173" s="4" t="s">
        <v>14</v>
      </c>
      <c r="L173" s="11"/>
      <c r="M173" s="3"/>
      <c r="N173"/>
      <c r="O173" s="4"/>
      <c r="P173" s="1"/>
      <c r="Q173" s="22"/>
      <c r="R173" t="s">
        <v>113</v>
      </c>
      <c r="S173" s="11"/>
      <c r="T173" t="s">
        <v>66</v>
      </c>
      <c r="U173"/>
      <c r="V173" s="1"/>
      <c r="W173" s="1"/>
    </row>
    <row r="174" spans="2:23" x14ac:dyDescent="0.35">
      <c r="B174" s="4">
        <v>20006156</v>
      </c>
      <c r="C174" s="1" t="s">
        <v>1434</v>
      </c>
      <c r="D174" s="4" t="s">
        <v>86</v>
      </c>
      <c r="E174" s="3"/>
      <c r="F174" s="3" t="s">
        <v>68</v>
      </c>
      <c r="G174">
        <v>10</v>
      </c>
      <c r="H174" s="4">
        <v>10</v>
      </c>
      <c r="I174" s="4">
        <v>25</v>
      </c>
      <c r="J174" s="4" t="s">
        <v>8</v>
      </c>
      <c r="K174" s="4" t="s">
        <v>14</v>
      </c>
      <c r="L174" s="11"/>
      <c r="M174" s="3"/>
      <c r="N174"/>
      <c r="O174" s="4"/>
      <c r="P174" s="1"/>
      <c r="Q174" s="22"/>
      <c r="R174"/>
      <c r="S174" s="11"/>
      <c r="T174" t="s">
        <v>1603</v>
      </c>
      <c r="U174"/>
      <c r="V174" s="1"/>
      <c r="W174" s="1"/>
    </row>
    <row r="175" spans="2:23" x14ac:dyDescent="0.35">
      <c r="B175" s="4">
        <v>20006695</v>
      </c>
      <c r="C175" s="1" t="s">
        <v>133</v>
      </c>
      <c r="D175" s="4" t="s">
        <v>86</v>
      </c>
      <c r="E175" s="3"/>
      <c r="F175" s="3" t="s">
        <v>89</v>
      </c>
      <c r="G175">
        <v>150</v>
      </c>
      <c r="H175" s="4">
        <v>250</v>
      </c>
      <c r="I175" s="4">
        <v>291</v>
      </c>
      <c r="J175" s="4" t="s">
        <v>8</v>
      </c>
      <c r="K175" s="4" t="s">
        <v>7</v>
      </c>
      <c r="L175" s="11"/>
      <c r="M175" s="3"/>
      <c r="N175"/>
      <c r="O175" s="4"/>
      <c r="P175" s="1"/>
      <c r="Q175" s="22"/>
      <c r="R175" t="s">
        <v>113</v>
      </c>
      <c r="S175" s="11"/>
      <c r="T175" t="s">
        <v>66</v>
      </c>
      <c r="U175"/>
      <c r="V175" s="1"/>
      <c r="W175" s="1"/>
    </row>
    <row r="176" spans="2:23" x14ac:dyDescent="0.35">
      <c r="B176" s="4">
        <v>20006952</v>
      </c>
      <c r="C176" s="1" t="s">
        <v>134</v>
      </c>
      <c r="D176" s="4" t="s">
        <v>86</v>
      </c>
      <c r="E176" s="3"/>
      <c r="F176" s="3" t="s">
        <v>89</v>
      </c>
      <c r="G176">
        <v>4</v>
      </c>
      <c r="H176" s="4">
        <v>8</v>
      </c>
      <c r="I176" s="4">
        <v>7</v>
      </c>
      <c r="J176" s="4" t="s">
        <v>8</v>
      </c>
      <c r="K176" s="4" t="s">
        <v>7</v>
      </c>
      <c r="L176" s="11"/>
      <c r="M176" s="3"/>
      <c r="N176"/>
      <c r="O176" s="4"/>
      <c r="P176" s="1"/>
      <c r="Q176" s="22"/>
      <c r="R176" t="s">
        <v>113</v>
      </c>
      <c r="S176" s="11"/>
      <c r="T176" t="s">
        <v>66</v>
      </c>
      <c r="U176"/>
      <c r="V176" s="1"/>
      <c r="W176" s="1"/>
    </row>
    <row r="177" spans="2:23" x14ac:dyDescent="0.35">
      <c r="B177" s="4">
        <v>20006588</v>
      </c>
      <c r="C177" s="1" t="s">
        <v>1365</v>
      </c>
      <c r="D177" s="4" t="s">
        <v>86</v>
      </c>
      <c r="E177" s="3"/>
      <c r="F177" s="3" t="s">
        <v>68</v>
      </c>
      <c r="G177">
        <v>2</v>
      </c>
      <c r="H177" s="4">
        <v>2</v>
      </c>
      <c r="I177" s="4">
        <v>5</v>
      </c>
      <c r="J177" s="4" t="s">
        <v>8</v>
      </c>
      <c r="K177" s="4" t="s">
        <v>14</v>
      </c>
      <c r="L177" s="11"/>
      <c r="M177" s="3"/>
      <c r="N177"/>
      <c r="O177" s="4"/>
      <c r="P177" s="1"/>
      <c r="Q177" s="22"/>
      <c r="R177"/>
      <c r="S177" s="11"/>
      <c r="T177" t="s">
        <v>66</v>
      </c>
      <c r="U177"/>
      <c r="V177" s="1"/>
      <c r="W177" s="1"/>
    </row>
    <row r="178" spans="2:23" x14ac:dyDescent="0.35">
      <c r="B178" s="4">
        <v>20007185</v>
      </c>
      <c r="C178" s="1" t="s">
        <v>135</v>
      </c>
      <c r="D178" s="4" t="s">
        <v>86</v>
      </c>
      <c r="E178" s="3" t="s">
        <v>87</v>
      </c>
      <c r="F178" s="3" t="s">
        <v>89</v>
      </c>
      <c r="G178">
        <v>30</v>
      </c>
      <c r="H178" s="4">
        <v>10</v>
      </c>
      <c r="I178" s="4">
        <v>34</v>
      </c>
      <c r="J178" s="4" t="s">
        <v>8</v>
      </c>
      <c r="K178" s="4" t="s">
        <v>7</v>
      </c>
      <c r="L178" s="11"/>
      <c r="M178" s="3"/>
      <c r="N178"/>
      <c r="O178" s="4"/>
      <c r="P178" s="1"/>
      <c r="Q178" s="22"/>
      <c r="R178" t="s">
        <v>88</v>
      </c>
      <c r="S178" s="11"/>
      <c r="T178" t="s">
        <v>70</v>
      </c>
      <c r="U178"/>
      <c r="V178" s="1"/>
      <c r="W178" s="1"/>
    </row>
    <row r="179" spans="2:23" x14ac:dyDescent="0.35">
      <c r="B179" s="4">
        <v>20006647</v>
      </c>
      <c r="C179" s="1" t="s">
        <v>360</v>
      </c>
      <c r="D179" s="4" t="s">
        <v>86</v>
      </c>
      <c r="E179" s="3"/>
      <c r="F179" s="3" t="s">
        <v>68</v>
      </c>
      <c r="G179">
        <v>30</v>
      </c>
      <c r="H179" s="4">
        <v>50</v>
      </c>
      <c r="I179" s="4">
        <v>30</v>
      </c>
      <c r="J179" s="4" t="s">
        <v>8</v>
      </c>
      <c r="K179" s="4" t="s">
        <v>7</v>
      </c>
      <c r="L179" s="11"/>
      <c r="M179" s="3"/>
      <c r="N179"/>
      <c r="O179" s="4"/>
      <c r="P179" s="1"/>
      <c r="Q179" s="22"/>
      <c r="R179"/>
      <c r="S179" s="11"/>
      <c r="T179" t="s">
        <v>66</v>
      </c>
      <c r="U179"/>
      <c r="V179" s="1"/>
      <c r="W179" s="1"/>
    </row>
    <row r="180" spans="2:23" x14ac:dyDescent="0.35">
      <c r="B180" s="4">
        <v>20006648</v>
      </c>
      <c r="C180" s="1" t="s">
        <v>1325</v>
      </c>
      <c r="D180" s="4" t="s">
        <v>86</v>
      </c>
      <c r="E180" s="3"/>
      <c r="F180" s="3" t="s">
        <v>68</v>
      </c>
      <c r="G180">
        <v>20</v>
      </c>
      <c r="H180" s="4">
        <v>40</v>
      </c>
      <c r="I180" s="4">
        <v>27</v>
      </c>
      <c r="J180" s="4" t="s">
        <v>8</v>
      </c>
      <c r="K180" s="4" t="s">
        <v>7</v>
      </c>
      <c r="L180" s="11"/>
      <c r="M180" s="3"/>
      <c r="N180"/>
      <c r="O180" s="4"/>
      <c r="P180" s="1"/>
      <c r="Q180" s="22"/>
      <c r="R180"/>
      <c r="S180" s="11"/>
      <c r="T180" t="s">
        <v>66</v>
      </c>
      <c r="U180"/>
      <c r="V180" s="1"/>
      <c r="W180" s="1"/>
    </row>
    <row r="181" spans="2:23" x14ac:dyDescent="0.35">
      <c r="B181" s="4">
        <v>20007186</v>
      </c>
      <c r="C181" s="1" t="s">
        <v>136</v>
      </c>
      <c r="D181" s="4" t="s">
        <v>86</v>
      </c>
      <c r="E181" s="3" t="s">
        <v>87</v>
      </c>
      <c r="F181" s="3" t="s">
        <v>89</v>
      </c>
      <c r="G181">
        <v>20</v>
      </c>
      <c r="H181" s="4">
        <v>20</v>
      </c>
      <c r="I181" s="4">
        <v>26</v>
      </c>
      <c r="J181" s="4" t="s">
        <v>8</v>
      </c>
      <c r="K181" s="4" t="s">
        <v>7</v>
      </c>
      <c r="L181" s="11"/>
      <c r="M181" s="3"/>
      <c r="N181"/>
      <c r="O181" s="4"/>
      <c r="P181" s="1"/>
      <c r="Q181" s="22"/>
      <c r="R181" t="s">
        <v>88</v>
      </c>
      <c r="S181" s="11"/>
      <c r="T181" t="s">
        <v>70</v>
      </c>
      <c r="U181"/>
      <c r="V181" s="1"/>
      <c r="W181" s="1"/>
    </row>
    <row r="182" spans="2:23" x14ac:dyDescent="0.35">
      <c r="B182" s="4">
        <v>20006650</v>
      </c>
      <c r="C182" s="1" t="s">
        <v>1222</v>
      </c>
      <c r="D182" s="4" t="s">
        <v>86</v>
      </c>
      <c r="E182" s="3"/>
      <c r="F182" s="3" t="s">
        <v>68</v>
      </c>
      <c r="G182">
        <v>30</v>
      </c>
      <c r="H182" s="4">
        <v>40</v>
      </c>
      <c r="I182" s="4">
        <v>65</v>
      </c>
      <c r="J182" s="4" t="s">
        <v>8</v>
      </c>
      <c r="K182" s="4" t="s">
        <v>7</v>
      </c>
      <c r="L182" s="11"/>
      <c r="M182" s="3"/>
      <c r="N182"/>
      <c r="O182" s="4"/>
      <c r="P182" s="1"/>
      <c r="Q182" s="22"/>
      <c r="R182"/>
      <c r="S182" s="11"/>
      <c r="T182" t="s">
        <v>66</v>
      </c>
      <c r="U182"/>
      <c r="V182" s="1"/>
      <c r="W182" s="1"/>
    </row>
    <row r="183" spans="2:23" x14ac:dyDescent="0.35">
      <c r="B183" s="4">
        <v>20007189</v>
      </c>
      <c r="C183" s="1" t="s">
        <v>137</v>
      </c>
      <c r="D183" s="4" t="s">
        <v>86</v>
      </c>
      <c r="E183" s="3" t="s">
        <v>87</v>
      </c>
      <c r="F183" s="3" t="s">
        <v>89</v>
      </c>
      <c r="G183">
        <v>8</v>
      </c>
      <c r="H183" s="4">
        <v>8</v>
      </c>
      <c r="I183" s="4">
        <v>10</v>
      </c>
      <c r="J183" s="4" t="s">
        <v>8</v>
      </c>
      <c r="K183" s="4" t="s">
        <v>7</v>
      </c>
      <c r="L183" s="11"/>
      <c r="M183" s="3"/>
      <c r="N183"/>
      <c r="O183" s="4"/>
      <c r="P183" s="1"/>
      <c r="Q183" s="22"/>
      <c r="R183" t="s">
        <v>88</v>
      </c>
      <c r="S183" s="11"/>
      <c r="T183" t="s">
        <v>70</v>
      </c>
      <c r="U183"/>
      <c r="V183" s="1"/>
      <c r="W183" s="1"/>
    </row>
    <row r="184" spans="2:23" x14ac:dyDescent="0.35">
      <c r="B184" s="4">
        <v>20008355</v>
      </c>
      <c r="C184" s="1" t="s">
        <v>30</v>
      </c>
      <c r="D184" s="4" t="s">
        <v>86</v>
      </c>
      <c r="E184" s="3" t="s">
        <v>138</v>
      </c>
      <c r="F184" s="3" t="s">
        <v>89</v>
      </c>
      <c r="G184">
        <v>2000</v>
      </c>
      <c r="H184" s="4">
        <v>3000</v>
      </c>
      <c r="I184" s="4">
        <v>3700</v>
      </c>
      <c r="J184" s="4" t="s">
        <v>8</v>
      </c>
      <c r="K184" s="4" t="s">
        <v>7</v>
      </c>
      <c r="L184" s="11"/>
      <c r="M184" s="3"/>
      <c r="N184"/>
      <c r="O184" s="4"/>
      <c r="P184" s="1"/>
      <c r="Q184" s="22"/>
      <c r="R184" t="s">
        <v>139</v>
      </c>
      <c r="S184" s="11"/>
      <c r="T184" t="s">
        <v>67</v>
      </c>
      <c r="U184"/>
      <c r="V184" s="1"/>
      <c r="W184" s="1"/>
    </row>
    <row r="185" spans="2:23" x14ac:dyDescent="0.35">
      <c r="B185" s="4">
        <v>20006954</v>
      </c>
      <c r="C185" s="1" t="s">
        <v>1601</v>
      </c>
      <c r="D185" s="4" t="s">
        <v>86</v>
      </c>
      <c r="E185" s="3"/>
      <c r="F185" s="3" t="s">
        <v>68</v>
      </c>
      <c r="G185">
        <v>10</v>
      </c>
      <c r="H185" s="4">
        <v>10</v>
      </c>
      <c r="I185" s="4">
        <v>15</v>
      </c>
      <c r="J185" s="4" t="s">
        <v>8</v>
      </c>
      <c r="K185" s="4" t="s">
        <v>7</v>
      </c>
      <c r="L185" s="11"/>
      <c r="M185" s="3"/>
      <c r="N185"/>
      <c r="O185" s="4"/>
      <c r="P185" s="1"/>
      <c r="Q185" s="22"/>
      <c r="R185"/>
      <c r="S185" s="11"/>
      <c r="T185" t="s">
        <v>66</v>
      </c>
      <c r="U185"/>
      <c r="V185" s="1"/>
      <c r="W185" s="1"/>
    </row>
    <row r="186" spans="2:23" x14ac:dyDescent="0.35">
      <c r="B186" s="4">
        <v>20007190</v>
      </c>
      <c r="C186" s="1" t="s">
        <v>140</v>
      </c>
      <c r="D186" s="4" t="s">
        <v>86</v>
      </c>
      <c r="E186" s="3" t="s">
        <v>87</v>
      </c>
      <c r="F186" s="3" t="s">
        <v>89</v>
      </c>
      <c r="G186">
        <v>20</v>
      </c>
      <c r="H186" s="4">
        <v>20</v>
      </c>
      <c r="I186" s="4">
        <v>34</v>
      </c>
      <c r="J186" s="4" t="s">
        <v>8</v>
      </c>
      <c r="K186" s="4" t="s">
        <v>7</v>
      </c>
      <c r="L186" s="11"/>
      <c r="M186" s="3"/>
      <c r="N186"/>
      <c r="O186" s="4"/>
      <c r="P186" s="1"/>
      <c r="Q186" s="22"/>
      <c r="R186" t="s">
        <v>88</v>
      </c>
      <c r="S186" s="11"/>
      <c r="T186" t="s">
        <v>70</v>
      </c>
      <c r="U186"/>
      <c r="V186" s="1"/>
      <c r="W186" s="1"/>
    </row>
    <row r="187" spans="2:23" x14ac:dyDescent="0.35">
      <c r="B187" s="4">
        <v>20007008</v>
      </c>
      <c r="C187" s="1" t="s">
        <v>1062</v>
      </c>
      <c r="D187" s="4" t="s">
        <v>86</v>
      </c>
      <c r="E187" s="3"/>
      <c r="F187" s="3" t="s">
        <v>68</v>
      </c>
      <c r="G187">
        <v>8</v>
      </c>
      <c r="H187" s="4">
        <v>2</v>
      </c>
      <c r="I187" s="4">
        <v>8</v>
      </c>
      <c r="J187" s="4" t="s">
        <v>8</v>
      </c>
      <c r="K187" s="4" t="s">
        <v>7</v>
      </c>
      <c r="L187" s="11"/>
      <c r="M187" s="3"/>
      <c r="N187"/>
      <c r="O187" s="4"/>
      <c r="P187" s="1"/>
      <c r="Q187" s="22"/>
      <c r="R187"/>
      <c r="S187" s="11"/>
      <c r="T187" t="s">
        <v>70</v>
      </c>
      <c r="U187"/>
      <c r="V187" s="1"/>
      <c r="W187" s="1"/>
    </row>
    <row r="188" spans="2:23" x14ac:dyDescent="0.35">
      <c r="B188" s="4">
        <v>20007010</v>
      </c>
      <c r="C188" s="1" t="s">
        <v>1063</v>
      </c>
      <c r="D188" s="4" t="s">
        <v>86</v>
      </c>
      <c r="E188" s="3"/>
      <c r="F188" s="3" t="s">
        <v>68</v>
      </c>
      <c r="G188">
        <v>5</v>
      </c>
      <c r="H188" s="4">
        <v>5</v>
      </c>
      <c r="I188" s="4">
        <v>6</v>
      </c>
      <c r="J188" s="4" t="s">
        <v>8</v>
      </c>
      <c r="K188" s="4" t="s">
        <v>7</v>
      </c>
      <c r="L188" s="11"/>
      <c r="M188" s="3"/>
      <c r="N188"/>
      <c r="O188" s="4"/>
      <c r="P188" s="1"/>
      <c r="Q188" s="22"/>
      <c r="R188"/>
      <c r="S188" s="11"/>
      <c r="T188" t="s">
        <v>70</v>
      </c>
      <c r="U188"/>
      <c r="V188" s="1"/>
      <c r="W188" s="1"/>
    </row>
    <row r="189" spans="2:23" x14ac:dyDescent="0.35">
      <c r="B189" s="4">
        <v>20015134</v>
      </c>
      <c r="C189" s="1" t="s">
        <v>141</v>
      </c>
      <c r="D189" s="4" t="s">
        <v>86</v>
      </c>
      <c r="E189" s="3" t="s">
        <v>91</v>
      </c>
      <c r="F189" s="3" t="s">
        <v>89</v>
      </c>
      <c r="G189">
        <v>2001</v>
      </c>
      <c r="H189" s="4">
        <v>5000</v>
      </c>
      <c r="I189" s="4">
        <v>6955</v>
      </c>
      <c r="J189" s="4" t="s">
        <v>10</v>
      </c>
      <c r="K189" s="4" t="s">
        <v>7</v>
      </c>
      <c r="L189" s="11"/>
      <c r="M189" s="3"/>
      <c r="N189"/>
      <c r="O189" s="4"/>
      <c r="P189" s="1"/>
      <c r="Q189" s="22"/>
      <c r="R189" t="s">
        <v>92</v>
      </c>
      <c r="S189" s="11"/>
      <c r="T189" t="s">
        <v>1603</v>
      </c>
      <c r="U189"/>
      <c r="V189" s="1"/>
      <c r="W189" s="1"/>
    </row>
    <row r="190" spans="2:23" x14ac:dyDescent="0.35">
      <c r="B190" s="4">
        <v>20007011</v>
      </c>
      <c r="C190" s="1" t="s">
        <v>1064</v>
      </c>
      <c r="D190" s="4" t="s">
        <v>86</v>
      </c>
      <c r="E190" s="3"/>
      <c r="F190" s="3" t="s">
        <v>68</v>
      </c>
      <c r="G190">
        <v>8</v>
      </c>
      <c r="H190" s="4">
        <v>2</v>
      </c>
      <c r="I190" s="4">
        <v>9</v>
      </c>
      <c r="J190" s="4" t="s">
        <v>8</v>
      </c>
      <c r="K190" s="4" t="s">
        <v>7</v>
      </c>
      <c r="L190" s="11"/>
      <c r="M190" s="3"/>
      <c r="N190"/>
      <c r="O190" s="4"/>
      <c r="P190" s="1"/>
      <c r="Q190" s="22"/>
      <c r="R190"/>
      <c r="S190" s="11"/>
      <c r="T190" t="s">
        <v>70</v>
      </c>
      <c r="U190"/>
      <c r="V190" s="1"/>
      <c r="W190" s="1"/>
    </row>
    <row r="191" spans="2:23" x14ac:dyDescent="0.35">
      <c r="B191" s="4">
        <v>20007143</v>
      </c>
      <c r="C191" s="1" t="s">
        <v>1585</v>
      </c>
      <c r="D191" s="4" t="s">
        <v>86</v>
      </c>
      <c r="E191" s="3"/>
      <c r="F191" s="3" t="s">
        <v>68</v>
      </c>
      <c r="G191">
        <v>1</v>
      </c>
      <c r="H191" s="4">
        <v>1</v>
      </c>
      <c r="I191" s="4">
        <v>2</v>
      </c>
      <c r="J191" s="4" t="s">
        <v>8</v>
      </c>
      <c r="K191" s="4" t="s">
        <v>7</v>
      </c>
      <c r="L191" s="11"/>
      <c r="M191" s="3"/>
      <c r="N191"/>
      <c r="O191" s="4"/>
      <c r="P191" s="1"/>
      <c r="Q191" s="22"/>
      <c r="R191"/>
      <c r="S191" s="11"/>
      <c r="T191" t="s">
        <v>69</v>
      </c>
      <c r="U191"/>
      <c r="V191" s="1"/>
      <c r="W191" s="1"/>
    </row>
    <row r="192" spans="2:23" x14ac:dyDescent="0.35">
      <c r="B192" s="4">
        <v>20007214</v>
      </c>
      <c r="C192" s="1" t="s">
        <v>142</v>
      </c>
      <c r="D192" s="4" t="s">
        <v>86</v>
      </c>
      <c r="E192" s="3" t="s">
        <v>87</v>
      </c>
      <c r="F192" s="3" t="s">
        <v>89</v>
      </c>
      <c r="G192">
        <v>15</v>
      </c>
      <c r="H192" s="4">
        <v>30</v>
      </c>
      <c r="I192" s="4">
        <v>53</v>
      </c>
      <c r="J192" s="4" t="s">
        <v>8</v>
      </c>
      <c r="K192" s="4" t="s">
        <v>7</v>
      </c>
      <c r="L192" s="11"/>
      <c r="M192" s="3"/>
      <c r="N192"/>
      <c r="O192" s="4"/>
      <c r="P192" s="1"/>
      <c r="Q192" s="22"/>
      <c r="R192" t="s">
        <v>88</v>
      </c>
      <c r="S192" s="11"/>
      <c r="T192" t="s">
        <v>1603</v>
      </c>
      <c r="U192"/>
      <c r="V192" s="1"/>
      <c r="W192" s="1"/>
    </row>
    <row r="193" spans="2:23" x14ac:dyDescent="0.35">
      <c r="B193" s="4">
        <v>20007164</v>
      </c>
      <c r="C193" s="1" t="s">
        <v>1106</v>
      </c>
      <c r="D193" s="4" t="s">
        <v>86</v>
      </c>
      <c r="E193" s="3"/>
      <c r="F193" s="3" t="s">
        <v>68</v>
      </c>
      <c r="G193">
        <v>80</v>
      </c>
      <c r="H193" s="4">
        <v>100</v>
      </c>
      <c r="I193" s="4">
        <v>159</v>
      </c>
      <c r="J193" s="4" t="s">
        <v>8</v>
      </c>
      <c r="K193" s="4" t="s">
        <v>7</v>
      </c>
      <c r="L193" s="11"/>
      <c r="M193" s="3"/>
      <c r="N193"/>
      <c r="O193" s="4"/>
      <c r="P193" s="1"/>
      <c r="Q193" s="22"/>
      <c r="R193"/>
      <c r="S193" s="11"/>
      <c r="T193" t="s">
        <v>71</v>
      </c>
      <c r="U193"/>
      <c r="V193" s="1"/>
      <c r="W193" s="1"/>
    </row>
    <row r="194" spans="2:23" x14ac:dyDescent="0.35">
      <c r="B194" s="4">
        <v>20007184</v>
      </c>
      <c r="C194" s="1" t="s">
        <v>1455</v>
      </c>
      <c r="D194" s="4" t="s">
        <v>86</v>
      </c>
      <c r="E194" s="3"/>
      <c r="F194" s="3" t="s">
        <v>68</v>
      </c>
      <c r="G194">
        <v>5</v>
      </c>
      <c r="H194" s="4">
        <v>2</v>
      </c>
      <c r="I194" s="4">
        <v>9</v>
      </c>
      <c r="J194" s="4" t="s">
        <v>8</v>
      </c>
      <c r="K194" s="4" t="s">
        <v>14</v>
      </c>
      <c r="L194" s="11"/>
      <c r="M194" s="3"/>
      <c r="N194"/>
      <c r="O194" s="4"/>
      <c r="P194" s="1"/>
      <c r="Q194" s="22"/>
      <c r="R194"/>
      <c r="S194" s="11"/>
      <c r="T194" t="s">
        <v>70</v>
      </c>
      <c r="U194"/>
      <c r="V194" s="1"/>
      <c r="W194" s="1"/>
    </row>
    <row r="195" spans="2:23" x14ac:dyDescent="0.35">
      <c r="B195" s="4">
        <v>20007265</v>
      </c>
      <c r="C195" s="1" t="s">
        <v>143</v>
      </c>
      <c r="D195" s="4" t="s">
        <v>86</v>
      </c>
      <c r="E195" s="3" t="s">
        <v>87</v>
      </c>
      <c r="F195" s="3" t="s">
        <v>89</v>
      </c>
      <c r="G195">
        <v>15</v>
      </c>
      <c r="H195" s="4">
        <v>30</v>
      </c>
      <c r="I195" s="4">
        <v>38</v>
      </c>
      <c r="J195" s="4" t="s">
        <v>23</v>
      </c>
      <c r="K195" s="4" t="s">
        <v>7</v>
      </c>
      <c r="L195" s="11"/>
      <c r="M195" s="65"/>
      <c r="N195"/>
      <c r="O195" s="4"/>
      <c r="P195" s="1"/>
      <c r="Q195" s="22"/>
      <c r="R195" t="s">
        <v>88</v>
      </c>
      <c r="S195" s="11"/>
      <c r="T195" t="s">
        <v>1603</v>
      </c>
      <c r="U195"/>
      <c r="V195" s="1"/>
      <c r="W195" s="1"/>
    </row>
    <row r="196" spans="2:23" x14ac:dyDescent="0.35">
      <c r="B196" s="4">
        <v>20007187</v>
      </c>
      <c r="C196" s="1" t="s">
        <v>1065</v>
      </c>
      <c r="D196" s="4" t="s">
        <v>86</v>
      </c>
      <c r="E196" s="3"/>
      <c r="F196" s="3" t="s">
        <v>68</v>
      </c>
      <c r="G196">
        <v>25</v>
      </c>
      <c r="H196" s="4">
        <v>25</v>
      </c>
      <c r="I196" s="4">
        <v>38</v>
      </c>
      <c r="J196" s="4" t="s">
        <v>8</v>
      </c>
      <c r="K196" s="4" t="s">
        <v>7</v>
      </c>
      <c r="L196" s="11"/>
      <c r="M196" s="3"/>
      <c r="N196"/>
      <c r="O196" s="4"/>
      <c r="P196" s="1"/>
      <c r="Q196" s="22"/>
      <c r="R196"/>
      <c r="S196" s="11"/>
      <c r="T196" t="s">
        <v>70</v>
      </c>
      <c r="U196"/>
      <c r="V196" s="1"/>
      <c r="W196" s="1"/>
    </row>
    <row r="197" spans="2:23" x14ac:dyDescent="0.35">
      <c r="B197" s="4">
        <v>20007290</v>
      </c>
      <c r="C197" s="1" t="s">
        <v>145</v>
      </c>
      <c r="D197" s="4" t="s">
        <v>86</v>
      </c>
      <c r="E197" s="3" t="s">
        <v>87</v>
      </c>
      <c r="F197" s="3" t="s">
        <v>89</v>
      </c>
      <c r="G197">
        <v>5</v>
      </c>
      <c r="H197" s="4">
        <v>10</v>
      </c>
      <c r="I197" s="4">
        <v>10</v>
      </c>
      <c r="J197" s="4" t="s">
        <v>8</v>
      </c>
      <c r="K197" s="4" t="s">
        <v>7</v>
      </c>
      <c r="L197" s="11"/>
      <c r="M197" s="3"/>
      <c r="N197"/>
      <c r="O197" s="4"/>
      <c r="P197" s="1"/>
      <c r="Q197" s="22"/>
      <c r="R197" t="s">
        <v>88</v>
      </c>
      <c r="S197" s="11"/>
      <c r="T197" t="s">
        <v>1603</v>
      </c>
      <c r="U197"/>
      <c r="V197" s="1"/>
      <c r="W197" s="1"/>
    </row>
    <row r="198" spans="2:23" x14ac:dyDescent="0.35">
      <c r="B198" s="4">
        <v>20007327</v>
      </c>
      <c r="C198" s="1" t="s">
        <v>1416</v>
      </c>
      <c r="D198" s="4" t="s">
        <v>86</v>
      </c>
      <c r="E198" s="3" t="s">
        <v>87</v>
      </c>
      <c r="F198" s="3" t="s">
        <v>89</v>
      </c>
      <c r="G198">
        <v>8</v>
      </c>
      <c r="H198" s="4">
        <v>6</v>
      </c>
      <c r="I198" s="4">
        <v>8</v>
      </c>
      <c r="J198" s="4" t="s">
        <v>8</v>
      </c>
      <c r="K198" s="4" t="s">
        <v>7</v>
      </c>
      <c r="L198" s="11"/>
      <c r="M198" s="3"/>
      <c r="N198"/>
      <c r="O198" s="4"/>
      <c r="P198" s="1"/>
      <c r="Q198" s="22"/>
      <c r="R198" t="s">
        <v>88</v>
      </c>
      <c r="S198" s="11" t="s">
        <v>6856</v>
      </c>
      <c r="T198" t="s">
        <v>1603</v>
      </c>
      <c r="U198"/>
      <c r="V198" s="1"/>
      <c r="W198" s="1"/>
    </row>
    <row r="199" spans="2:23" x14ac:dyDescent="0.35">
      <c r="B199" s="4">
        <v>20007435</v>
      </c>
      <c r="C199" s="1" t="s">
        <v>146</v>
      </c>
      <c r="D199" s="4" t="s">
        <v>86</v>
      </c>
      <c r="E199" s="3" t="s">
        <v>97</v>
      </c>
      <c r="F199" s="3" t="s">
        <v>89</v>
      </c>
      <c r="G199">
        <v>1</v>
      </c>
      <c r="H199" s="4">
        <v>1</v>
      </c>
      <c r="I199" s="4">
        <v>7</v>
      </c>
      <c r="J199" s="4" t="s">
        <v>8</v>
      </c>
      <c r="K199" s="4" t="s">
        <v>14</v>
      </c>
      <c r="L199" s="11"/>
      <c r="M199" s="3"/>
      <c r="N199"/>
      <c r="O199" s="4"/>
      <c r="P199" s="1"/>
      <c r="Q199" s="22"/>
      <c r="R199" t="s">
        <v>98</v>
      </c>
      <c r="S199" s="11"/>
      <c r="T199" t="s">
        <v>67</v>
      </c>
      <c r="U199"/>
      <c r="V199" s="1"/>
      <c r="W199" s="1"/>
    </row>
    <row r="200" spans="2:23" x14ac:dyDescent="0.35">
      <c r="B200" s="4">
        <v>20007191</v>
      </c>
      <c r="C200" s="1" t="s">
        <v>1219</v>
      </c>
      <c r="D200" s="4" t="s">
        <v>86</v>
      </c>
      <c r="E200" s="3"/>
      <c r="F200" s="3" t="s">
        <v>68</v>
      </c>
      <c r="G200">
        <v>8</v>
      </c>
      <c r="H200" s="4">
        <v>3</v>
      </c>
      <c r="I200" s="4">
        <v>11</v>
      </c>
      <c r="J200" s="4" t="s">
        <v>8</v>
      </c>
      <c r="K200" s="4" t="s">
        <v>7</v>
      </c>
      <c r="L200" s="11"/>
      <c r="M200" s="3"/>
      <c r="N200"/>
      <c r="O200" s="4"/>
      <c r="P200" s="1"/>
      <c r="Q200" s="22"/>
      <c r="R200"/>
      <c r="S200" s="11"/>
      <c r="T200" t="s">
        <v>70</v>
      </c>
      <c r="U200"/>
      <c r="V200" s="1"/>
      <c r="W200" s="1"/>
    </row>
    <row r="201" spans="2:23" x14ac:dyDescent="0.35">
      <c r="B201" s="4">
        <v>20007514</v>
      </c>
      <c r="C201" s="1" t="s">
        <v>147</v>
      </c>
      <c r="D201" s="4" t="s">
        <v>86</v>
      </c>
      <c r="E201" s="3" t="s">
        <v>118</v>
      </c>
      <c r="F201" s="3" t="s">
        <v>89</v>
      </c>
      <c r="G201">
        <v>2</v>
      </c>
      <c r="H201" s="4">
        <v>2</v>
      </c>
      <c r="I201" s="4">
        <v>13</v>
      </c>
      <c r="J201" s="4" t="s">
        <v>8</v>
      </c>
      <c r="K201" s="4" t="s">
        <v>14</v>
      </c>
      <c r="L201" s="11"/>
      <c r="M201" s="3"/>
      <c r="N201"/>
      <c r="O201" s="4"/>
      <c r="P201" s="1"/>
      <c r="Q201" s="22"/>
      <c r="R201" t="s">
        <v>148</v>
      </c>
      <c r="S201" s="11"/>
      <c r="T201" t="s">
        <v>67</v>
      </c>
      <c r="U201"/>
      <c r="V201" s="1"/>
      <c r="W201" s="1"/>
    </row>
    <row r="202" spans="2:23" x14ac:dyDescent="0.35">
      <c r="B202" s="4">
        <v>20007531</v>
      </c>
      <c r="C202" s="1" t="s">
        <v>149</v>
      </c>
      <c r="D202" s="4" t="s">
        <v>86</v>
      </c>
      <c r="E202" s="3" t="s">
        <v>118</v>
      </c>
      <c r="F202" s="3" t="s">
        <v>89</v>
      </c>
      <c r="G202">
        <v>5</v>
      </c>
      <c r="H202" s="4">
        <v>8</v>
      </c>
      <c r="I202" s="4">
        <v>9</v>
      </c>
      <c r="J202" s="4" t="s">
        <v>8</v>
      </c>
      <c r="K202" s="4" t="s">
        <v>7</v>
      </c>
      <c r="L202" s="11"/>
      <c r="M202" s="3"/>
      <c r="N202"/>
      <c r="O202" s="4"/>
      <c r="P202" s="1"/>
      <c r="Q202" s="22"/>
      <c r="R202" t="s">
        <v>148</v>
      </c>
      <c r="S202" s="11"/>
      <c r="T202" t="s">
        <v>67</v>
      </c>
      <c r="U202"/>
      <c r="V202" s="1"/>
      <c r="W202" s="1"/>
    </row>
    <row r="203" spans="2:23" x14ac:dyDescent="0.35">
      <c r="B203" s="4">
        <v>20007563</v>
      </c>
      <c r="C203" s="1" t="s">
        <v>27</v>
      </c>
      <c r="D203" s="4" t="s">
        <v>86</v>
      </c>
      <c r="E203" s="3"/>
      <c r="F203" s="3" t="s">
        <v>89</v>
      </c>
      <c r="G203">
        <v>8</v>
      </c>
      <c r="H203" s="4">
        <v>12</v>
      </c>
      <c r="I203" s="4">
        <v>17</v>
      </c>
      <c r="J203" s="4" t="s">
        <v>8</v>
      </c>
      <c r="K203" s="4" t="s">
        <v>7</v>
      </c>
      <c r="L203" s="11"/>
      <c r="M203" s="3"/>
      <c r="N203"/>
      <c r="O203" s="4"/>
      <c r="P203" s="1"/>
      <c r="Q203" s="22"/>
      <c r="R203" t="s">
        <v>113</v>
      </c>
      <c r="S203" s="11"/>
      <c r="T203" t="s">
        <v>1603</v>
      </c>
      <c r="U203"/>
      <c r="V203" s="1"/>
      <c r="W203" s="1"/>
    </row>
    <row r="204" spans="2:23" x14ac:dyDescent="0.35">
      <c r="B204" s="4">
        <v>20007835</v>
      </c>
      <c r="C204" s="1" t="s">
        <v>151</v>
      </c>
      <c r="D204" s="4" t="s">
        <v>86</v>
      </c>
      <c r="E204" s="3" t="s">
        <v>118</v>
      </c>
      <c r="F204" s="3" t="s">
        <v>89</v>
      </c>
      <c r="G204">
        <v>20</v>
      </c>
      <c r="H204" s="4">
        <v>30</v>
      </c>
      <c r="I204" s="4">
        <v>37</v>
      </c>
      <c r="J204" s="4" t="s">
        <v>8</v>
      </c>
      <c r="K204" s="4" t="s">
        <v>7</v>
      </c>
      <c r="L204" s="11"/>
      <c r="M204" s="3"/>
      <c r="N204"/>
      <c r="O204" s="4"/>
      <c r="P204" s="1"/>
      <c r="Q204" s="22"/>
      <c r="R204" t="s">
        <v>148</v>
      </c>
      <c r="S204" s="11"/>
      <c r="T204" t="s">
        <v>67</v>
      </c>
      <c r="U204"/>
      <c r="V204" s="1"/>
      <c r="W204" s="1"/>
    </row>
    <row r="205" spans="2:23" x14ac:dyDescent="0.35">
      <c r="B205" s="4">
        <v>20007335</v>
      </c>
      <c r="C205" s="1" t="s">
        <v>1488</v>
      </c>
      <c r="D205" s="4" t="s">
        <v>86</v>
      </c>
      <c r="E205" s="3"/>
      <c r="F205" s="3" t="s">
        <v>68</v>
      </c>
      <c r="G205">
        <v>2</v>
      </c>
      <c r="H205" s="4">
        <v>2</v>
      </c>
      <c r="I205" s="4">
        <v>1</v>
      </c>
      <c r="J205" s="4" t="s">
        <v>8</v>
      </c>
      <c r="K205" s="4" t="s">
        <v>9</v>
      </c>
      <c r="L205" s="11">
        <v>1002706194</v>
      </c>
      <c r="M205" s="3">
        <v>3</v>
      </c>
      <c r="N205"/>
      <c r="O205" s="4"/>
      <c r="P205" s="1"/>
      <c r="Q205" s="22"/>
      <c r="R205"/>
      <c r="S205" s="11"/>
      <c r="T205" t="s">
        <v>70</v>
      </c>
      <c r="U205"/>
      <c r="V205" s="1"/>
      <c r="W205" s="1"/>
    </row>
    <row r="206" spans="2:23" x14ac:dyDescent="0.35">
      <c r="B206" s="4">
        <v>20007926</v>
      </c>
      <c r="C206" s="1" t="s">
        <v>152</v>
      </c>
      <c r="D206" s="4" t="s">
        <v>86</v>
      </c>
      <c r="E206" s="3" t="s">
        <v>118</v>
      </c>
      <c r="F206" s="3" t="s">
        <v>89</v>
      </c>
      <c r="G206">
        <v>15</v>
      </c>
      <c r="H206" s="4">
        <v>10</v>
      </c>
      <c r="I206" s="4">
        <v>21</v>
      </c>
      <c r="J206" s="4" t="s">
        <v>8</v>
      </c>
      <c r="K206" s="4" t="s">
        <v>7</v>
      </c>
      <c r="L206" s="11"/>
      <c r="M206" s="3"/>
      <c r="N206"/>
      <c r="O206" s="4"/>
      <c r="P206" s="1"/>
      <c r="Q206" s="22"/>
      <c r="R206" t="s">
        <v>148</v>
      </c>
      <c r="S206" s="11"/>
      <c r="T206" t="s">
        <v>66</v>
      </c>
      <c r="U206"/>
      <c r="V206" s="1"/>
      <c r="W206" s="1"/>
    </row>
    <row r="207" spans="2:23" x14ac:dyDescent="0.35">
      <c r="B207" s="4">
        <v>20007338</v>
      </c>
      <c r="C207" s="1" t="s">
        <v>1489</v>
      </c>
      <c r="D207" s="4" t="s">
        <v>86</v>
      </c>
      <c r="E207" s="3"/>
      <c r="F207" s="3" t="s">
        <v>68</v>
      </c>
      <c r="G207">
        <v>1</v>
      </c>
      <c r="H207" s="4">
        <v>2</v>
      </c>
      <c r="I207" s="4">
        <v>3</v>
      </c>
      <c r="J207" s="4" t="s">
        <v>8</v>
      </c>
      <c r="K207" s="4" t="s">
        <v>7</v>
      </c>
      <c r="L207" s="11"/>
      <c r="M207" s="3"/>
      <c r="N207"/>
      <c r="O207" s="4"/>
      <c r="P207" s="1"/>
      <c r="Q207" s="22"/>
      <c r="R207"/>
      <c r="S207" s="11"/>
      <c r="T207" t="s">
        <v>70</v>
      </c>
      <c r="U207"/>
      <c r="V207" s="1"/>
      <c r="W207" s="1"/>
    </row>
    <row r="208" spans="2:23" x14ac:dyDescent="0.35">
      <c r="B208" s="4">
        <v>20007928</v>
      </c>
      <c r="C208" s="1" t="s">
        <v>1520</v>
      </c>
      <c r="D208" s="4" t="s">
        <v>86</v>
      </c>
      <c r="E208" s="3" t="s">
        <v>118</v>
      </c>
      <c r="F208" s="3" t="s">
        <v>89</v>
      </c>
      <c r="G208">
        <v>16</v>
      </c>
      <c r="H208" s="4">
        <v>32</v>
      </c>
      <c r="I208" s="4">
        <v>21</v>
      </c>
      <c r="J208" s="4" t="s">
        <v>8</v>
      </c>
      <c r="K208" s="4" t="s">
        <v>7</v>
      </c>
      <c r="L208" s="11"/>
      <c r="M208" s="3"/>
      <c r="N208"/>
      <c r="O208" s="4"/>
      <c r="P208" s="1"/>
      <c r="Q208" s="22"/>
      <c r="R208" t="s">
        <v>148</v>
      </c>
      <c r="S208" s="11"/>
      <c r="T208" t="s">
        <v>67</v>
      </c>
      <c r="U208"/>
      <c r="V208" s="1"/>
      <c r="W208" s="1"/>
    </row>
    <row r="209" spans="2:23" x14ac:dyDescent="0.35">
      <c r="B209" s="4">
        <v>20008028</v>
      </c>
      <c r="C209" s="1" t="s">
        <v>153</v>
      </c>
      <c r="D209" s="4" t="s">
        <v>86</v>
      </c>
      <c r="E209" s="3" t="s">
        <v>118</v>
      </c>
      <c r="F209" s="3" t="s">
        <v>89</v>
      </c>
      <c r="G209">
        <v>4</v>
      </c>
      <c r="H209" s="4">
        <v>8</v>
      </c>
      <c r="I209" s="4">
        <v>9</v>
      </c>
      <c r="J209" s="4" t="s">
        <v>8</v>
      </c>
      <c r="K209" s="4" t="s">
        <v>7</v>
      </c>
      <c r="L209" s="11"/>
      <c r="M209" s="3"/>
      <c r="N209"/>
      <c r="O209" s="4"/>
      <c r="P209" s="1"/>
      <c r="Q209" s="22"/>
      <c r="R209" t="s">
        <v>148</v>
      </c>
      <c r="S209" s="11"/>
      <c r="T209" t="s">
        <v>71</v>
      </c>
      <c r="U209"/>
      <c r="V209" s="1"/>
      <c r="W209" s="1"/>
    </row>
    <row r="210" spans="2:23" x14ac:dyDescent="0.35">
      <c r="B210" s="4">
        <v>20008058</v>
      </c>
      <c r="C210" s="1" t="s">
        <v>28</v>
      </c>
      <c r="D210" s="4" t="s">
        <v>86</v>
      </c>
      <c r="E210" s="3"/>
      <c r="F210" s="3" t="s">
        <v>89</v>
      </c>
      <c r="G210">
        <v>100</v>
      </c>
      <c r="H210" s="4">
        <v>200</v>
      </c>
      <c r="I210" s="4">
        <v>125</v>
      </c>
      <c r="J210" s="4" t="s">
        <v>8</v>
      </c>
      <c r="K210" s="4" t="s">
        <v>7</v>
      </c>
      <c r="L210" s="11"/>
      <c r="M210" s="3"/>
      <c r="N210"/>
      <c r="O210" s="4"/>
      <c r="P210" s="1"/>
      <c r="Q210" s="22"/>
      <c r="R210" t="s">
        <v>113</v>
      </c>
      <c r="S210" s="11"/>
      <c r="T210" t="s">
        <v>1603</v>
      </c>
      <c r="U210"/>
      <c r="V210" s="1"/>
      <c r="W210" s="1"/>
    </row>
    <row r="211" spans="2:23" x14ac:dyDescent="0.35">
      <c r="B211" s="4">
        <v>20008069</v>
      </c>
      <c r="C211" s="1" t="s">
        <v>29</v>
      </c>
      <c r="D211" s="4" t="s">
        <v>86</v>
      </c>
      <c r="E211" s="3"/>
      <c r="F211" s="3" t="s">
        <v>89</v>
      </c>
      <c r="G211">
        <v>150</v>
      </c>
      <c r="H211" s="4">
        <v>250</v>
      </c>
      <c r="I211" s="4">
        <v>281</v>
      </c>
      <c r="J211" s="4" t="s">
        <v>8</v>
      </c>
      <c r="K211" s="4" t="s">
        <v>7</v>
      </c>
      <c r="L211" s="11"/>
      <c r="M211" s="3"/>
      <c r="N211"/>
      <c r="O211" s="4"/>
      <c r="P211" s="1"/>
      <c r="Q211" s="22"/>
      <c r="R211" t="s">
        <v>113</v>
      </c>
      <c r="S211" s="11"/>
      <c r="T211" t="s">
        <v>1603</v>
      </c>
      <c r="U211"/>
      <c r="V211" s="1"/>
      <c r="W211" s="1"/>
    </row>
    <row r="212" spans="2:23" x14ac:dyDescent="0.35">
      <c r="B212" s="4">
        <v>20007652</v>
      </c>
      <c r="C212" s="1" t="s">
        <v>1276</v>
      </c>
      <c r="D212" s="4" t="s">
        <v>86</v>
      </c>
      <c r="E212" s="3"/>
      <c r="F212" s="3" t="s">
        <v>68</v>
      </c>
      <c r="G212">
        <v>50</v>
      </c>
      <c r="H212" s="4">
        <v>30</v>
      </c>
      <c r="I212" s="4">
        <v>80</v>
      </c>
      <c r="J212" s="4" t="s">
        <v>25</v>
      </c>
      <c r="K212" s="4" t="s">
        <v>7</v>
      </c>
      <c r="L212" s="11"/>
      <c r="M212" s="3"/>
      <c r="N212"/>
      <c r="O212" s="4"/>
      <c r="P212" s="1"/>
      <c r="Q212" s="22"/>
      <c r="R212"/>
      <c r="S212" s="11"/>
      <c r="T212" t="s">
        <v>67</v>
      </c>
      <c r="U212"/>
      <c r="V212" s="1"/>
      <c r="W212" s="1"/>
    </row>
    <row r="213" spans="2:23" x14ac:dyDescent="0.35">
      <c r="B213" s="4">
        <v>20008258</v>
      </c>
      <c r="C213" s="1" t="s">
        <v>154</v>
      </c>
      <c r="D213" s="4" t="s">
        <v>86</v>
      </c>
      <c r="E213" s="3" t="s">
        <v>118</v>
      </c>
      <c r="F213" s="3" t="s">
        <v>89</v>
      </c>
      <c r="G213">
        <v>8</v>
      </c>
      <c r="H213" s="4">
        <v>10</v>
      </c>
      <c r="I213" s="4">
        <v>17</v>
      </c>
      <c r="J213" s="4" t="s">
        <v>8</v>
      </c>
      <c r="K213" s="4" t="s">
        <v>7</v>
      </c>
      <c r="L213" s="11"/>
      <c r="M213" s="3"/>
      <c r="N213"/>
      <c r="O213" s="4"/>
      <c r="P213" s="1"/>
      <c r="Q213" s="22"/>
      <c r="R213" t="s">
        <v>148</v>
      </c>
      <c r="S213" s="11"/>
      <c r="T213" t="s">
        <v>67</v>
      </c>
      <c r="U213"/>
      <c r="V213" s="1"/>
      <c r="W213" s="1"/>
    </row>
    <row r="214" spans="2:23" x14ac:dyDescent="0.35">
      <c r="B214" s="4">
        <v>20007660</v>
      </c>
      <c r="C214" s="1" t="s">
        <v>1277</v>
      </c>
      <c r="D214" s="4" t="s">
        <v>86</v>
      </c>
      <c r="E214" s="3"/>
      <c r="F214" s="3" t="s">
        <v>68</v>
      </c>
      <c r="G214">
        <v>50</v>
      </c>
      <c r="H214" s="4">
        <v>100</v>
      </c>
      <c r="I214" s="4">
        <v>97</v>
      </c>
      <c r="J214" s="4" t="s">
        <v>25</v>
      </c>
      <c r="K214" s="4" t="s">
        <v>7</v>
      </c>
      <c r="L214" s="11"/>
      <c r="M214" s="3"/>
      <c r="N214"/>
      <c r="O214" s="4"/>
      <c r="P214" s="1"/>
      <c r="Q214" s="22"/>
      <c r="R214"/>
      <c r="S214" s="11"/>
      <c r="T214" t="s">
        <v>67</v>
      </c>
      <c r="U214"/>
      <c r="V214" s="1"/>
      <c r="W214" s="1"/>
    </row>
    <row r="215" spans="2:23" x14ac:dyDescent="0.35">
      <c r="B215" s="4">
        <v>20008271</v>
      </c>
      <c r="C215" s="1" t="s">
        <v>155</v>
      </c>
      <c r="D215" s="4" t="s">
        <v>86</v>
      </c>
      <c r="E215" s="3" t="s">
        <v>118</v>
      </c>
      <c r="F215" s="3" t="s">
        <v>89</v>
      </c>
      <c r="G215">
        <v>8</v>
      </c>
      <c r="H215" s="4">
        <v>16</v>
      </c>
      <c r="I215" s="4">
        <v>26</v>
      </c>
      <c r="J215" s="4" t="s">
        <v>8</v>
      </c>
      <c r="K215" s="4" t="s">
        <v>14</v>
      </c>
      <c r="L215" s="11"/>
      <c r="M215" s="3"/>
      <c r="N215"/>
      <c r="O215" s="4"/>
      <c r="P215" s="1"/>
      <c r="Q215" s="22"/>
      <c r="R215" t="s">
        <v>156</v>
      </c>
      <c r="S215" s="11"/>
      <c r="T215" t="s">
        <v>70</v>
      </c>
      <c r="U215"/>
      <c r="V215" s="1"/>
      <c r="W215" s="1"/>
    </row>
    <row r="216" spans="2:23" x14ac:dyDescent="0.35">
      <c r="B216" s="4">
        <v>20007824</v>
      </c>
      <c r="C216" s="1" t="s">
        <v>1494</v>
      </c>
      <c r="D216" s="4" t="s">
        <v>86</v>
      </c>
      <c r="E216" s="3"/>
      <c r="F216" s="3" t="s">
        <v>68</v>
      </c>
      <c r="G216">
        <v>3</v>
      </c>
      <c r="H216" s="4">
        <v>3</v>
      </c>
      <c r="I216" s="4">
        <v>10</v>
      </c>
      <c r="J216" s="4" t="s">
        <v>8</v>
      </c>
      <c r="K216" s="4" t="s">
        <v>14</v>
      </c>
      <c r="L216" s="11"/>
      <c r="M216" s="3"/>
      <c r="N216"/>
      <c r="O216" s="4"/>
      <c r="P216" s="1"/>
      <c r="Q216" s="22"/>
      <c r="R216"/>
      <c r="S216" s="11"/>
      <c r="T216" t="s">
        <v>67</v>
      </c>
      <c r="U216"/>
      <c r="V216" s="1"/>
      <c r="W216" s="1"/>
    </row>
    <row r="217" spans="2:23" x14ac:dyDescent="0.35">
      <c r="B217" s="4">
        <v>20008525</v>
      </c>
      <c r="C217" s="1" t="s">
        <v>157</v>
      </c>
      <c r="D217" s="4" t="s">
        <v>86</v>
      </c>
      <c r="E217" s="3"/>
      <c r="F217" s="3" t="s">
        <v>89</v>
      </c>
      <c r="G217">
        <v>700</v>
      </c>
      <c r="H217" s="4">
        <v>1000</v>
      </c>
      <c r="I217" s="4">
        <v>2200</v>
      </c>
      <c r="J217" s="4" t="s">
        <v>8</v>
      </c>
      <c r="K217" s="4" t="s">
        <v>14</v>
      </c>
      <c r="L217" s="11"/>
      <c r="M217" s="3"/>
      <c r="N217"/>
      <c r="O217" s="4"/>
      <c r="P217" s="1"/>
      <c r="Q217" s="22"/>
      <c r="R217" t="s">
        <v>113</v>
      </c>
      <c r="S217" s="11"/>
      <c r="T217" t="s">
        <v>67</v>
      </c>
      <c r="U217"/>
      <c r="V217" s="1"/>
      <c r="W217" s="1"/>
    </row>
    <row r="218" spans="2:23" x14ac:dyDescent="0.35">
      <c r="B218" s="4">
        <v>20007855</v>
      </c>
      <c r="C218" s="1" t="s">
        <v>1521</v>
      </c>
      <c r="D218" s="4" t="s">
        <v>86</v>
      </c>
      <c r="E218" s="3"/>
      <c r="F218" s="3" t="s">
        <v>68</v>
      </c>
      <c r="G218">
        <v>4</v>
      </c>
      <c r="H218" s="4">
        <v>4</v>
      </c>
      <c r="I218" s="4">
        <v>8</v>
      </c>
      <c r="J218" s="4" t="s">
        <v>8</v>
      </c>
      <c r="K218" s="4" t="s">
        <v>7</v>
      </c>
      <c r="L218" s="11"/>
      <c r="M218" s="3"/>
      <c r="N218"/>
      <c r="O218" s="4"/>
      <c r="P218" s="1"/>
      <c r="Q218" s="22"/>
      <c r="R218"/>
      <c r="S218" s="11"/>
      <c r="T218" t="s">
        <v>67</v>
      </c>
      <c r="U218"/>
      <c r="V218" s="1"/>
      <c r="W218" s="1"/>
    </row>
    <row r="219" spans="2:23" x14ac:dyDescent="0.35">
      <c r="B219" s="4">
        <v>20008954</v>
      </c>
      <c r="C219" s="1" t="s">
        <v>31</v>
      </c>
      <c r="D219" s="4" t="s">
        <v>86</v>
      </c>
      <c r="E219" s="3" t="s">
        <v>87</v>
      </c>
      <c r="F219" s="3" t="s">
        <v>89</v>
      </c>
      <c r="G219">
        <v>30</v>
      </c>
      <c r="H219" s="4">
        <v>50</v>
      </c>
      <c r="I219" s="4">
        <v>37</v>
      </c>
      <c r="J219" s="4" t="s">
        <v>8</v>
      </c>
      <c r="K219" s="4" t="s">
        <v>7</v>
      </c>
      <c r="L219" s="11"/>
      <c r="M219" s="3"/>
      <c r="N219"/>
      <c r="O219" s="4"/>
      <c r="P219" s="1"/>
      <c r="Q219" s="22"/>
      <c r="R219" t="s">
        <v>88</v>
      </c>
      <c r="S219" s="11"/>
      <c r="T219" t="s">
        <v>66</v>
      </c>
      <c r="U219"/>
      <c r="V219" s="1"/>
      <c r="W219" s="1"/>
    </row>
    <row r="220" spans="2:23" x14ac:dyDescent="0.35">
      <c r="B220" s="4">
        <v>20007923</v>
      </c>
      <c r="C220" s="1" t="s">
        <v>1377</v>
      </c>
      <c r="D220" s="4" t="s">
        <v>86</v>
      </c>
      <c r="E220" s="3"/>
      <c r="F220" s="3" t="s">
        <v>68</v>
      </c>
      <c r="G220">
        <v>10</v>
      </c>
      <c r="H220" s="4">
        <v>30</v>
      </c>
      <c r="I220" s="4">
        <v>35</v>
      </c>
      <c r="J220" s="4" t="s">
        <v>8</v>
      </c>
      <c r="K220" s="4" t="s">
        <v>7</v>
      </c>
      <c r="L220" s="11"/>
      <c r="M220" s="3"/>
      <c r="N220"/>
      <c r="O220" s="4"/>
      <c r="P220" s="1"/>
      <c r="Q220" s="22"/>
      <c r="R220"/>
      <c r="S220" s="11"/>
      <c r="T220" t="s">
        <v>67</v>
      </c>
      <c r="U220"/>
      <c r="V220" s="1"/>
      <c r="W220" s="1"/>
    </row>
    <row r="221" spans="2:23" x14ac:dyDescent="0.35">
      <c r="B221" s="4">
        <v>20009101</v>
      </c>
      <c r="C221" s="1" t="s">
        <v>49</v>
      </c>
      <c r="D221" s="4" t="s">
        <v>86</v>
      </c>
      <c r="E221" s="3" t="s">
        <v>87</v>
      </c>
      <c r="F221" s="3" t="s">
        <v>89</v>
      </c>
      <c r="G221">
        <v>100</v>
      </c>
      <c r="H221" s="4">
        <v>150</v>
      </c>
      <c r="I221" s="4">
        <v>208</v>
      </c>
      <c r="J221" s="4" t="s">
        <v>8</v>
      </c>
      <c r="K221" s="4" t="s">
        <v>7</v>
      </c>
      <c r="L221" s="11"/>
      <c r="M221" s="3"/>
      <c r="N221"/>
      <c r="O221" s="4"/>
      <c r="P221" s="1"/>
      <c r="Q221" s="22"/>
      <c r="R221" t="s">
        <v>88</v>
      </c>
      <c r="S221" s="11"/>
      <c r="T221" t="s">
        <v>66</v>
      </c>
      <c r="U221"/>
      <c r="V221" s="1"/>
      <c r="W221" s="1"/>
    </row>
    <row r="222" spans="2:23" x14ac:dyDescent="0.35">
      <c r="B222" s="4">
        <v>20007924</v>
      </c>
      <c r="C222" s="1" t="s">
        <v>1378</v>
      </c>
      <c r="D222" s="4" t="s">
        <v>86</v>
      </c>
      <c r="E222" s="3"/>
      <c r="F222" s="3" t="s">
        <v>68</v>
      </c>
      <c r="G222">
        <v>10</v>
      </c>
      <c r="H222" s="4">
        <v>30</v>
      </c>
      <c r="I222" s="4">
        <v>34</v>
      </c>
      <c r="J222" s="4" t="s">
        <v>8</v>
      </c>
      <c r="K222" s="4" t="s">
        <v>7</v>
      </c>
      <c r="L222" s="11"/>
      <c r="M222" s="3"/>
      <c r="N222"/>
      <c r="O222" s="4"/>
      <c r="P222" s="1"/>
      <c r="Q222" s="22"/>
      <c r="R222"/>
      <c r="S222" s="11"/>
      <c r="T222" t="s">
        <v>67</v>
      </c>
      <c r="U222"/>
      <c r="V222" s="1"/>
      <c r="W222" s="1"/>
    </row>
    <row r="223" spans="2:23" x14ac:dyDescent="0.35">
      <c r="B223" s="4">
        <v>20009109</v>
      </c>
      <c r="C223" s="1" t="s">
        <v>158</v>
      </c>
      <c r="D223" s="4" t="s">
        <v>86</v>
      </c>
      <c r="E223" s="3" t="s">
        <v>87</v>
      </c>
      <c r="F223" s="3" t="s">
        <v>89</v>
      </c>
      <c r="G223">
        <v>30</v>
      </c>
      <c r="H223" s="15">
        <v>50</v>
      </c>
      <c r="I223" s="4">
        <v>161</v>
      </c>
      <c r="J223" s="4" t="s">
        <v>8</v>
      </c>
      <c r="K223" s="4" t="s">
        <v>14</v>
      </c>
      <c r="L223" s="11"/>
      <c r="M223" s="3"/>
      <c r="N223"/>
      <c r="O223" s="4"/>
      <c r="P223" s="1"/>
      <c r="Q223" s="22"/>
      <c r="R223" t="s">
        <v>88</v>
      </c>
      <c r="S223" s="11"/>
      <c r="T223" t="s">
        <v>66</v>
      </c>
      <c r="U223"/>
      <c r="V223" s="1"/>
      <c r="W223" s="1"/>
    </row>
    <row r="224" spans="2:23" x14ac:dyDescent="0.35">
      <c r="B224" s="4">
        <v>20007931</v>
      </c>
      <c r="C224" s="1" t="s">
        <v>1379</v>
      </c>
      <c r="D224" s="4" t="s">
        <v>86</v>
      </c>
      <c r="E224" s="3"/>
      <c r="F224" s="3" t="s">
        <v>68</v>
      </c>
      <c r="G224">
        <v>10</v>
      </c>
      <c r="H224" s="4">
        <v>30</v>
      </c>
      <c r="I224" s="4">
        <v>14</v>
      </c>
      <c r="J224" s="4" t="s">
        <v>8</v>
      </c>
      <c r="K224" s="4" t="s">
        <v>7</v>
      </c>
      <c r="L224" s="11"/>
      <c r="M224" s="3"/>
      <c r="N224"/>
      <c r="O224" s="17"/>
      <c r="P224" s="76"/>
      <c r="Q224" s="24"/>
      <c r="R224"/>
      <c r="S224" s="11"/>
      <c r="T224" t="s">
        <v>67</v>
      </c>
      <c r="U224"/>
      <c r="V224" s="1"/>
      <c r="W224" s="1"/>
    </row>
    <row r="225" spans="2:23" x14ac:dyDescent="0.35">
      <c r="B225" s="4">
        <v>20009155</v>
      </c>
      <c r="C225" s="1" t="s">
        <v>159</v>
      </c>
      <c r="D225" s="4" t="s">
        <v>86</v>
      </c>
      <c r="E225" s="3" t="s">
        <v>87</v>
      </c>
      <c r="F225" s="3" t="s">
        <v>89</v>
      </c>
      <c r="G225">
        <v>80</v>
      </c>
      <c r="H225" s="4">
        <v>100</v>
      </c>
      <c r="I225" s="4">
        <v>0</v>
      </c>
      <c r="J225" s="4" t="s">
        <v>8</v>
      </c>
      <c r="K225" s="4" t="s">
        <v>13</v>
      </c>
      <c r="L225" s="11"/>
      <c r="M225" s="3"/>
      <c r="N225">
        <v>4502710225</v>
      </c>
      <c r="O225" s="4">
        <v>180</v>
      </c>
      <c r="P225" s="1" t="s">
        <v>1396</v>
      </c>
      <c r="Q225" s="22">
        <v>46237</v>
      </c>
      <c r="R225" t="s">
        <v>88</v>
      </c>
      <c r="S225" s="11"/>
      <c r="T225" t="s">
        <v>66</v>
      </c>
      <c r="U225"/>
      <c r="V225" s="1"/>
      <c r="W225" s="1"/>
    </row>
    <row r="226" spans="2:23" x14ac:dyDescent="0.35">
      <c r="B226" s="4">
        <v>20009194</v>
      </c>
      <c r="C226" s="1" t="s">
        <v>33</v>
      </c>
      <c r="D226" s="4" t="s">
        <v>86</v>
      </c>
      <c r="E226" s="3" t="s">
        <v>87</v>
      </c>
      <c r="F226" s="3" t="s">
        <v>89</v>
      </c>
      <c r="G226">
        <v>32</v>
      </c>
      <c r="H226" s="4">
        <v>64</v>
      </c>
      <c r="I226" s="4">
        <v>58</v>
      </c>
      <c r="J226" s="4" t="s">
        <v>8</v>
      </c>
      <c r="K226" s="4" t="s">
        <v>7</v>
      </c>
      <c r="L226" s="11"/>
      <c r="M226" s="3"/>
      <c r="N226"/>
      <c r="O226" s="4"/>
      <c r="P226" s="1"/>
      <c r="Q226" s="22"/>
      <c r="R226" t="s">
        <v>88</v>
      </c>
      <c r="S226" s="11"/>
      <c r="T226" t="s">
        <v>66</v>
      </c>
      <c r="U226"/>
      <c r="V226" s="1"/>
      <c r="W226" s="1"/>
    </row>
    <row r="227" spans="2:23" x14ac:dyDescent="0.35">
      <c r="B227" s="4">
        <v>20009196</v>
      </c>
      <c r="C227" s="1" t="s">
        <v>160</v>
      </c>
      <c r="D227" s="4" t="s">
        <v>86</v>
      </c>
      <c r="E227" s="3" t="s">
        <v>87</v>
      </c>
      <c r="F227" s="3" t="s">
        <v>89</v>
      </c>
      <c r="G227">
        <v>50</v>
      </c>
      <c r="H227" s="4">
        <v>100</v>
      </c>
      <c r="I227" s="4">
        <v>100</v>
      </c>
      <c r="J227" s="4" t="s">
        <v>8</v>
      </c>
      <c r="K227" s="4" t="s">
        <v>7</v>
      </c>
      <c r="L227" s="11"/>
      <c r="M227" s="3"/>
      <c r="N227"/>
      <c r="O227" s="4"/>
      <c r="P227" s="1"/>
      <c r="Q227" s="22"/>
      <c r="R227" t="s">
        <v>88</v>
      </c>
      <c r="S227" s="11"/>
      <c r="T227" t="s">
        <v>66</v>
      </c>
      <c r="U227"/>
      <c r="V227" s="1"/>
      <c r="W227" s="1"/>
    </row>
    <row r="228" spans="2:23" x14ac:dyDescent="0.35">
      <c r="B228" s="4">
        <v>20009224</v>
      </c>
      <c r="C228" s="1" t="s">
        <v>161</v>
      </c>
      <c r="D228" s="4" t="s">
        <v>86</v>
      </c>
      <c r="E228" s="3" t="s">
        <v>87</v>
      </c>
      <c r="F228" s="3" t="s">
        <v>89</v>
      </c>
      <c r="G228">
        <v>30</v>
      </c>
      <c r="H228" s="4">
        <v>50</v>
      </c>
      <c r="I228" s="4">
        <v>59</v>
      </c>
      <c r="J228" s="4" t="s">
        <v>8</v>
      </c>
      <c r="K228" s="4" t="s">
        <v>7</v>
      </c>
      <c r="L228" s="11"/>
      <c r="M228" s="3"/>
      <c r="N228"/>
      <c r="O228" s="4"/>
      <c r="P228" s="1"/>
      <c r="Q228" s="22"/>
      <c r="R228" t="s">
        <v>88</v>
      </c>
      <c r="S228" s="11"/>
      <c r="T228" t="s">
        <v>66</v>
      </c>
      <c r="U228"/>
      <c r="V228" s="1"/>
      <c r="W228" s="1"/>
    </row>
    <row r="229" spans="2:23" x14ac:dyDescent="0.35">
      <c r="B229" s="4">
        <v>20008305</v>
      </c>
      <c r="C229" s="1" t="s">
        <v>1258</v>
      </c>
      <c r="D229" s="4" t="s">
        <v>86</v>
      </c>
      <c r="E229" s="3"/>
      <c r="F229" s="3" t="s">
        <v>68</v>
      </c>
      <c r="G229">
        <v>6</v>
      </c>
      <c r="H229" s="4">
        <v>3</v>
      </c>
      <c r="I229" s="4">
        <v>7</v>
      </c>
      <c r="J229" s="4" t="s">
        <v>8</v>
      </c>
      <c r="K229" s="4" t="s">
        <v>7</v>
      </c>
      <c r="L229" s="11"/>
      <c r="M229" s="3"/>
      <c r="N229"/>
      <c r="O229" s="16"/>
      <c r="P229" s="77"/>
      <c r="Q229" s="23"/>
      <c r="R229"/>
      <c r="S229" s="11"/>
      <c r="T229" t="s">
        <v>67</v>
      </c>
      <c r="U229"/>
      <c r="V229" s="1"/>
      <c r="W229" s="1"/>
    </row>
    <row r="230" spans="2:23" x14ac:dyDescent="0.35">
      <c r="B230" s="4">
        <v>20009231</v>
      </c>
      <c r="C230" s="1" t="s">
        <v>162</v>
      </c>
      <c r="D230" s="4" t="s">
        <v>86</v>
      </c>
      <c r="E230" s="3" t="s">
        <v>87</v>
      </c>
      <c r="F230" s="3" t="s">
        <v>89</v>
      </c>
      <c r="G230">
        <v>30</v>
      </c>
      <c r="H230" s="4">
        <v>50</v>
      </c>
      <c r="I230" s="4">
        <v>18</v>
      </c>
      <c r="J230" s="4" t="s">
        <v>8</v>
      </c>
      <c r="K230" s="4" t="s">
        <v>9</v>
      </c>
      <c r="L230" s="11"/>
      <c r="M230" s="3"/>
      <c r="N230">
        <v>4502710811</v>
      </c>
      <c r="O230" s="4">
        <v>50</v>
      </c>
      <c r="P230" s="1" t="s">
        <v>1396</v>
      </c>
      <c r="Q230" s="22">
        <v>46279</v>
      </c>
      <c r="R230" t="s">
        <v>88</v>
      </c>
      <c r="S230" s="11"/>
      <c r="T230" t="s">
        <v>66</v>
      </c>
      <c r="U230"/>
      <c r="V230" s="1"/>
      <c r="W230" s="1"/>
    </row>
    <row r="231" spans="2:23" x14ac:dyDescent="0.35">
      <c r="B231" s="4">
        <v>20009261</v>
      </c>
      <c r="C231" s="1" t="s">
        <v>164</v>
      </c>
      <c r="D231" s="4" t="s">
        <v>86</v>
      </c>
      <c r="E231" s="3" t="s">
        <v>87</v>
      </c>
      <c r="F231" s="3" t="s">
        <v>89</v>
      </c>
      <c r="G231">
        <v>20</v>
      </c>
      <c r="H231" s="4">
        <v>50</v>
      </c>
      <c r="I231" s="4">
        <v>73</v>
      </c>
      <c r="J231" s="4" t="s">
        <v>8</v>
      </c>
      <c r="K231" s="4" t="s">
        <v>14</v>
      </c>
      <c r="L231" s="11"/>
      <c r="M231" s="3"/>
      <c r="N231"/>
      <c r="O231" s="4"/>
      <c r="P231" s="1"/>
      <c r="Q231" s="22"/>
      <c r="R231" t="s">
        <v>88</v>
      </c>
      <c r="S231" s="11"/>
      <c r="T231" t="s">
        <v>66</v>
      </c>
      <c r="U231"/>
      <c r="V231" s="1"/>
      <c r="W231" s="1"/>
    </row>
    <row r="232" spans="2:23" x14ac:dyDescent="0.35">
      <c r="B232" s="4">
        <v>20008985</v>
      </c>
      <c r="C232" s="1" t="s">
        <v>361</v>
      </c>
      <c r="D232" s="4" t="s">
        <v>86</v>
      </c>
      <c r="E232" s="3"/>
      <c r="F232" s="3" t="s">
        <v>68</v>
      </c>
      <c r="G232">
        <v>20</v>
      </c>
      <c r="H232" s="4">
        <v>20</v>
      </c>
      <c r="I232" s="4">
        <v>27</v>
      </c>
      <c r="J232" s="4" t="s">
        <v>8</v>
      </c>
      <c r="K232" s="4" t="s">
        <v>7</v>
      </c>
      <c r="L232" s="11"/>
      <c r="M232" s="3"/>
      <c r="N232"/>
      <c r="O232" s="17"/>
      <c r="P232" s="76"/>
      <c r="Q232" s="24"/>
      <c r="R232"/>
      <c r="S232" s="11"/>
      <c r="T232" t="s">
        <v>70</v>
      </c>
      <c r="U232"/>
      <c r="V232" s="1"/>
      <c r="W232" s="1"/>
    </row>
    <row r="233" spans="2:23" x14ac:dyDescent="0.35">
      <c r="B233" s="4">
        <v>20009266</v>
      </c>
      <c r="C233" s="1" t="s">
        <v>165</v>
      </c>
      <c r="D233" s="4" t="s">
        <v>86</v>
      </c>
      <c r="E233" s="3" t="s">
        <v>87</v>
      </c>
      <c r="F233" s="3" t="s">
        <v>89</v>
      </c>
      <c r="G233">
        <v>7</v>
      </c>
      <c r="H233" s="4">
        <v>14</v>
      </c>
      <c r="I233" s="4">
        <v>72</v>
      </c>
      <c r="J233" s="4" t="s">
        <v>8</v>
      </c>
      <c r="K233" s="4" t="s">
        <v>14</v>
      </c>
      <c r="L233" s="11"/>
      <c r="M233" s="3"/>
      <c r="N233"/>
      <c r="O233" s="4"/>
      <c r="P233" s="1"/>
      <c r="Q233" s="22"/>
      <c r="R233" t="s">
        <v>88</v>
      </c>
      <c r="S233" s="11"/>
      <c r="T233" t="s">
        <v>66</v>
      </c>
      <c r="U233"/>
      <c r="V233" s="1"/>
      <c r="W233" s="1"/>
    </row>
    <row r="234" spans="2:23" x14ac:dyDescent="0.35">
      <c r="B234" s="4">
        <v>20009104</v>
      </c>
      <c r="C234" s="1" t="s">
        <v>1569</v>
      </c>
      <c r="D234" s="4" t="s">
        <v>86</v>
      </c>
      <c r="E234" s="3"/>
      <c r="F234" s="3" t="s">
        <v>68</v>
      </c>
      <c r="G234">
        <v>50</v>
      </c>
      <c r="H234" s="4">
        <v>100</v>
      </c>
      <c r="I234" s="4">
        <v>100</v>
      </c>
      <c r="J234" s="4" t="s">
        <v>8</v>
      </c>
      <c r="K234" s="4" t="s">
        <v>7</v>
      </c>
      <c r="L234" s="11"/>
      <c r="M234" s="3"/>
      <c r="N234"/>
      <c r="O234" s="4"/>
      <c r="P234" s="1"/>
      <c r="Q234" s="22"/>
      <c r="R234"/>
      <c r="S234" s="11"/>
      <c r="T234" t="s">
        <v>66</v>
      </c>
      <c r="U234"/>
      <c r="V234" s="1"/>
      <c r="W234" s="1"/>
    </row>
    <row r="235" spans="2:23" x14ac:dyDescent="0.35">
      <c r="B235" s="4">
        <v>20009278</v>
      </c>
      <c r="C235" s="1" t="s">
        <v>166</v>
      </c>
      <c r="D235" s="4" t="s">
        <v>86</v>
      </c>
      <c r="E235" s="3" t="s">
        <v>87</v>
      </c>
      <c r="F235" s="3" t="s">
        <v>89</v>
      </c>
      <c r="G235">
        <v>50</v>
      </c>
      <c r="H235" s="4">
        <v>100</v>
      </c>
      <c r="I235" s="4">
        <v>49</v>
      </c>
      <c r="J235" s="4" t="s">
        <v>8</v>
      </c>
      <c r="K235" s="4" t="s">
        <v>9</v>
      </c>
      <c r="L235" s="11">
        <v>1002703440</v>
      </c>
      <c r="M235" s="3"/>
      <c r="N235">
        <v>4502713414</v>
      </c>
      <c r="O235" s="4">
        <v>100</v>
      </c>
      <c r="P235" s="1" t="s">
        <v>1609</v>
      </c>
      <c r="Q235" s="22">
        <v>46279</v>
      </c>
      <c r="R235" t="s">
        <v>88</v>
      </c>
      <c r="S235" s="11"/>
      <c r="T235" t="s">
        <v>66</v>
      </c>
      <c r="U235"/>
      <c r="V235" s="1"/>
      <c r="W235" s="1"/>
    </row>
    <row r="236" spans="2:23" x14ac:dyDescent="0.35">
      <c r="B236" s="4">
        <v>20009440</v>
      </c>
      <c r="C236" s="1" t="s">
        <v>167</v>
      </c>
      <c r="D236" s="4" t="s">
        <v>86</v>
      </c>
      <c r="E236" s="3" t="s">
        <v>87</v>
      </c>
      <c r="F236" s="3" t="s">
        <v>89</v>
      </c>
      <c r="G236">
        <v>80</v>
      </c>
      <c r="H236" s="4">
        <v>100</v>
      </c>
      <c r="I236" s="4">
        <v>138</v>
      </c>
      <c r="J236" s="4" t="s">
        <v>8</v>
      </c>
      <c r="K236" s="4" t="s">
        <v>7</v>
      </c>
      <c r="L236" s="11"/>
      <c r="M236" s="3"/>
      <c r="N236"/>
      <c r="O236" s="4"/>
      <c r="P236" s="1"/>
      <c r="Q236" s="22"/>
      <c r="R236" t="s">
        <v>88</v>
      </c>
      <c r="S236" s="11"/>
      <c r="T236" t="s">
        <v>66</v>
      </c>
      <c r="U236"/>
      <c r="V236" s="1"/>
      <c r="W236" s="1"/>
    </row>
    <row r="237" spans="2:23" x14ac:dyDescent="0.35">
      <c r="B237" s="4">
        <v>20009470</v>
      </c>
      <c r="C237" s="1" t="s">
        <v>168</v>
      </c>
      <c r="D237" s="4" t="s">
        <v>86</v>
      </c>
      <c r="E237" s="3" t="s">
        <v>87</v>
      </c>
      <c r="F237" s="3" t="s">
        <v>89</v>
      </c>
      <c r="G237">
        <v>48</v>
      </c>
      <c r="H237" s="4">
        <v>60</v>
      </c>
      <c r="I237" s="4">
        <v>156</v>
      </c>
      <c r="J237" s="4" t="s">
        <v>8</v>
      </c>
      <c r="K237" s="4" t="s">
        <v>14</v>
      </c>
      <c r="L237" s="11"/>
      <c r="M237" s="3"/>
      <c r="N237"/>
      <c r="O237" s="4"/>
      <c r="P237" s="1"/>
      <c r="Q237" s="22"/>
      <c r="R237" t="s">
        <v>88</v>
      </c>
      <c r="S237" s="11"/>
      <c r="T237" t="s">
        <v>66</v>
      </c>
      <c r="U237"/>
      <c r="V237" s="1"/>
      <c r="W237" s="1"/>
    </row>
    <row r="238" spans="2:23" x14ac:dyDescent="0.35">
      <c r="B238" s="4">
        <v>20009512</v>
      </c>
      <c r="C238" s="1" t="s">
        <v>169</v>
      </c>
      <c r="D238" s="4" t="s">
        <v>86</v>
      </c>
      <c r="E238" s="3" t="s">
        <v>87</v>
      </c>
      <c r="F238" s="3" t="s">
        <v>89</v>
      </c>
      <c r="G238">
        <v>50</v>
      </c>
      <c r="H238" s="4">
        <v>58</v>
      </c>
      <c r="I238" s="4">
        <v>28</v>
      </c>
      <c r="J238" s="4" t="s">
        <v>8</v>
      </c>
      <c r="K238" s="4" t="s">
        <v>9</v>
      </c>
      <c r="L238" s="11">
        <v>1002716958</v>
      </c>
      <c r="M238" s="3">
        <v>70</v>
      </c>
      <c r="N238"/>
      <c r="O238" s="4"/>
      <c r="P238" s="1"/>
      <c r="Q238" s="22"/>
      <c r="R238" t="s">
        <v>88</v>
      </c>
      <c r="S238" s="11"/>
      <c r="T238" t="s">
        <v>66</v>
      </c>
      <c r="U238"/>
      <c r="V238" s="1"/>
      <c r="W238" s="1"/>
    </row>
    <row r="239" spans="2:23" x14ac:dyDescent="0.35">
      <c r="B239" s="4">
        <v>20009543</v>
      </c>
      <c r="C239" s="1" t="s">
        <v>170</v>
      </c>
      <c r="D239" s="4" t="s">
        <v>86</v>
      </c>
      <c r="E239" s="3" t="s">
        <v>87</v>
      </c>
      <c r="F239" s="3" t="s">
        <v>89</v>
      </c>
      <c r="G239">
        <v>50</v>
      </c>
      <c r="H239" s="4">
        <v>30</v>
      </c>
      <c r="I239" s="4">
        <v>60</v>
      </c>
      <c r="J239" s="4" t="s">
        <v>8</v>
      </c>
      <c r="K239" s="4" t="s">
        <v>7</v>
      </c>
      <c r="L239" s="11"/>
      <c r="M239" s="3"/>
      <c r="N239"/>
      <c r="O239" s="4"/>
      <c r="P239" s="1"/>
      <c r="Q239" s="22"/>
      <c r="R239" t="s">
        <v>88</v>
      </c>
      <c r="S239" s="11"/>
      <c r="T239" t="s">
        <v>66</v>
      </c>
      <c r="U239"/>
      <c r="V239" s="1"/>
      <c r="W239" s="1"/>
    </row>
    <row r="240" spans="2:23" x14ac:dyDescent="0.35">
      <c r="B240" s="4">
        <v>20009671</v>
      </c>
      <c r="C240" s="1" t="s">
        <v>171</v>
      </c>
      <c r="D240" s="4" t="s">
        <v>86</v>
      </c>
      <c r="E240" s="3" t="s">
        <v>87</v>
      </c>
      <c r="F240" s="3" t="s">
        <v>89</v>
      </c>
      <c r="G240">
        <v>70</v>
      </c>
      <c r="H240" s="4">
        <v>100</v>
      </c>
      <c r="I240" s="4">
        <v>74</v>
      </c>
      <c r="J240" s="4" t="s">
        <v>8</v>
      </c>
      <c r="K240" s="4" t="s">
        <v>7</v>
      </c>
      <c r="L240" s="11"/>
      <c r="M240" s="3"/>
      <c r="N240"/>
      <c r="O240" s="4"/>
      <c r="P240" s="1"/>
      <c r="Q240" s="22"/>
      <c r="R240" t="s">
        <v>88</v>
      </c>
      <c r="S240" s="11"/>
      <c r="T240" t="s">
        <v>66</v>
      </c>
      <c r="U240"/>
      <c r="V240" s="1"/>
      <c r="W240" s="1"/>
    </row>
    <row r="241" spans="2:23" x14ac:dyDescent="0.35">
      <c r="B241" s="4">
        <v>20009690</v>
      </c>
      <c r="C241" s="1" t="s">
        <v>172</v>
      </c>
      <c r="D241" s="4" t="s">
        <v>86</v>
      </c>
      <c r="E241" s="3" t="s">
        <v>87</v>
      </c>
      <c r="F241" s="3" t="s">
        <v>89</v>
      </c>
      <c r="G241">
        <v>41</v>
      </c>
      <c r="H241" s="4">
        <v>82</v>
      </c>
      <c r="I241" s="4">
        <v>243</v>
      </c>
      <c r="J241" s="4" t="s">
        <v>8</v>
      </c>
      <c r="K241" s="4" t="s">
        <v>14</v>
      </c>
      <c r="L241" s="11"/>
      <c r="M241" s="3"/>
      <c r="N241"/>
      <c r="O241" s="4"/>
      <c r="P241" s="1"/>
      <c r="Q241" s="22"/>
      <c r="R241" t="s">
        <v>88</v>
      </c>
      <c r="S241" s="11"/>
      <c r="T241" t="s">
        <v>66</v>
      </c>
      <c r="U241"/>
      <c r="V241" s="1"/>
      <c r="W241" s="1"/>
    </row>
    <row r="242" spans="2:23" x14ac:dyDescent="0.35">
      <c r="B242" s="4">
        <v>20009279</v>
      </c>
      <c r="C242" s="1" t="s">
        <v>1380</v>
      </c>
      <c r="D242" s="4" t="s">
        <v>86</v>
      </c>
      <c r="E242" s="3"/>
      <c r="F242" s="3" t="s">
        <v>68</v>
      </c>
      <c r="G242">
        <v>30</v>
      </c>
      <c r="H242" s="4">
        <v>60</v>
      </c>
      <c r="I242" s="4">
        <v>0</v>
      </c>
      <c r="J242" s="4" t="s">
        <v>8</v>
      </c>
      <c r="K242" s="4" t="s">
        <v>13</v>
      </c>
      <c r="L242" s="11"/>
      <c r="M242" s="3"/>
      <c r="N242">
        <v>4502710225</v>
      </c>
      <c r="O242" s="4">
        <v>90</v>
      </c>
      <c r="P242" s="1" t="s">
        <v>1396</v>
      </c>
      <c r="Q242" s="22">
        <v>46216</v>
      </c>
      <c r="R242"/>
      <c r="S242" s="11"/>
      <c r="T242" t="s">
        <v>66</v>
      </c>
      <c r="U242"/>
      <c r="V242" s="1"/>
      <c r="W242" s="1"/>
    </row>
    <row r="243" spans="2:23" x14ac:dyDescent="0.35">
      <c r="B243" s="4">
        <v>20009697</v>
      </c>
      <c r="C243" s="1" t="s">
        <v>173</v>
      </c>
      <c r="D243" s="4" t="s">
        <v>86</v>
      </c>
      <c r="E243" s="3" t="s">
        <v>87</v>
      </c>
      <c r="F243" s="3" t="s">
        <v>89</v>
      </c>
      <c r="G243">
        <v>50</v>
      </c>
      <c r="H243" s="4">
        <v>100</v>
      </c>
      <c r="I243" s="4">
        <v>50</v>
      </c>
      <c r="J243" s="4" t="s">
        <v>8</v>
      </c>
      <c r="K243" s="4" t="s">
        <v>7</v>
      </c>
      <c r="L243" s="11"/>
      <c r="M243" s="3"/>
      <c r="N243"/>
      <c r="O243" s="4"/>
      <c r="P243" s="1"/>
      <c r="Q243" s="22"/>
      <c r="R243" t="s">
        <v>88</v>
      </c>
      <c r="S243" s="11"/>
      <c r="T243" t="s">
        <v>66</v>
      </c>
      <c r="U243"/>
      <c r="V243" s="1"/>
      <c r="W243" s="1"/>
    </row>
    <row r="244" spans="2:23" x14ac:dyDescent="0.35">
      <c r="B244" s="4">
        <v>20010594</v>
      </c>
      <c r="C244" s="1" t="s">
        <v>174</v>
      </c>
      <c r="D244" s="4" t="s">
        <v>86</v>
      </c>
      <c r="E244" s="3" t="s">
        <v>87</v>
      </c>
      <c r="F244" s="3" t="s">
        <v>89</v>
      </c>
      <c r="G244">
        <v>10</v>
      </c>
      <c r="H244" s="4">
        <v>20</v>
      </c>
      <c r="I244" s="4">
        <v>21</v>
      </c>
      <c r="J244" s="4" t="s">
        <v>8</v>
      </c>
      <c r="K244" s="4" t="s">
        <v>7</v>
      </c>
      <c r="L244" s="11"/>
      <c r="M244" s="3"/>
      <c r="N244"/>
      <c r="O244" s="4"/>
      <c r="P244" s="1"/>
      <c r="Q244" s="22"/>
      <c r="R244" t="s">
        <v>88</v>
      </c>
      <c r="S244" s="11"/>
      <c r="T244" t="s">
        <v>70</v>
      </c>
      <c r="U244"/>
      <c r="V244" s="1"/>
      <c r="W244" s="1"/>
    </row>
    <row r="245" spans="2:23" x14ac:dyDescent="0.35">
      <c r="B245" s="4">
        <v>20010751</v>
      </c>
      <c r="C245" s="1" t="s">
        <v>175</v>
      </c>
      <c r="D245" s="4" t="s">
        <v>86</v>
      </c>
      <c r="E245" s="3" t="s">
        <v>87</v>
      </c>
      <c r="F245" s="3" t="s">
        <v>89</v>
      </c>
      <c r="G245">
        <v>6</v>
      </c>
      <c r="H245" s="4">
        <v>12</v>
      </c>
      <c r="I245" s="4">
        <v>18</v>
      </c>
      <c r="J245" s="4" t="s">
        <v>8</v>
      </c>
      <c r="K245" s="4" t="s">
        <v>7</v>
      </c>
      <c r="L245" s="11"/>
      <c r="M245" s="3"/>
      <c r="N245"/>
      <c r="O245" s="4"/>
      <c r="P245" s="1"/>
      <c r="Q245" s="22"/>
      <c r="R245" t="s">
        <v>88</v>
      </c>
      <c r="S245" s="11"/>
      <c r="T245" t="s">
        <v>66</v>
      </c>
      <c r="U245"/>
      <c r="V245" s="1"/>
      <c r="W245" s="1"/>
    </row>
    <row r="246" spans="2:23" x14ac:dyDescent="0.35">
      <c r="B246" s="4">
        <v>20009586</v>
      </c>
      <c r="C246" s="1" t="s">
        <v>1278</v>
      </c>
      <c r="D246" s="4" t="s">
        <v>86</v>
      </c>
      <c r="E246" s="3"/>
      <c r="F246" s="3" t="s">
        <v>68</v>
      </c>
      <c r="G246">
        <v>1000</v>
      </c>
      <c r="H246" s="4">
        <v>2000</v>
      </c>
      <c r="I246" s="4">
        <v>2000</v>
      </c>
      <c r="J246" s="4" t="s">
        <v>8</v>
      </c>
      <c r="K246" s="4" t="s">
        <v>7</v>
      </c>
      <c r="L246" s="11"/>
      <c r="M246" s="3"/>
      <c r="N246"/>
      <c r="O246" s="4"/>
      <c r="P246" s="1"/>
      <c r="Q246" s="22"/>
      <c r="R246"/>
      <c r="S246" s="11"/>
      <c r="T246" t="s">
        <v>66</v>
      </c>
      <c r="U246"/>
      <c r="V246" s="1"/>
      <c r="W246" s="1"/>
    </row>
    <row r="247" spans="2:23" x14ac:dyDescent="0.35">
      <c r="B247" s="4">
        <v>20009587</v>
      </c>
      <c r="C247" s="1" t="s">
        <v>1279</v>
      </c>
      <c r="D247" s="4" t="s">
        <v>86</v>
      </c>
      <c r="E247" s="3"/>
      <c r="F247" s="3" t="s">
        <v>68</v>
      </c>
      <c r="G247">
        <v>1000</v>
      </c>
      <c r="H247" s="4">
        <v>2000</v>
      </c>
      <c r="I247" s="4">
        <v>1000</v>
      </c>
      <c r="J247" s="4" t="s">
        <v>8</v>
      </c>
      <c r="K247" s="4" t="s">
        <v>7</v>
      </c>
      <c r="L247" s="11"/>
      <c r="M247" s="3"/>
      <c r="N247"/>
      <c r="O247" s="4"/>
      <c r="P247" s="1"/>
      <c r="Q247" s="22"/>
      <c r="R247"/>
      <c r="S247" s="11"/>
      <c r="T247" t="s">
        <v>66</v>
      </c>
      <c r="U247"/>
      <c r="V247" s="1"/>
      <c r="W247" s="1"/>
    </row>
    <row r="248" spans="2:23" x14ac:dyDescent="0.35">
      <c r="B248" s="4">
        <v>20011174</v>
      </c>
      <c r="C248" s="1" t="s">
        <v>54</v>
      </c>
      <c r="D248" s="4" t="s">
        <v>86</v>
      </c>
      <c r="E248" s="3" t="s">
        <v>87</v>
      </c>
      <c r="F248" s="3" t="s">
        <v>89</v>
      </c>
      <c r="G248">
        <v>3</v>
      </c>
      <c r="H248" s="4">
        <v>7</v>
      </c>
      <c r="I248" s="4">
        <v>12</v>
      </c>
      <c r="J248" s="4" t="s">
        <v>8</v>
      </c>
      <c r="K248" s="4" t="s">
        <v>14</v>
      </c>
      <c r="L248" s="11"/>
      <c r="M248" s="3"/>
      <c r="N248"/>
      <c r="O248" s="4"/>
      <c r="P248" s="1"/>
      <c r="Q248" s="22"/>
      <c r="R248" t="s">
        <v>88</v>
      </c>
      <c r="S248" s="11"/>
      <c r="T248" t="s">
        <v>70</v>
      </c>
      <c r="U248"/>
      <c r="V248" s="1"/>
      <c r="W248" s="1"/>
    </row>
    <row r="249" spans="2:23" x14ac:dyDescent="0.35">
      <c r="B249" s="4">
        <v>20009588</v>
      </c>
      <c r="C249" s="1" t="s">
        <v>1280</v>
      </c>
      <c r="D249" s="4" t="s">
        <v>86</v>
      </c>
      <c r="E249" s="3"/>
      <c r="F249" s="3" t="s">
        <v>68</v>
      </c>
      <c r="G249">
        <v>2000</v>
      </c>
      <c r="H249" s="4">
        <v>4000</v>
      </c>
      <c r="I249" s="4">
        <v>2400</v>
      </c>
      <c r="J249" s="4" t="s">
        <v>8</v>
      </c>
      <c r="K249" s="4" t="s">
        <v>7</v>
      </c>
      <c r="L249" s="11"/>
      <c r="M249" s="3"/>
      <c r="N249"/>
      <c r="O249" s="4"/>
      <c r="P249" s="1"/>
      <c r="Q249" s="22"/>
      <c r="R249"/>
      <c r="S249" s="11"/>
      <c r="T249" t="s">
        <v>66</v>
      </c>
      <c r="U249"/>
      <c r="V249" s="1"/>
      <c r="W249" s="1"/>
    </row>
    <row r="250" spans="2:23" x14ac:dyDescent="0.35">
      <c r="B250" s="4">
        <v>20011177</v>
      </c>
      <c r="C250" s="1" t="s">
        <v>55</v>
      </c>
      <c r="D250" s="4" t="s">
        <v>86</v>
      </c>
      <c r="E250" s="3" t="s">
        <v>87</v>
      </c>
      <c r="F250" s="3" t="s">
        <v>89</v>
      </c>
      <c r="G250">
        <v>5</v>
      </c>
      <c r="H250" s="4">
        <v>8</v>
      </c>
      <c r="I250" s="4">
        <v>9</v>
      </c>
      <c r="J250" s="4" t="s">
        <v>8</v>
      </c>
      <c r="K250" s="4" t="s">
        <v>7</v>
      </c>
      <c r="L250" s="11"/>
      <c r="M250" s="3"/>
      <c r="N250"/>
      <c r="O250" s="4"/>
      <c r="P250" s="1"/>
      <c r="Q250" s="22"/>
      <c r="R250" t="s">
        <v>88</v>
      </c>
      <c r="S250" s="11"/>
      <c r="T250" t="s">
        <v>70</v>
      </c>
      <c r="U250"/>
      <c r="V250" s="1"/>
      <c r="W250" s="1"/>
    </row>
    <row r="251" spans="2:23" x14ac:dyDescent="0.35">
      <c r="B251" s="4">
        <v>20009641</v>
      </c>
      <c r="C251" s="1" t="s">
        <v>1212</v>
      </c>
      <c r="D251" s="4" t="s">
        <v>86</v>
      </c>
      <c r="E251" s="3"/>
      <c r="F251" s="3" t="s">
        <v>68</v>
      </c>
      <c r="G251">
        <v>5000</v>
      </c>
      <c r="H251" s="4">
        <v>10000</v>
      </c>
      <c r="I251" s="4">
        <v>5550</v>
      </c>
      <c r="J251" s="4" t="s">
        <v>8</v>
      </c>
      <c r="K251" s="4" t="s">
        <v>7</v>
      </c>
      <c r="L251" s="11"/>
      <c r="M251" s="3"/>
      <c r="N251"/>
      <c r="O251" s="4"/>
      <c r="P251" s="1"/>
      <c r="Q251" s="22"/>
      <c r="R251"/>
      <c r="S251" s="11"/>
      <c r="T251" t="s">
        <v>66</v>
      </c>
      <c r="U251"/>
      <c r="V251" s="1"/>
      <c r="W251" s="1"/>
    </row>
    <row r="252" spans="2:23" x14ac:dyDescent="0.35">
      <c r="B252" s="4">
        <v>20011480</v>
      </c>
      <c r="C252" s="1" t="s">
        <v>176</v>
      </c>
      <c r="D252" s="4" t="s">
        <v>86</v>
      </c>
      <c r="E252" s="3" t="s">
        <v>97</v>
      </c>
      <c r="F252" s="3" t="s">
        <v>89</v>
      </c>
      <c r="G252">
        <v>10</v>
      </c>
      <c r="H252" s="4">
        <v>20</v>
      </c>
      <c r="I252" s="4">
        <v>10</v>
      </c>
      <c r="J252" s="4" t="s">
        <v>8</v>
      </c>
      <c r="K252" s="4" t="s">
        <v>7</v>
      </c>
      <c r="L252" s="11"/>
      <c r="M252" s="3"/>
      <c r="N252"/>
      <c r="O252" s="4"/>
      <c r="P252" s="1"/>
      <c r="Q252" s="22"/>
      <c r="R252" t="s">
        <v>98</v>
      </c>
      <c r="S252" s="11"/>
      <c r="T252" t="s">
        <v>1603</v>
      </c>
      <c r="U252"/>
      <c r="V252" s="1"/>
      <c r="W252" s="1"/>
    </row>
    <row r="253" spans="2:23" x14ac:dyDescent="0.35">
      <c r="B253" s="4">
        <v>20019648</v>
      </c>
      <c r="C253" s="1" t="s">
        <v>177</v>
      </c>
      <c r="D253" s="4" t="s">
        <v>86</v>
      </c>
      <c r="E253" s="3" t="s">
        <v>97</v>
      </c>
      <c r="F253" s="3" t="s">
        <v>89</v>
      </c>
      <c r="G253">
        <v>7</v>
      </c>
      <c r="H253" s="4">
        <v>11</v>
      </c>
      <c r="I253" s="4">
        <v>26</v>
      </c>
      <c r="J253" s="4" t="s">
        <v>8</v>
      </c>
      <c r="K253" s="4" t="s">
        <v>14</v>
      </c>
      <c r="L253" s="11"/>
      <c r="M253" s="3"/>
      <c r="N253"/>
      <c r="O253" s="4"/>
      <c r="P253" s="1"/>
      <c r="Q253" s="22"/>
      <c r="R253" t="s">
        <v>98</v>
      </c>
      <c r="S253" s="11"/>
      <c r="T253" t="s">
        <v>67</v>
      </c>
      <c r="U253"/>
      <c r="V253" s="1"/>
      <c r="W253" s="1"/>
    </row>
    <row r="254" spans="2:23" x14ac:dyDescent="0.35">
      <c r="B254" s="4">
        <v>20011481</v>
      </c>
      <c r="C254" s="1" t="s">
        <v>178</v>
      </c>
      <c r="D254" s="4" t="s">
        <v>86</v>
      </c>
      <c r="E254" s="3" t="s">
        <v>97</v>
      </c>
      <c r="F254" s="3" t="s">
        <v>89</v>
      </c>
      <c r="G254">
        <v>4</v>
      </c>
      <c r="H254" s="4">
        <v>8</v>
      </c>
      <c r="I254" s="4">
        <v>4</v>
      </c>
      <c r="J254" s="4" t="s">
        <v>8</v>
      </c>
      <c r="K254" s="4" t="s">
        <v>7</v>
      </c>
      <c r="L254" s="11"/>
      <c r="M254" s="3"/>
      <c r="N254"/>
      <c r="O254" s="4"/>
      <c r="P254" s="1"/>
      <c r="Q254" s="22"/>
      <c r="R254" t="s">
        <v>98</v>
      </c>
      <c r="S254" s="11"/>
      <c r="T254" t="s">
        <v>1603</v>
      </c>
      <c r="U254"/>
      <c r="V254" s="1"/>
      <c r="W254" s="1"/>
    </row>
    <row r="255" spans="2:23" x14ac:dyDescent="0.35">
      <c r="B255" s="4">
        <v>20011483</v>
      </c>
      <c r="C255" s="1" t="s">
        <v>179</v>
      </c>
      <c r="D255" s="4" t="s">
        <v>86</v>
      </c>
      <c r="E255" s="3" t="s">
        <v>97</v>
      </c>
      <c r="F255" s="3" t="s">
        <v>89</v>
      </c>
      <c r="G255">
        <v>5</v>
      </c>
      <c r="H255" s="4">
        <v>8</v>
      </c>
      <c r="I255" s="4">
        <v>9</v>
      </c>
      <c r="J255" s="4" t="s">
        <v>8</v>
      </c>
      <c r="K255" s="4" t="s">
        <v>7</v>
      </c>
      <c r="L255" s="11"/>
      <c r="M255" s="3"/>
      <c r="N255"/>
      <c r="O255" s="4"/>
      <c r="P255" s="1"/>
      <c r="Q255" s="22"/>
      <c r="R255" t="s">
        <v>98</v>
      </c>
      <c r="S255" s="11"/>
      <c r="T255" t="s">
        <v>1603</v>
      </c>
      <c r="U255"/>
      <c r="V255" s="1"/>
      <c r="W255" s="1"/>
    </row>
    <row r="256" spans="2:23" x14ac:dyDescent="0.35">
      <c r="B256" s="4">
        <v>20009765</v>
      </c>
      <c r="C256" s="1" t="s">
        <v>1490</v>
      </c>
      <c r="D256" s="4" t="s">
        <v>86</v>
      </c>
      <c r="E256" s="3"/>
      <c r="F256" s="3" t="s">
        <v>68</v>
      </c>
      <c r="G256">
        <v>2</v>
      </c>
      <c r="H256" s="4">
        <v>2</v>
      </c>
      <c r="I256" s="4">
        <v>5</v>
      </c>
      <c r="J256" s="4" t="s">
        <v>8</v>
      </c>
      <c r="K256" s="4" t="s">
        <v>14</v>
      </c>
      <c r="L256" s="11"/>
      <c r="M256" s="3"/>
      <c r="N256"/>
      <c r="O256" s="4"/>
      <c r="P256" s="1"/>
      <c r="Q256" s="22"/>
      <c r="R256"/>
      <c r="S256" s="11"/>
      <c r="T256" t="s">
        <v>70</v>
      </c>
      <c r="U256"/>
      <c r="V256" s="1"/>
      <c r="W256" s="1"/>
    </row>
    <row r="257" spans="2:23" x14ac:dyDescent="0.35">
      <c r="B257" s="4">
        <v>20011519</v>
      </c>
      <c r="C257" s="1" t="s">
        <v>180</v>
      </c>
      <c r="D257" s="4" t="s">
        <v>86</v>
      </c>
      <c r="E257" s="3" t="s">
        <v>129</v>
      </c>
      <c r="F257" s="3" t="s">
        <v>89</v>
      </c>
      <c r="G257">
        <v>15</v>
      </c>
      <c r="H257" s="4">
        <v>25</v>
      </c>
      <c r="I257" s="4">
        <v>20</v>
      </c>
      <c r="J257" s="4" t="s">
        <v>25</v>
      </c>
      <c r="K257" s="4" t="s">
        <v>7</v>
      </c>
      <c r="L257" s="11"/>
      <c r="M257" s="3"/>
      <c r="N257"/>
      <c r="O257" s="4"/>
      <c r="P257" s="1"/>
      <c r="Q257" s="22"/>
      <c r="R257" t="s">
        <v>130</v>
      </c>
      <c r="S257" s="11"/>
      <c r="T257" t="s">
        <v>70</v>
      </c>
      <c r="U257"/>
      <c r="V257" s="1"/>
      <c r="W257" s="1"/>
    </row>
    <row r="258" spans="2:23" x14ac:dyDescent="0.35">
      <c r="B258" s="4">
        <v>20011601</v>
      </c>
      <c r="C258" s="1" t="s">
        <v>47</v>
      </c>
      <c r="D258" s="4" t="s">
        <v>86</v>
      </c>
      <c r="E258" s="3" t="s">
        <v>129</v>
      </c>
      <c r="F258" s="3" t="s">
        <v>89</v>
      </c>
      <c r="G258">
        <v>30</v>
      </c>
      <c r="H258" s="4">
        <v>50</v>
      </c>
      <c r="I258" s="4">
        <v>41</v>
      </c>
      <c r="J258" s="4" t="s">
        <v>25</v>
      </c>
      <c r="K258" s="4" t="s">
        <v>7</v>
      </c>
      <c r="L258" s="11"/>
      <c r="M258" s="3"/>
      <c r="N258"/>
      <c r="O258" s="4"/>
      <c r="P258" s="1"/>
      <c r="Q258" s="22"/>
      <c r="R258" t="s">
        <v>130</v>
      </c>
      <c r="S258" s="11"/>
      <c r="T258" t="s">
        <v>70</v>
      </c>
      <c r="U258"/>
      <c r="V258" s="1"/>
      <c r="W258" s="1"/>
    </row>
    <row r="259" spans="2:23" x14ac:dyDescent="0.35">
      <c r="B259" s="4">
        <v>20011614</v>
      </c>
      <c r="C259" s="1" t="s">
        <v>181</v>
      </c>
      <c r="D259" s="4" t="s">
        <v>86</v>
      </c>
      <c r="E259" s="3" t="s">
        <v>129</v>
      </c>
      <c r="F259" s="3" t="s">
        <v>89</v>
      </c>
      <c r="G259">
        <v>80</v>
      </c>
      <c r="H259" s="4">
        <v>100</v>
      </c>
      <c r="I259" s="4">
        <v>112</v>
      </c>
      <c r="J259" s="4" t="s">
        <v>25</v>
      </c>
      <c r="K259" s="4" t="s">
        <v>7</v>
      </c>
      <c r="L259" s="11"/>
      <c r="M259" s="3"/>
      <c r="N259"/>
      <c r="O259" s="4"/>
      <c r="P259" s="1"/>
      <c r="Q259" s="22"/>
      <c r="R259" t="s">
        <v>130</v>
      </c>
      <c r="S259" s="11"/>
      <c r="T259" t="s">
        <v>70</v>
      </c>
      <c r="U259"/>
      <c r="V259" s="1"/>
      <c r="W259" s="1"/>
    </row>
    <row r="260" spans="2:23" x14ac:dyDescent="0.35">
      <c r="B260" s="4">
        <v>20011723</v>
      </c>
      <c r="C260" s="1" t="s">
        <v>182</v>
      </c>
      <c r="D260" s="4" t="s">
        <v>86</v>
      </c>
      <c r="E260" s="3" t="s">
        <v>87</v>
      </c>
      <c r="F260" s="3" t="s">
        <v>102</v>
      </c>
      <c r="G260">
        <v>5</v>
      </c>
      <c r="H260" s="4">
        <v>8</v>
      </c>
      <c r="I260" s="4">
        <v>6</v>
      </c>
      <c r="J260" s="4" t="s">
        <v>8</v>
      </c>
      <c r="K260" s="4" t="s">
        <v>7</v>
      </c>
      <c r="L260" s="11"/>
      <c r="M260" s="3"/>
      <c r="N260"/>
      <c r="O260" s="4"/>
      <c r="P260" s="1"/>
      <c r="Q260" s="22"/>
      <c r="R260" t="s">
        <v>88</v>
      </c>
      <c r="S260" s="11"/>
      <c r="T260" t="s">
        <v>70</v>
      </c>
      <c r="U260"/>
      <c r="V260" s="1"/>
      <c r="W260" s="1"/>
    </row>
    <row r="261" spans="2:23" x14ac:dyDescent="0.35">
      <c r="B261" s="4">
        <v>20011819</v>
      </c>
      <c r="C261" s="1" t="s">
        <v>183</v>
      </c>
      <c r="D261" s="4" t="s">
        <v>86</v>
      </c>
      <c r="E261" s="3" t="s">
        <v>87</v>
      </c>
      <c r="F261" s="3" t="s">
        <v>89</v>
      </c>
      <c r="G261">
        <v>80</v>
      </c>
      <c r="H261" s="4">
        <v>80</v>
      </c>
      <c r="I261" s="4">
        <v>240</v>
      </c>
      <c r="J261" s="4" t="s">
        <v>23</v>
      </c>
      <c r="K261" s="4" t="s">
        <v>14</v>
      </c>
      <c r="L261" s="11"/>
      <c r="M261" s="3"/>
      <c r="N261"/>
      <c r="O261" s="4"/>
      <c r="P261" s="1"/>
      <c r="Q261" s="22"/>
      <c r="R261" t="s">
        <v>88</v>
      </c>
      <c r="S261" s="11"/>
      <c r="T261" t="s">
        <v>70</v>
      </c>
      <c r="U261"/>
      <c r="V261" s="1"/>
      <c r="W261" s="1"/>
    </row>
    <row r="262" spans="2:23" x14ac:dyDescent="0.35">
      <c r="B262" s="4">
        <v>20011281</v>
      </c>
      <c r="C262" s="1" t="s">
        <v>1270</v>
      </c>
      <c r="D262" s="4" t="s">
        <v>86</v>
      </c>
      <c r="E262" s="3"/>
      <c r="F262" s="3" t="s">
        <v>68</v>
      </c>
      <c r="G262">
        <v>15</v>
      </c>
      <c r="H262" s="4">
        <v>20</v>
      </c>
      <c r="I262" s="4">
        <v>22</v>
      </c>
      <c r="J262" s="4" t="s">
        <v>8</v>
      </c>
      <c r="K262" s="4" t="s">
        <v>7</v>
      </c>
      <c r="L262" s="11"/>
      <c r="M262" s="3"/>
      <c r="N262"/>
      <c r="O262" s="4"/>
      <c r="P262" s="1"/>
      <c r="Q262" s="22"/>
      <c r="R262"/>
      <c r="S262" s="11"/>
      <c r="T262" t="s">
        <v>66</v>
      </c>
      <c r="U262"/>
      <c r="V262" s="1"/>
      <c r="W262" s="1"/>
    </row>
    <row r="263" spans="2:23" x14ac:dyDescent="0.35">
      <c r="B263" s="4">
        <v>20011297</v>
      </c>
      <c r="C263" s="1" t="s">
        <v>1271</v>
      </c>
      <c r="D263" s="4" t="s">
        <v>86</v>
      </c>
      <c r="E263" s="3"/>
      <c r="F263" s="3" t="s">
        <v>68</v>
      </c>
      <c r="G263">
        <v>15</v>
      </c>
      <c r="H263" s="4">
        <v>20</v>
      </c>
      <c r="I263" s="4">
        <v>13</v>
      </c>
      <c r="J263" s="4" t="s">
        <v>8</v>
      </c>
      <c r="K263" s="4" t="s">
        <v>9</v>
      </c>
      <c r="L263" s="11">
        <v>1002716958</v>
      </c>
      <c r="M263" s="3">
        <v>20</v>
      </c>
      <c r="N263"/>
      <c r="O263" s="4"/>
      <c r="P263" s="1"/>
      <c r="Q263" s="22"/>
      <c r="R263"/>
      <c r="S263" s="11"/>
      <c r="T263" t="s">
        <v>66</v>
      </c>
      <c r="U263"/>
      <c r="V263" s="1"/>
      <c r="W263" s="1"/>
    </row>
    <row r="264" spans="2:23" x14ac:dyDescent="0.35">
      <c r="B264" s="4">
        <v>20011843</v>
      </c>
      <c r="C264" s="1" t="s">
        <v>184</v>
      </c>
      <c r="D264" s="4" t="s">
        <v>86</v>
      </c>
      <c r="E264" s="3" t="s">
        <v>87</v>
      </c>
      <c r="F264" s="3" t="s">
        <v>89</v>
      </c>
      <c r="G264">
        <v>54</v>
      </c>
      <c r="H264" s="4">
        <v>54</v>
      </c>
      <c r="I264" s="4">
        <v>252</v>
      </c>
      <c r="J264" s="4" t="s">
        <v>24</v>
      </c>
      <c r="K264" s="4" t="s">
        <v>14</v>
      </c>
      <c r="L264" s="11"/>
      <c r="M264" s="3"/>
      <c r="N264"/>
      <c r="O264" s="4"/>
      <c r="P264" s="1"/>
      <c r="Q264" s="22"/>
      <c r="R264" t="s">
        <v>88</v>
      </c>
      <c r="S264" s="11"/>
      <c r="T264" t="s">
        <v>70</v>
      </c>
      <c r="U264"/>
      <c r="V264" s="1"/>
      <c r="W264" s="1"/>
    </row>
    <row r="265" spans="2:23" x14ac:dyDescent="0.35">
      <c r="B265" s="4">
        <v>20011891</v>
      </c>
      <c r="C265" s="1" t="s">
        <v>1372</v>
      </c>
      <c r="D265" s="4" t="s">
        <v>86</v>
      </c>
      <c r="E265" s="3"/>
      <c r="F265" s="3" t="s">
        <v>89</v>
      </c>
      <c r="G265">
        <v>55</v>
      </c>
      <c r="H265" s="4">
        <v>100</v>
      </c>
      <c r="I265" s="4">
        <v>136</v>
      </c>
      <c r="J265" s="4" t="s">
        <v>8</v>
      </c>
      <c r="K265" s="4" t="s">
        <v>7</v>
      </c>
      <c r="L265" s="11"/>
      <c r="M265" s="3"/>
      <c r="N265"/>
      <c r="O265" s="4"/>
      <c r="P265" s="1"/>
      <c r="Q265" s="22"/>
      <c r="R265" t="s">
        <v>113</v>
      </c>
      <c r="S265" s="11"/>
      <c r="T265" t="s">
        <v>66</v>
      </c>
      <c r="U265"/>
      <c r="V265" s="1"/>
      <c r="W265" s="1"/>
    </row>
    <row r="266" spans="2:23" x14ac:dyDescent="0.35">
      <c r="B266" s="4">
        <v>20011895</v>
      </c>
      <c r="C266" s="1" t="s">
        <v>185</v>
      </c>
      <c r="D266" s="4" t="s">
        <v>86</v>
      </c>
      <c r="E266" s="3"/>
      <c r="F266" s="3" t="s">
        <v>89</v>
      </c>
      <c r="G266">
        <v>80</v>
      </c>
      <c r="H266" s="4">
        <v>320</v>
      </c>
      <c r="I266" s="4">
        <v>212</v>
      </c>
      <c r="J266" s="4" t="s">
        <v>8</v>
      </c>
      <c r="K266" s="4" t="s">
        <v>7</v>
      </c>
      <c r="L266" s="11"/>
      <c r="M266" s="3"/>
      <c r="N266">
        <v>4502712383</v>
      </c>
      <c r="O266" s="4">
        <v>3</v>
      </c>
      <c r="P266" s="1" t="s">
        <v>6852</v>
      </c>
      <c r="Q266" s="22">
        <v>46255</v>
      </c>
      <c r="R266" t="s">
        <v>113</v>
      </c>
      <c r="S266" s="11"/>
      <c r="T266" t="s">
        <v>1602</v>
      </c>
      <c r="U266"/>
      <c r="V266" s="1"/>
      <c r="W266" s="1"/>
    </row>
    <row r="267" spans="2:23" x14ac:dyDescent="0.35">
      <c r="B267" s="4">
        <v>20011900</v>
      </c>
      <c r="C267" s="1" t="s">
        <v>186</v>
      </c>
      <c r="D267" s="4" t="s">
        <v>86</v>
      </c>
      <c r="E267" s="3" t="s">
        <v>87</v>
      </c>
      <c r="F267" s="3" t="s">
        <v>89</v>
      </c>
      <c r="G267">
        <v>35</v>
      </c>
      <c r="H267" s="4">
        <v>38</v>
      </c>
      <c r="I267" s="4">
        <v>36</v>
      </c>
      <c r="J267" s="4" t="s">
        <v>24</v>
      </c>
      <c r="K267" s="4" t="s">
        <v>7</v>
      </c>
      <c r="L267" s="11"/>
      <c r="M267" s="3"/>
      <c r="N267"/>
      <c r="O267" s="4"/>
      <c r="P267" s="1"/>
      <c r="Q267" s="22"/>
      <c r="R267" t="s">
        <v>88</v>
      </c>
      <c r="S267" s="11"/>
      <c r="T267" t="s">
        <v>1602</v>
      </c>
      <c r="U267"/>
      <c r="V267" s="1"/>
      <c r="W267" s="1"/>
    </row>
    <row r="268" spans="2:23" x14ac:dyDescent="0.35">
      <c r="B268" s="4">
        <v>20011612</v>
      </c>
      <c r="C268" s="1" t="s">
        <v>1382</v>
      </c>
      <c r="D268" s="4" t="s">
        <v>86</v>
      </c>
      <c r="E268" s="3"/>
      <c r="F268" s="3" t="s">
        <v>68</v>
      </c>
      <c r="G268">
        <v>12</v>
      </c>
      <c r="H268" s="4">
        <v>40</v>
      </c>
      <c r="I268" s="4">
        <v>0</v>
      </c>
      <c r="J268" s="4" t="s">
        <v>25</v>
      </c>
      <c r="K268" s="4" t="s">
        <v>13</v>
      </c>
      <c r="L268" s="11">
        <v>1002708382</v>
      </c>
      <c r="M268" s="3"/>
      <c r="N268">
        <v>4502714877</v>
      </c>
      <c r="O268" s="4">
        <v>50</v>
      </c>
      <c r="P268" s="1" t="s">
        <v>1613</v>
      </c>
      <c r="Q268" s="22">
        <v>46286</v>
      </c>
      <c r="R268"/>
      <c r="S268" s="11"/>
      <c r="T268" t="s">
        <v>70</v>
      </c>
      <c r="U268"/>
      <c r="V268" s="1"/>
      <c r="W268" s="1"/>
    </row>
    <row r="269" spans="2:23" x14ac:dyDescent="0.35">
      <c r="B269" s="4">
        <v>20011926</v>
      </c>
      <c r="C269" s="1" t="s">
        <v>1362</v>
      </c>
      <c r="D269" s="4" t="s">
        <v>86</v>
      </c>
      <c r="E269" s="3" t="s">
        <v>87</v>
      </c>
      <c r="F269" s="3" t="s">
        <v>89</v>
      </c>
      <c r="G269">
        <v>6</v>
      </c>
      <c r="H269" s="4">
        <v>10</v>
      </c>
      <c r="I269" s="4">
        <v>12</v>
      </c>
      <c r="J269" s="4" t="s">
        <v>8</v>
      </c>
      <c r="K269" s="4" t="s">
        <v>7</v>
      </c>
      <c r="L269" s="11"/>
      <c r="M269" s="3"/>
      <c r="N269"/>
      <c r="O269" s="4"/>
      <c r="P269" s="1"/>
      <c r="Q269" s="22"/>
      <c r="R269" t="s">
        <v>88</v>
      </c>
      <c r="S269" s="11"/>
      <c r="T269" t="s">
        <v>1602</v>
      </c>
      <c r="U269"/>
      <c r="V269" s="1"/>
      <c r="W269" s="1"/>
    </row>
    <row r="270" spans="2:23" x14ac:dyDescent="0.35">
      <c r="B270" s="4">
        <v>20011928</v>
      </c>
      <c r="C270" s="1" t="s">
        <v>187</v>
      </c>
      <c r="D270" s="4" t="s">
        <v>86</v>
      </c>
      <c r="E270" s="3"/>
      <c r="F270" s="3" t="s">
        <v>89</v>
      </c>
      <c r="G270">
        <v>220</v>
      </c>
      <c r="H270" s="4">
        <v>440</v>
      </c>
      <c r="I270" s="4">
        <v>454</v>
      </c>
      <c r="J270" s="4" t="s">
        <v>23</v>
      </c>
      <c r="K270" s="4" t="s">
        <v>7</v>
      </c>
      <c r="L270" s="11"/>
      <c r="M270" s="3"/>
      <c r="N270"/>
      <c r="O270" s="4"/>
      <c r="P270" s="1"/>
      <c r="Q270" s="22"/>
      <c r="R270" t="s">
        <v>113</v>
      </c>
      <c r="S270" s="11"/>
      <c r="T270" t="s">
        <v>1602</v>
      </c>
      <c r="U270"/>
      <c r="V270" s="1"/>
      <c r="W270" s="1"/>
    </row>
    <row r="271" spans="2:23" x14ac:dyDescent="0.35">
      <c r="B271" s="4">
        <v>20011934</v>
      </c>
      <c r="C271" s="1" t="s">
        <v>188</v>
      </c>
      <c r="D271" s="4" t="s">
        <v>86</v>
      </c>
      <c r="E271" s="3"/>
      <c r="F271" s="3" t="s">
        <v>89</v>
      </c>
      <c r="G271">
        <v>120</v>
      </c>
      <c r="H271" s="4">
        <v>200</v>
      </c>
      <c r="I271" s="4">
        <v>120</v>
      </c>
      <c r="J271" s="4" t="s">
        <v>23</v>
      </c>
      <c r="K271" s="4" t="s">
        <v>7</v>
      </c>
      <c r="L271" s="11"/>
      <c r="M271" s="3"/>
      <c r="N271"/>
      <c r="O271" s="4"/>
      <c r="P271" s="1"/>
      <c r="Q271" s="22"/>
      <c r="R271" t="s">
        <v>113</v>
      </c>
      <c r="S271" s="11"/>
      <c r="T271" t="s">
        <v>1603</v>
      </c>
      <c r="U271"/>
      <c r="V271" s="1"/>
      <c r="W271" s="1"/>
    </row>
    <row r="272" spans="2:23" x14ac:dyDescent="0.35">
      <c r="B272" s="4">
        <v>20011957</v>
      </c>
      <c r="C272" s="1" t="s">
        <v>189</v>
      </c>
      <c r="D272" s="4" t="s">
        <v>86</v>
      </c>
      <c r="E272" s="3" t="s">
        <v>87</v>
      </c>
      <c r="F272" s="3" t="s">
        <v>89</v>
      </c>
      <c r="G272">
        <v>8</v>
      </c>
      <c r="H272" s="4">
        <v>10</v>
      </c>
      <c r="I272" s="4">
        <v>0</v>
      </c>
      <c r="J272" s="4" t="s">
        <v>8</v>
      </c>
      <c r="K272" s="4" t="s">
        <v>13</v>
      </c>
      <c r="L272" s="11" t="s">
        <v>6897</v>
      </c>
      <c r="M272" s="3"/>
      <c r="N272">
        <v>4502716012</v>
      </c>
      <c r="O272" s="4">
        <v>3</v>
      </c>
      <c r="P272" s="1" t="s">
        <v>1573</v>
      </c>
      <c r="Q272" s="22">
        <v>46274</v>
      </c>
      <c r="R272" t="s">
        <v>190</v>
      </c>
      <c r="S272" s="11" t="s">
        <v>6874</v>
      </c>
      <c r="T272" t="s">
        <v>1602</v>
      </c>
      <c r="U272"/>
      <c r="V272" s="1"/>
      <c r="W272" s="1"/>
    </row>
    <row r="273" spans="2:23" x14ac:dyDescent="0.35">
      <c r="B273" s="4">
        <v>20012096</v>
      </c>
      <c r="C273" s="1" t="s">
        <v>191</v>
      </c>
      <c r="D273" s="4" t="s">
        <v>86</v>
      </c>
      <c r="E273" s="3"/>
      <c r="F273" s="3" t="s">
        <v>89</v>
      </c>
      <c r="G273">
        <v>900</v>
      </c>
      <c r="H273" s="4">
        <v>1200</v>
      </c>
      <c r="I273" s="4">
        <v>1980</v>
      </c>
      <c r="J273" s="4" t="s">
        <v>25</v>
      </c>
      <c r="K273" s="4" t="s">
        <v>7</v>
      </c>
      <c r="L273" s="11"/>
      <c r="M273" s="3"/>
      <c r="N273"/>
      <c r="O273" s="4"/>
      <c r="P273" s="1"/>
      <c r="Q273" s="22"/>
      <c r="R273" t="s">
        <v>113</v>
      </c>
      <c r="S273" s="11"/>
      <c r="T273" t="s">
        <v>66</v>
      </c>
      <c r="U273"/>
      <c r="V273" s="1"/>
      <c r="W273" s="1"/>
    </row>
    <row r="274" spans="2:23" x14ac:dyDescent="0.35">
      <c r="B274" s="4">
        <v>20012114</v>
      </c>
      <c r="C274" s="1" t="s">
        <v>192</v>
      </c>
      <c r="D274" s="4" t="s">
        <v>86</v>
      </c>
      <c r="E274" s="3"/>
      <c r="F274" s="3" t="s">
        <v>89</v>
      </c>
      <c r="G274">
        <v>7</v>
      </c>
      <c r="H274" s="4">
        <v>14</v>
      </c>
      <c r="I274" s="4">
        <v>16</v>
      </c>
      <c r="J274" s="4" t="s">
        <v>8</v>
      </c>
      <c r="K274" s="4" t="s">
        <v>7</v>
      </c>
      <c r="L274" s="11"/>
      <c r="M274" s="3"/>
      <c r="N274"/>
      <c r="O274" s="4"/>
      <c r="P274" s="1"/>
      <c r="Q274" s="22"/>
      <c r="R274" t="s">
        <v>113</v>
      </c>
      <c r="S274" s="11"/>
      <c r="T274" t="s">
        <v>1603</v>
      </c>
      <c r="U274"/>
      <c r="V274" s="1"/>
      <c r="W274" s="1"/>
    </row>
    <row r="275" spans="2:23" x14ac:dyDescent="0.35">
      <c r="B275" s="4">
        <v>20012171</v>
      </c>
      <c r="C275" s="1" t="s">
        <v>193</v>
      </c>
      <c r="D275" s="4" t="s">
        <v>86</v>
      </c>
      <c r="E275" s="3" t="s">
        <v>97</v>
      </c>
      <c r="F275" s="3" t="s">
        <v>89</v>
      </c>
      <c r="G275">
        <v>100</v>
      </c>
      <c r="H275" s="4">
        <v>200</v>
      </c>
      <c r="I275" s="4">
        <v>178</v>
      </c>
      <c r="J275" s="4" t="s">
        <v>23</v>
      </c>
      <c r="K275" s="4" t="s">
        <v>7</v>
      </c>
      <c r="L275" s="11"/>
      <c r="M275" s="3"/>
      <c r="N275"/>
      <c r="O275" s="4"/>
      <c r="P275" s="1"/>
      <c r="Q275" s="22"/>
      <c r="R275" t="s">
        <v>98</v>
      </c>
      <c r="S275" s="11"/>
      <c r="T275" t="s">
        <v>1602</v>
      </c>
      <c r="U275"/>
      <c r="V275" s="1"/>
      <c r="W275" s="1"/>
    </row>
    <row r="276" spans="2:23" x14ac:dyDescent="0.35">
      <c r="B276" s="4">
        <v>20012198</v>
      </c>
      <c r="C276" s="1" t="s">
        <v>48</v>
      </c>
      <c r="D276" s="4" t="s">
        <v>86</v>
      </c>
      <c r="E276" s="3" t="s">
        <v>91</v>
      </c>
      <c r="F276" s="3" t="s">
        <v>89</v>
      </c>
      <c r="G276">
        <v>18</v>
      </c>
      <c r="H276" s="4">
        <v>20</v>
      </c>
      <c r="I276" s="4">
        <v>28</v>
      </c>
      <c r="J276" s="4" t="s">
        <v>8</v>
      </c>
      <c r="K276" s="4" t="s">
        <v>7</v>
      </c>
      <c r="L276" s="11"/>
      <c r="M276" s="3"/>
      <c r="N276"/>
      <c r="O276" s="4"/>
      <c r="P276" s="1"/>
      <c r="Q276" s="22"/>
      <c r="R276" t="s">
        <v>92</v>
      </c>
      <c r="S276" s="11"/>
      <c r="T276" t="s">
        <v>1603</v>
      </c>
      <c r="U276"/>
      <c r="V276" s="1"/>
      <c r="W276" s="1"/>
    </row>
    <row r="277" spans="2:23" x14ac:dyDescent="0.35">
      <c r="B277" s="4">
        <v>20011937</v>
      </c>
      <c r="C277" s="1" t="s">
        <v>1407</v>
      </c>
      <c r="D277" s="4" t="s">
        <v>86</v>
      </c>
      <c r="E277" s="3"/>
      <c r="F277" s="3" t="s">
        <v>68</v>
      </c>
      <c r="G277">
        <v>5</v>
      </c>
      <c r="H277" s="4">
        <v>10</v>
      </c>
      <c r="I277" s="4">
        <v>9</v>
      </c>
      <c r="J277" s="4" t="s">
        <v>24</v>
      </c>
      <c r="K277" s="4" t="s">
        <v>7</v>
      </c>
      <c r="L277" s="11"/>
      <c r="M277" s="3"/>
      <c r="N277"/>
      <c r="O277" s="4"/>
      <c r="P277" s="1"/>
      <c r="Q277" s="22"/>
      <c r="R277"/>
      <c r="S277" s="11"/>
      <c r="T277" t="s">
        <v>1602</v>
      </c>
      <c r="U277"/>
      <c r="V277" s="1"/>
      <c r="W277" s="1"/>
    </row>
    <row r="278" spans="2:23" x14ac:dyDescent="0.35">
      <c r="B278" s="4">
        <v>20012262</v>
      </c>
      <c r="C278" s="1" t="s">
        <v>194</v>
      </c>
      <c r="D278" s="4" t="s">
        <v>86</v>
      </c>
      <c r="E278" s="3"/>
      <c r="F278" s="3" t="s">
        <v>89</v>
      </c>
      <c r="G278">
        <v>20</v>
      </c>
      <c r="H278" s="4">
        <v>20</v>
      </c>
      <c r="I278" s="4">
        <v>37</v>
      </c>
      <c r="J278" s="4" t="s">
        <v>8</v>
      </c>
      <c r="K278" s="4" t="s">
        <v>7</v>
      </c>
      <c r="L278" s="11"/>
      <c r="M278" s="3"/>
      <c r="N278"/>
      <c r="O278" s="4"/>
      <c r="P278" s="1"/>
      <c r="Q278" s="22"/>
      <c r="R278" t="s">
        <v>113</v>
      </c>
      <c r="S278" s="11"/>
      <c r="T278" t="s">
        <v>66</v>
      </c>
      <c r="U278"/>
      <c r="V278" s="1"/>
      <c r="W278" s="1"/>
    </row>
    <row r="279" spans="2:23" x14ac:dyDescent="0.35">
      <c r="B279" s="4">
        <v>20011953</v>
      </c>
      <c r="C279" s="1" t="s">
        <v>1525</v>
      </c>
      <c r="D279" s="4" t="s">
        <v>86</v>
      </c>
      <c r="E279" s="3"/>
      <c r="F279" s="3" t="s">
        <v>68</v>
      </c>
      <c r="G279">
        <v>1</v>
      </c>
      <c r="H279" s="4">
        <v>2</v>
      </c>
      <c r="I279" s="4">
        <v>2</v>
      </c>
      <c r="J279" s="4" t="s">
        <v>8</v>
      </c>
      <c r="K279" s="4" t="s">
        <v>7</v>
      </c>
      <c r="L279" s="11"/>
      <c r="M279" s="3"/>
      <c r="N279"/>
      <c r="O279" s="4"/>
      <c r="P279" s="1"/>
      <c r="Q279" s="22"/>
      <c r="R279"/>
      <c r="S279" s="11"/>
      <c r="T279" t="s">
        <v>1602</v>
      </c>
      <c r="U279"/>
      <c r="V279" s="1"/>
      <c r="W279" s="1"/>
    </row>
    <row r="280" spans="2:23" x14ac:dyDescent="0.35">
      <c r="B280" s="4">
        <v>20012263</v>
      </c>
      <c r="C280" s="1" t="s">
        <v>35</v>
      </c>
      <c r="D280" s="4" t="s">
        <v>86</v>
      </c>
      <c r="E280" s="3"/>
      <c r="F280" s="3" t="s">
        <v>89</v>
      </c>
      <c r="G280">
        <v>30</v>
      </c>
      <c r="H280" s="4">
        <v>50</v>
      </c>
      <c r="I280" s="4">
        <v>61</v>
      </c>
      <c r="J280" s="4" t="s">
        <v>8</v>
      </c>
      <c r="K280" s="4" t="s">
        <v>7</v>
      </c>
      <c r="L280" s="11"/>
      <c r="M280" s="3"/>
      <c r="N280"/>
      <c r="O280" s="4"/>
      <c r="P280" s="1"/>
      <c r="Q280" s="22"/>
      <c r="R280" t="s">
        <v>113</v>
      </c>
      <c r="S280" s="11"/>
      <c r="T280" t="s">
        <v>66</v>
      </c>
      <c r="U280"/>
      <c r="V280" s="1"/>
      <c r="W280" s="1"/>
    </row>
    <row r="281" spans="2:23" x14ac:dyDescent="0.35">
      <c r="B281" s="4">
        <v>20011956</v>
      </c>
      <c r="C281" s="1" t="s">
        <v>1431</v>
      </c>
      <c r="D281" s="4" t="s">
        <v>86</v>
      </c>
      <c r="E281" s="3"/>
      <c r="F281" s="3" t="s">
        <v>68</v>
      </c>
      <c r="G281">
        <v>2</v>
      </c>
      <c r="H281" s="4">
        <v>2</v>
      </c>
      <c r="I281" s="4">
        <v>5</v>
      </c>
      <c r="J281" s="4" t="s">
        <v>8</v>
      </c>
      <c r="K281" s="4" t="s">
        <v>14</v>
      </c>
      <c r="L281" s="11"/>
      <c r="M281" s="3"/>
      <c r="N281"/>
      <c r="O281" s="4"/>
      <c r="P281" s="1"/>
      <c r="Q281" s="22"/>
      <c r="R281"/>
      <c r="S281" s="11"/>
      <c r="T281" t="s">
        <v>1602</v>
      </c>
      <c r="U281"/>
      <c r="V281" s="1"/>
      <c r="W281" s="1"/>
    </row>
    <row r="282" spans="2:23" x14ac:dyDescent="0.35">
      <c r="B282" s="4">
        <v>20012284</v>
      </c>
      <c r="C282" s="1" t="s">
        <v>195</v>
      </c>
      <c r="D282" s="4" t="s">
        <v>86</v>
      </c>
      <c r="E282" s="3"/>
      <c r="F282" s="3" t="s">
        <v>89</v>
      </c>
      <c r="G282">
        <v>20</v>
      </c>
      <c r="H282" s="4">
        <v>20</v>
      </c>
      <c r="I282" s="4">
        <v>32</v>
      </c>
      <c r="J282" s="4" t="s">
        <v>8</v>
      </c>
      <c r="K282" s="4" t="s">
        <v>7</v>
      </c>
      <c r="L282" s="11"/>
      <c r="M282" s="3"/>
      <c r="N282"/>
      <c r="O282" s="4"/>
      <c r="P282" s="1"/>
      <c r="Q282" s="22"/>
      <c r="R282" t="s">
        <v>113</v>
      </c>
      <c r="S282" s="11"/>
      <c r="T282" t="s">
        <v>66</v>
      </c>
      <c r="U282"/>
      <c r="V282" s="1"/>
      <c r="W282" s="1"/>
    </row>
    <row r="283" spans="2:23" x14ac:dyDescent="0.35">
      <c r="B283" s="4">
        <v>20012286</v>
      </c>
      <c r="C283" s="1" t="s">
        <v>196</v>
      </c>
      <c r="D283" s="4" t="s">
        <v>86</v>
      </c>
      <c r="E283" s="3"/>
      <c r="F283" s="3" t="s">
        <v>89</v>
      </c>
      <c r="G283">
        <v>14</v>
      </c>
      <c r="H283" s="4">
        <v>28</v>
      </c>
      <c r="I283" s="4">
        <v>94</v>
      </c>
      <c r="J283" s="4" t="s">
        <v>8</v>
      </c>
      <c r="K283" s="4" t="s">
        <v>14</v>
      </c>
      <c r="L283" s="11"/>
      <c r="M283" s="3"/>
      <c r="N283"/>
      <c r="O283" s="4"/>
      <c r="P283" s="1"/>
      <c r="Q283" s="22"/>
      <c r="R283" t="s">
        <v>113</v>
      </c>
      <c r="S283" s="11"/>
      <c r="T283" t="s">
        <v>66</v>
      </c>
      <c r="U283"/>
      <c r="V283" s="1"/>
      <c r="W283" s="1"/>
    </row>
    <row r="284" spans="2:23" x14ac:dyDescent="0.35">
      <c r="B284" s="4">
        <v>20012289</v>
      </c>
      <c r="C284" s="1" t="s">
        <v>36</v>
      </c>
      <c r="D284" s="4" t="s">
        <v>86</v>
      </c>
      <c r="E284" s="3"/>
      <c r="F284" s="3" t="s">
        <v>89</v>
      </c>
      <c r="G284">
        <v>7</v>
      </c>
      <c r="H284" s="4">
        <v>14</v>
      </c>
      <c r="I284" s="4">
        <v>12</v>
      </c>
      <c r="J284" s="4" t="s">
        <v>8</v>
      </c>
      <c r="K284" s="4" t="s">
        <v>7</v>
      </c>
      <c r="L284" s="11"/>
      <c r="M284" s="3"/>
      <c r="N284"/>
      <c r="O284" s="4"/>
      <c r="P284" s="1"/>
      <c r="Q284" s="22"/>
      <c r="R284" t="s">
        <v>113</v>
      </c>
      <c r="S284" s="11"/>
      <c r="T284" t="s">
        <v>66</v>
      </c>
      <c r="U284"/>
      <c r="V284" s="1"/>
      <c r="W284" s="1"/>
    </row>
    <row r="285" spans="2:23" x14ac:dyDescent="0.35">
      <c r="B285" s="4">
        <v>20012106</v>
      </c>
      <c r="C285" s="1" t="s">
        <v>1056</v>
      </c>
      <c r="D285" s="4" t="s">
        <v>86</v>
      </c>
      <c r="E285" s="3"/>
      <c r="F285" s="3" t="s">
        <v>68</v>
      </c>
      <c r="G285">
        <v>100</v>
      </c>
      <c r="H285" s="4">
        <v>100</v>
      </c>
      <c r="I285" s="4">
        <v>150</v>
      </c>
      <c r="J285" s="4" t="s">
        <v>8</v>
      </c>
      <c r="K285" s="4" t="s">
        <v>7</v>
      </c>
      <c r="L285" s="11"/>
      <c r="M285" s="3"/>
      <c r="N285"/>
      <c r="O285" s="4"/>
      <c r="P285" s="1"/>
      <c r="Q285" s="22"/>
      <c r="R285"/>
      <c r="S285" s="11"/>
      <c r="T285" t="s">
        <v>1602</v>
      </c>
      <c r="U285"/>
      <c r="V285" s="1"/>
      <c r="W285" s="1"/>
    </row>
    <row r="286" spans="2:23" x14ac:dyDescent="0.35">
      <c r="B286" s="4">
        <v>20012298</v>
      </c>
      <c r="C286" s="1" t="s">
        <v>197</v>
      </c>
      <c r="D286" s="4" t="s">
        <v>86</v>
      </c>
      <c r="E286" s="3"/>
      <c r="F286" s="3" t="s">
        <v>89</v>
      </c>
      <c r="G286">
        <v>20</v>
      </c>
      <c r="H286" s="4">
        <v>40</v>
      </c>
      <c r="I286" s="4">
        <v>62</v>
      </c>
      <c r="J286" s="4" t="s">
        <v>8</v>
      </c>
      <c r="K286" s="4" t="s">
        <v>14</v>
      </c>
      <c r="L286" s="11"/>
      <c r="M286" s="3"/>
      <c r="N286"/>
      <c r="O286" s="4"/>
      <c r="P286" s="1"/>
      <c r="Q286" s="22"/>
      <c r="R286" t="s">
        <v>113</v>
      </c>
      <c r="S286" s="11"/>
      <c r="T286" t="s">
        <v>66</v>
      </c>
      <c r="U286"/>
      <c r="V286" s="1"/>
      <c r="W286" s="1"/>
    </row>
    <row r="287" spans="2:23" x14ac:dyDescent="0.35">
      <c r="B287" s="4">
        <v>20012310</v>
      </c>
      <c r="C287" s="1" t="s">
        <v>198</v>
      </c>
      <c r="D287" s="4" t="s">
        <v>86</v>
      </c>
      <c r="E287" s="3"/>
      <c r="F287" s="3" t="s">
        <v>89</v>
      </c>
      <c r="G287">
        <v>16</v>
      </c>
      <c r="H287" s="4">
        <v>32</v>
      </c>
      <c r="I287" s="4">
        <v>20</v>
      </c>
      <c r="J287" s="4" t="s">
        <v>8</v>
      </c>
      <c r="K287" s="4" t="s">
        <v>7</v>
      </c>
      <c r="L287" s="11"/>
      <c r="M287" s="3"/>
      <c r="N287"/>
      <c r="O287" s="4"/>
      <c r="P287" s="1"/>
      <c r="Q287" s="22"/>
      <c r="R287" t="s">
        <v>113</v>
      </c>
      <c r="S287" s="11"/>
      <c r="T287" t="s">
        <v>66</v>
      </c>
      <c r="U287"/>
      <c r="V287" s="1"/>
      <c r="W287" s="1"/>
    </row>
    <row r="288" spans="2:23" x14ac:dyDescent="0.35">
      <c r="B288" s="4">
        <v>20012166</v>
      </c>
      <c r="C288" s="1" t="s">
        <v>1108</v>
      </c>
      <c r="D288" s="4" t="s">
        <v>86</v>
      </c>
      <c r="E288" s="3"/>
      <c r="F288" s="3" t="s">
        <v>68</v>
      </c>
      <c r="G288">
        <v>5</v>
      </c>
      <c r="H288" s="4">
        <v>3</v>
      </c>
      <c r="I288" s="4">
        <v>7</v>
      </c>
      <c r="J288" s="4" t="s">
        <v>24</v>
      </c>
      <c r="K288" s="4" t="s">
        <v>7</v>
      </c>
      <c r="L288" s="11"/>
      <c r="M288" s="3"/>
      <c r="N288"/>
      <c r="O288" s="4"/>
      <c r="P288" s="1"/>
      <c r="Q288" s="22"/>
      <c r="R288"/>
      <c r="S288" s="11"/>
      <c r="T288" t="s">
        <v>1602</v>
      </c>
      <c r="U288"/>
      <c r="V288" s="1"/>
      <c r="W288" s="1"/>
    </row>
    <row r="289" spans="2:23" x14ac:dyDescent="0.35">
      <c r="B289" s="4">
        <v>20012311</v>
      </c>
      <c r="C289" s="1" t="s">
        <v>199</v>
      </c>
      <c r="D289" s="4" t="s">
        <v>86</v>
      </c>
      <c r="E289" s="3"/>
      <c r="F289" s="3" t="s">
        <v>89</v>
      </c>
      <c r="G289">
        <v>30</v>
      </c>
      <c r="H289" s="4">
        <v>40</v>
      </c>
      <c r="I289" s="4">
        <v>39</v>
      </c>
      <c r="J289" s="4" t="s">
        <v>8</v>
      </c>
      <c r="K289" s="4" t="s">
        <v>7</v>
      </c>
      <c r="L289" s="11"/>
      <c r="M289" s="3"/>
      <c r="N289"/>
      <c r="O289" s="4"/>
      <c r="P289" s="1"/>
      <c r="Q289" s="22"/>
      <c r="R289" t="s">
        <v>113</v>
      </c>
      <c r="S289" s="11"/>
      <c r="T289" t="s">
        <v>66</v>
      </c>
      <c r="U289"/>
      <c r="V289" s="1"/>
      <c r="W289" s="1"/>
    </row>
    <row r="290" spans="2:23" x14ac:dyDescent="0.35">
      <c r="B290" s="4">
        <v>20012175</v>
      </c>
      <c r="C290" s="1" t="s">
        <v>1408</v>
      </c>
      <c r="D290" s="4" t="s">
        <v>86</v>
      </c>
      <c r="E290" s="3"/>
      <c r="F290" s="3" t="s">
        <v>68</v>
      </c>
      <c r="G290">
        <v>4</v>
      </c>
      <c r="H290" s="4">
        <v>4</v>
      </c>
      <c r="I290" s="4">
        <v>4</v>
      </c>
      <c r="J290" s="4" t="s">
        <v>8</v>
      </c>
      <c r="K290" s="4" t="s">
        <v>7</v>
      </c>
      <c r="L290" s="11"/>
      <c r="M290" s="3"/>
      <c r="N290"/>
      <c r="O290" s="4"/>
      <c r="P290" s="1"/>
      <c r="Q290" s="22"/>
      <c r="R290"/>
      <c r="S290" s="11"/>
      <c r="T290" t="s">
        <v>66</v>
      </c>
      <c r="U290"/>
      <c r="V290" s="1"/>
      <c r="W290" s="1"/>
    </row>
    <row r="291" spans="2:23" x14ac:dyDescent="0.35">
      <c r="B291" s="4">
        <v>20012357</v>
      </c>
      <c r="C291" s="1" t="s">
        <v>200</v>
      </c>
      <c r="D291" s="4" t="s">
        <v>86</v>
      </c>
      <c r="E291" s="3"/>
      <c r="F291" s="3" t="s">
        <v>89</v>
      </c>
      <c r="G291">
        <v>15</v>
      </c>
      <c r="H291" s="4">
        <v>30</v>
      </c>
      <c r="I291" s="4">
        <v>30</v>
      </c>
      <c r="J291" s="4" t="s">
        <v>8</v>
      </c>
      <c r="K291" s="4" t="s">
        <v>7</v>
      </c>
      <c r="L291" s="11"/>
      <c r="M291" s="3"/>
      <c r="N291"/>
      <c r="O291" s="4"/>
      <c r="P291" s="1"/>
      <c r="Q291" s="22"/>
      <c r="R291" t="s">
        <v>113</v>
      </c>
      <c r="S291" s="11"/>
      <c r="T291" t="s">
        <v>66</v>
      </c>
      <c r="U291"/>
      <c r="V291" s="1"/>
      <c r="W291" s="1"/>
    </row>
    <row r="292" spans="2:23" x14ac:dyDescent="0.35">
      <c r="B292" s="4">
        <v>20012377</v>
      </c>
      <c r="C292" s="1" t="s">
        <v>37</v>
      </c>
      <c r="D292" s="4" t="s">
        <v>86</v>
      </c>
      <c r="E292" s="3" t="s">
        <v>87</v>
      </c>
      <c r="F292" s="3" t="s">
        <v>89</v>
      </c>
      <c r="G292">
        <v>4</v>
      </c>
      <c r="H292" s="4">
        <v>8</v>
      </c>
      <c r="I292" s="4">
        <v>6</v>
      </c>
      <c r="J292" s="4" t="s">
        <v>8</v>
      </c>
      <c r="K292" s="4" t="s">
        <v>7</v>
      </c>
      <c r="L292" s="11"/>
      <c r="M292" s="3"/>
      <c r="N292"/>
      <c r="O292" s="4"/>
      <c r="P292" s="1"/>
      <c r="Q292" s="22"/>
      <c r="R292" t="s">
        <v>88</v>
      </c>
      <c r="S292" s="11"/>
      <c r="T292" t="s">
        <v>66</v>
      </c>
      <c r="U292"/>
      <c r="V292" s="1"/>
      <c r="W292" s="1"/>
    </row>
    <row r="293" spans="2:23" x14ac:dyDescent="0.35">
      <c r="B293" s="4">
        <v>20012220</v>
      </c>
      <c r="C293" s="1" t="s">
        <v>1526</v>
      </c>
      <c r="D293" s="4" t="s">
        <v>86</v>
      </c>
      <c r="E293" s="3"/>
      <c r="F293" s="3" t="s">
        <v>68</v>
      </c>
      <c r="G293">
        <v>416</v>
      </c>
      <c r="H293" s="4">
        <v>208</v>
      </c>
      <c r="I293" s="4">
        <v>416</v>
      </c>
      <c r="J293" s="4" t="s">
        <v>23</v>
      </c>
      <c r="K293" s="4" t="s">
        <v>7</v>
      </c>
      <c r="L293" s="11"/>
      <c r="M293" s="3"/>
      <c r="N293"/>
      <c r="O293" s="4"/>
      <c r="P293" s="1"/>
      <c r="Q293" s="22"/>
      <c r="R293"/>
      <c r="S293" s="11"/>
      <c r="T293" t="s">
        <v>69</v>
      </c>
      <c r="U293"/>
      <c r="V293" s="1"/>
      <c r="W293" s="1"/>
    </row>
    <row r="294" spans="2:23" x14ac:dyDescent="0.35">
      <c r="B294" s="4">
        <v>20012383</v>
      </c>
      <c r="C294" s="1" t="s">
        <v>38</v>
      </c>
      <c r="D294" s="4" t="s">
        <v>86</v>
      </c>
      <c r="E294" s="3" t="s">
        <v>87</v>
      </c>
      <c r="F294" s="3" t="s">
        <v>89</v>
      </c>
      <c r="G294">
        <v>50</v>
      </c>
      <c r="H294" s="4">
        <v>50</v>
      </c>
      <c r="I294" s="4">
        <v>98</v>
      </c>
      <c r="J294" s="4" t="s">
        <v>8</v>
      </c>
      <c r="K294" s="4" t="s">
        <v>7</v>
      </c>
      <c r="L294" s="11"/>
      <c r="M294" s="3"/>
      <c r="N294"/>
      <c r="O294" s="4"/>
      <c r="P294" s="1"/>
      <c r="Q294" s="22"/>
      <c r="R294" t="s">
        <v>88</v>
      </c>
      <c r="S294" s="11"/>
      <c r="T294" t="s">
        <v>66</v>
      </c>
      <c r="U294"/>
      <c r="V294" s="1"/>
      <c r="W294" s="1"/>
    </row>
    <row r="295" spans="2:23" x14ac:dyDescent="0.35">
      <c r="B295" s="4">
        <v>20012391</v>
      </c>
      <c r="C295" s="1" t="s">
        <v>1273</v>
      </c>
      <c r="D295" s="4" t="s">
        <v>86</v>
      </c>
      <c r="E295" s="3" t="s">
        <v>138</v>
      </c>
      <c r="F295" s="3" t="s">
        <v>89</v>
      </c>
      <c r="G295">
        <v>4000</v>
      </c>
      <c r="H295" s="4">
        <v>6000</v>
      </c>
      <c r="I295" s="4">
        <v>5500</v>
      </c>
      <c r="J295" s="4" t="s">
        <v>8</v>
      </c>
      <c r="K295" s="4" t="s">
        <v>7</v>
      </c>
      <c r="L295" s="11"/>
      <c r="M295" s="3"/>
      <c r="N295"/>
      <c r="O295" s="4"/>
      <c r="P295" s="1"/>
      <c r="Q295" s="22"/>
      <c r="R295" t="s">
        <v>139</v>
      </c>
      <c r="S295" s="11"/>
      <c r="T295" t="s">
        <v>66</v>
      </c>
      <c r="U295"/>
      <c r="V295" s="1"/>
      <c r="W295" s="1"/>
    </row>
    <row r="296" spans="2:23" x14ac:dyDescent="0.35">
      <c r="B296" s="4">
        <v>20013228</v>
      </c>
      <c r="C296" s="1" t="s">
        <v>201</v>
      </c>
      <c r="D296" s="4" t="s">
        <v>86</v>
      </c>
      <c r="E296" s="3" t="s">
        <v>87</v>
      </c>
      <c r="F296" s="3" t="s">
        <v>89</v>
      </c>
      <c r="G296">
        <v>1</v>
      </c>
      <c r="H296" s="4">
        <v>1</v>
      </c>
      <c r="I296" s="4">
        <v>1</v>
      </c>
      <c r="J296" s="4" t="s">
        <v>8</v>
      </c>
      <c r="K296" s="4" t="s">
        <v>7</v>
      </c>
      <c r="L296" s="11"/>
      <c r="M296" s="3"/>
      <c r="N296"/>
      <c r="O296" s="4"/>
      <c r="P296" s="1"/>
      <c r="Q296" s="22"/>
      <c r="R296" t="s">
        <v>88</v>
      </c>
      <c r="S296" s="11"/>
      <c r="T296" t="s">
        <v>66</v>
      </c>
      <c r="U296"/>
      <c r="V296" s="1"/>
      <c r="W296" s="1"/>
    </row>
    <row r="297" spans="2:23" x14ac:dyDescent="0.35">
      <c r="B297" s="4">
        <v>20012269</v>
      </c>
      <c r="C297" s="1" t="s">
        <v>1567</v>
      </c>
      <c r="D297" s="4" t="s">
        <v>86</v>
      </c>
      <c r="E297" s="3"/>
      <c r="F297" s="3" t="s">
        <v>68</v>
      </c>
      <c r="G297">
        <v>400</v>
      </c>
      <c r="H297" s="4">
        <v>210</v>
      </c>
      <c r="I297" s="4">
        <v>600</v>
      </c>
      <c r="J297" s="4" t="s">
        <v>25</v>
      </c>
      <c r="K297" s="4" t="s">
        <v>7</v>
      </c>
      <c r="L297" s="11"/>
      <c r="M297" s="3"/>
      <c r="N297"/>
      <c r="O297" s="4"/>
      <c r="P297" s="1"/>
      <c r="Q297" s="22"/>
      <c r="R297"/>
      <c r="S297" s="11"/>
      <c r="T297" t="s">
        <v>66</v>
      </c>
      <c r="U297"/>
      <c r="V297" s="1"/>
      <c r="W297" s="1"/>
    </row>
    <row r="298" spans="2:23" x14ac:dyDescent="0.35">
      <c r="B298" s="4">
        <v>20013236</v>
      </c>
      <c r="C298" s="1" t="s">
        <v>202</v>
      </c>
      <c r="D298" s="4" t="s">
        <v>86</v>
      </c>
      <c r="E298" s="3" t="s">
        <v>87</v>
      </c>
      <c r="F298" s="3" t="s">
        <v>89</v>
      </c>
      <c r="G298">
        <v>10</v>
      </c>
      <c r="H298" s="4">
        <v>20</v>
      </c>
      <c r="I298" s="4">
        <v>28</v>
      </c>
      <c r="J298" s="4" t="s">
        <v>8</v>
      </c>
      <c r="K298" s="4" t="s">
        <v>7</v>
      </c>
      <c r="L298" s="11"/>
      <c r="M298" s="3"/>
      <c r="N298"/>
      <c r="O298" s="4"/>
      <c r="P298" s="1"/>
      <c r="Q298" s="22"/>
      <c r="R298" t="s">
        <v>88</v>
      </c>
      <c r="S298" s="11"/>
      <c r="T298" t="s">
        <v>66</v>
      </c>
      <c r="U298"/>
      <c r="V298" s="1"/>
      <c r="W298" s="1"/>
    </row>
    <row r="299" spans="2:23" x14ac:dyDescent="0.35">
      <c r="B299" s="4">
        <v>20013241</v>
      </c>
      <c r="C299" s="1" t="s">
        <v>203</v>
      </c>
      <c r="D299" s="4" t="s">
        <v>86</v>
      </c>
      <c r="E299" s="3" t="s">
        <v>87</v>
      </c>
      <c r="F299" s="3" t="s">
        <v>89</v>
      </c>
      <c r="G299">
        <v>2</v>
      </c>
      <c r="H299" s="4">
        <v>2</v>
      </c>
      <c r="I299" s="4">
        <v>20</v>
      </c>
      <c r="J299" s="4" t="s">
        <v>8</v>
      </c>
      <c r="K299" s="4" t="s">
        <v>14</v>
      </c>
      <c r="L299" s="11"/>
      <c r="M299" s="3"/>
      <c r="N299"/>
      <c r="O299" s="4"/>
      <c r="P299" s="1"/>
      <c r="Q299" s="22"/>
      <c r="R299" t="s">
        <v>88</v>
      </c>
      <c r="S299" s="11"/>
      <c r="T299" t="s">
        <v>69</v>
      </c>
      <c r="U299"/>
      <c r="V299" s="1"/>
      <c r="W299" s="1"/>
    </row>
    <row r="300" spans="2:23" x14ac:dyDescent="0.35">
      <c r="B300" s="4">
        <v>20012285</v>
      </c>
      <c r="C300" s="1" t="s">
        <v>1383</v>
      </c>
      <c r="D300" s="4" t="s">
        <v>86</v>
      </c>
      <c r="E300" s="3"/>
      <c r="F300" s="3" t="s">
        <v>68</v>
      </c>
      <c r="G300">
        <v>20</v>
      </c>
      <c r="H300" s="4">
        <v>50</v>
      </c>
      <c r="I300" s="4">
        <v>23</v>
      </c>
      <c r="J300" s="4" t="s">
        <v>8</v>
      </c>
      <c r="K300" s="4" t="s">
        <v>7</v>
      </c>
      <c r="L300" s="11"/>
      <c r="M300" s="3"/>
      <c r="N300"/>
      <c r="O300" s="4"/>
      <c r="P300" s="1"/>
      <c r="Q300" s="22"/>
      <c r="R300"/>
      <c r="S300" s="11"/>
      <c r="T300" t="s">
        <v>66</v>
      </c>
      <c r="U300"/>
      <c r="V300" s="1"/>
      <c r="W300" s="1"/>
    </row>
    <row r="301" spans="2:23" x14ac:dyDescent="0.35">
      <c r="B301" s="4">
        <v>20013400</v>
      </c>
      <c r="C301" s="1" t="s">
        <v>204</v>
      </c>
      <c r="D301" s="4" t="s">
        <v>86</v>
      </c>
      <c r="E301" s="3" t="s">
        <v>118</v>
      </c>
      <c r="F301" s="3" t="s">
        <v>89</v>
      </c>
      <c r="G301">
        <v>9</v>
      </c>
      <c r="H301" s="4">
        <v>14</v>
      </c>
      <c r="I301" s="4">
        <v>59</v>
      </c>
      <c r="J301" s="4" t="s">
        <v>8</v>
      </c>
      <c r="K301" s="4" t="s">
        <v>14</v>
      </c>
      <c r="L301" s="11"/>
      <c r="M301" s="3"/>
      <c r="N301"/>
      <c r="O301" s="4"/>
      <c r="P301" s="1"/>
      <c r="Q301" s="22"/>
      <c r="R301" t="s">
        <v>156</v>
      </c>
      <c r="S301" s="11"/>
      <c r="T301" t="s">
        <v>69</v>
      </c>
      <c r="U301"/>
      <c r="V301" s="1"/>
      <c r="W301" s="1"/>
    </row>
    <row r="302" spans="2:23" x14ac:dyDescent="0.35">
      <c r="B302" s="4">
        <v>20013403</v>
      </c>
      <c r="C302" s="1" t="s">
        <v>205</v>
      </c>
      <c r="D302" s="4" t="s">
        <v>86</v>
      </c>
      <c r="E302" s="3" t="s">
        <v>118</v>
      </c>
      <c r="F302" s="3" t="s">
        <v>89</v>
      </c>
      <c r="G302">
        <v>9</v>
      </c>
      <c r="H302" s="4">
        <v>14</v>
      </c>
      <c r="I302" s="4">
        <v>100</v>
      </c>
      <c r="J302" s="4" t="s">
        <v>8</v>
      </c>
      <c r="K302" s="4" t="s">
        <v>14</v>
      </c>
      <c r="L302" s="11"/>
      <c r="M302" s="3"/>
      <c r="N302"/>
      <c r="O302" s="4"/>
      <c r="P302" s="1"/>
      <c r="Q302" s="22"/>
      <c r="R302" t="s">
        <v>156</v>
      </c>
      <c r="S302" s="11"/>
      <c r="T302" t="s">
        <v>69</v>
      </c>
      <c r="U302"/>
      <c r="V302" s="1"/>
      <c r="W302" s="1"/>
    </row>
    <row r="303" spans="2:23" x14ac:dyDescent="0.35">
      <c r="B303" s="4">
        <v>20013409</v>
      </c>
      <c r="C303" s="1" t="s">
        <v>206</v>
      </c>
      <c r="D303" s="4" t="s">
        <v>86</v>
      </c>
      <c r="E303" s="3" t="s">
        <v>118</v>
      </c>
      <c r="F303" s="3" t="s">
        <v>89</v>
      </c>
      <c r="G303">
        <v>9</v>
      </c>
      <c r="H303" s="4">
        <v>10</v>
      </c>
      <c r="I303" s="4">
        <v>10</v>
      </c>
      <c r="J303" s="4" t="s">
        <v>8</v>
      </c>
      <c r="K303" s="4" t="s">
        <v>7</v>
      </c>
      <c r="L303" s="11"/>
      <c r="M303" s="3"/>
      <c r="N303"/>
      <c r="O303" s="4"/>
      <c r="P303" s="1"/>
      <c r="Q303" s="22"/>
      <c r="R303" t="s">
        <v>156</v>
      </c>
      <c r="S303" s="11"/>
      <c r="T303" t="s">
        <v>66</v>
      </c>
      <c r="U303"/>
      <c r="V303" s="1"/>
      <c r="W303" s="1"/>
    </row>
    <row r="304" spans="2:23" x14ac:dyDescent="0.35">
      <c r="B304" s="4">
        <v>20013415</v>
      </c>
      <c r="C304" s="1" t="s">
        <v>207</v>
      </c>
      <c r="D304" s="4" t="s">
        <v>86</v>
      </c>
      <c r="E304" s="3" t="s">
        <v>118</v>
      </c>
      <c r="F304" s="3" t="s">
        <v>89</v>
      </c>
      <c r="G304">
        <v>10</v>
      </c>
      <c r="H304" s="4">
        <v>16</v>
      </c>
      <c r="I304" s="4">
        <v>31</v>
      </c>
      <c r="J304" s="4" t="s">
        <v>8</v>
      </c>
      <c r="K304" s="4" t="s">
        <v>14</v>
      </c>
      <c r="L304" s="11"/>
      <c r="M304" s="3"/>
      <c r="N304"/>
      <c r="O304" s="4"/>
      <c r="P304" s="1"/>
      <c r="Q304" s="22"/>
      <c r="R304" t="s">
        <v>156</v>
      </c>
      <c r="S304" s="11"/>
      <c r="T304" t="s">
        <v>70</v>
      </c>
      <c r="U304"/>
      <c r="V304" s="1"/>
      <c r="W304" s="1"/>
    </row>
    <row r="305" spans="2:23" x14ac:dyDescent="0.35">
      <c r="B305" s="4">
        <v>20013416</v>
      </c>
      <c r="C305" s="1" t="s">
        <v>208</v>
      </c>
      <c r="D305" s="4" t="s">
        <v>86</v>
      </c>
      <c r="E305" s="3" t="s">
        <v>118</v>
      </c>
      <c r="F305" s="3" t="s">
        <v>89</v>
      </c>
      <c r="G305">
        <v>13</v>
      </c>
      <c r="H305" s="4">
        <v>21</v>
      </c>
      <c r="I305" s="4">
        <v>58</v>
      </c>
      <c r="J305" s="4" t="s">
        <v>25</v>
      </c>
      <c r="K305" s="4" t="s">
        <v>14</v>
      </c>
      <c r="L305" s="11"/>
      <c r="M305" s="3"/>
      <c r="N305"/>
      <c r="O305" s="4"/>
      <c r="P305" s="1"/>
      <c r="Q305" s="22"/>
      <c r="R305" t="s">
        <v>156</v>
      </c>
      <c r="S305" s="11"/>
      <c r="T305" t="s">
        <v>70</v>
      </c>
      <c r="U305"/>
      <c r="V305" s="1"/>
      <c r="W305" s="1"/>
    </row>
    <row r="306" spans="2:23" x14ac:dyDescent="0.35">
      <c r="B306" s="4">
        <v>20013417</v>
      </c>
      <c r="C306" s="1" t="s">
        <v>209</v>
      </c>
      <c r="D306" s="4" t="s">
        <v>86</v>
      </c>
      <c r="E306" s="3" t="s">
        <v>118</v>
      </c>
      <c r="F306" s="3" t="s">
        <v>89</v>
      </c>
      <c r="G306">
        <v>16</v>
      </c>
      <c r="H306" s="4">
        <v>26</v>
      </c>
      <c r="I306" s="4">
        <v>91</v>
      </c>
      <c r="J306" s="4" t="s">
        <v>25</v>
      </c>
      <c r="K306" s="4" t="s">
        <v>14</v>
      </c>
      <c r="L306" s="11"/>
      <c r="M306" s="3"/>
      <c r="N306"/>
      <c r="O306" s="4"/>
      <c r="P306" s="1"/>
      <c r="Q306" s="22"/>
      <c r="R306" t="s">
        <v>156</v>
      </c>
      <c r="S306" s="11"/>
      <c r="T306" t="s">
        <v>70</v>
      </c>
      <c r="U306"/>
      <c r="V306" s="1"/>
      <c r="W306" s="1"/>
    </row>
    <row r="307" spans="2:23" x14ac:dyDescent="0.35">
      <c r="B307" s="4">
        <v>20012350</v>
      </c>
      <c r="C307" s="1" t="s">
        <v>1499</v>
      </c>
      <c r="D307" s="4" t="s">
        <v>86</v>
      </c>
      <c r="E307" s="3"/>
      <c r="F307" s="3" t="s">
        <v>68</v>
      </c>
      <c r="G307">
        <v>4</v>
      </c>
      <c r="H307" s="4">
        <v>2</v>
      </c>
      <c r="I307" s="4">
        <v>4</v>
      </c>
      <c r="J307" s="4" t="s">
        <v>8</v>
      </c>
      <c r="K307" s="4" t="s">
        <v>7</v>
      </c>
      <c r="L307" s="11"/>
      <c r="M307" s="3"/>
      <c r="N307"/>
      <c r="O307" s="4"/>
      <c r="P307" s="1"/>
      <c r="Q307" s="22"/>
      <c r="R307"/>
      <c r="S307" s="11"/>
      <c r="T307" t="s">
        <v>1603</v>
      </c>
      <c r="U307"/>
      <c r="V307" s="1"/>
      <c r="W307" s="1"/>
    </row>
    <row r="308" spans="2:23" x14ac:dyDescent="0.35">
      <c r="B308" s="4">
        <v>20013418</v>
      </c>
      <c r="C308" s="1" t="s">
        <v>210</v>
      </c>
      <c r="D308" s="4" t="s">
        <v>86</v>
      </c>
      <c r="E308" s="3" t="s">
        <v>118</v>
      </c>
      <c r="F308" s="3" t="s">
        <v>89</v>
      </c>
      <c r="G308">
        <v>10</v>
      </c>
      <c r="H308" s="4">
        <v>16</v>
      </c>
      <c r="I308" s="4">
        <v>91</v>
      </c>
      <c r="J308" s="4" t="s">
        <v>25</v>
      </c>
      <c r="K308" s="4" t="s">
        <v>14</v>
      </c>
      <c r="L308" s="11"/>
      <c r="M308" s="3"/>
      <c r="N308"/>
      <c r="O308" s="4"/>
      <c r="P308" s="1"/>
      <c r="Q308" s="22"/>
      <c r="R308" t="s">
        <v>156</v>
      </c>
      <c r="S308" s="11"/>
      <c r="T308" t="s">
        <v>1602</v>
      </c>
      <c r="U308"/>
      <c r="V308" s="1"/>
      <c r="W308" s="1"/>
    </row>
    <row r="309" spans="2:23" x14ac:dyDescent="0.35">
      <c r="B309" s="4">
        <v>20012364</v>
      </c>
      <c r="C309" s="1" t="s">
        <v>1472</v>
      </c>
      <c r="D309" s="4" t="s">
        <v>86</v>
      </c>
      <c r="E309" s="3"/>
      <c r="F309" s="3" t="s">
        <v>68</v>
      </c>
      <c r="G309">
        <v>150</v>
      </c>
      <c r="H309" s="4">
        <v>100</v>
      </c>
      <c r="I309" s="4">
        <v>284</v>
      </c>
      <c r="J309" s="4" t="s">
        <v>8</v>
      </c>
      <c r="K309" s="4" t="s">
        <v>14</v>
      </c>
      <c r="L309" s="11"/>
      <c r="M309" s="3"/>
      <c r="N309"/>
      <c r="O309" s="4"/>
      <c r="P309" s="1"/>
      <c r="Q309" s="22"/>
      <c r="R309"/>
      <c r="S309" s="11"/>
      <c r="T309" t="s">
        <v>66</v>
      </c>
      <c r="U309"/>
      <c r="V309" s="1"/>
      <c r="W309" s="1"/>
    </row>
    <row r="310" spans="2:23" x14ac:dyDescent="0.35">
      <c r="B310" s="4">
        <v>20013419</v>
      </c>
      <c r="C310" s="1" t="s">
        <v>211</v>
      </c>
      <c r="D310" s="4" t="s">
        <v>86</v>
      </c>
      <c r="E310" s="3" t="s">
        <v>87</v>
      </c>
      <c r="F310" s="3" t="s">
        <v>89</v>
      </c>
      <c r="G310">
        <v>30</v>
      </c>
      <c r="H310" s="4">
        <v>32</v>
      </c>
      <c r="I310" s="4">
        <v>200</v>
      </c>
      <c r="J310" s="4" t="s">
        <v>8</v>
      </c>
      <c r="K310" s="4" t="s">
        <v>14</v>
      </c>
      <c r="L310" s="11"/>
      <c r="M310" s="3"/>
      <c r="N310"/>
      <c r="O310" s="4"/>
      <c r="P310" s="1"/>
      <c r="Q310" s="22"/>
      <c r="R310" t="s">
        <v>88</v>
      </c>
      <c r="S310" s="11"/>
      <c r="T310" t="s">
        <v>66</v>
      </c>
      <c r="U310"/>
      <c r="V310" s="1"/>
      <c r="W310" s="1"/>
    </row>
    <row r="311" spans="2:23" x14ac:dyDescent="0.35">
      <c r="B311" s="4">
        <v>20012365</v>
      </c>
      <c r="C311" s="1" t="s">
        <v>1500</v>
      </c>
      <c r="D311" s="4" t="s">
        <v>86</v>
      </c>
      <c r="E311" s="3"/>
      <c r="F311" s="3" t="s">
        <v>68</v>
      </c>
      <c r="G311">
        <v>200</v>
      </c>
      <c r="H311" s="4">
        <v>100</v>
      </c>
      <c r="I311" s="4">
        <v>276</v>
      </c>
      <c r="J311" s="4" t="s">
        <v>8</v>
      </c>
      <c r="K311" s="4" t="s">
        <v>7</v>
      </c>
      <c r="L311" s="11"/>
      <c r="M311" s="3"/>
      <c r="N311"/>
      <c r="O311" s="4"/>
      <c r="P311" s="1"/>
      <c r="Q311" s="22"/>
      <c r="R311"/>
      <c r="S311" s="11"/>
      <c r="T311" t="s">
        <v>1603</v>
      </c>
      <c r="U311"/>
      <c r="V311" s="1"/>
      <c r="W311" s="1"/>
    </row>
    <row r="312" spans="2:23" x14ac:dyDescent="0.35">
      <c r="B312" s="4">
        <v>20013420</v>
      </c>
      <c r="C312" s="1" t="s">
        <v>212</v>
      </c>
      <c r="D312" s="4" t="s">
        <v>86</v>
      </c>
      <c r="E312" s="3" t="s">
        <v>87</v>
      </c>
      <c r="F312" s="3" t="s">
        <v>89</v>
      </c>
      <c r="G312">
        <v>43</v>
      </c>
      <c r="H312" s="4">
        <v>71</v>
      </c>
      <c r="I312" s="4">
        <v>1314</v>
      </c>
      <c r="J312" s="4" t="s">
        <v>8</v>
      </c>
      <c r="K312" s="4" t="s">
        <v>14</v>
      </c>
      <c r="L312" s="11"/>
      <c r="M312" s="3"/>
      <c r="N312"/>
      <c r="O312" s="4"/>
      <c r="P312" s="1"/>
      <c r="Q312" s="22"/>
      <c r="R312" t="s">
        <v>88</v>
      </c>
      <c r="S312" s="11"/>
      <c r="T312" t="s">
        <v>67</v>
      </c>
      <c r="U312"/>
      <c r="V312" s="1"/>
      <c r="W312" s="1"/>
    </row>
    <row r="313" spans="2:23" x14ac:dyDescent="0.35">
      <c r="B313" s="4">
        <v>20012367</v>
      </c>
      <c r="C313" s="1" t="s">
        <v>1501</v>
      </c>
      <c r="D313" s="4" t="s">
        <v>86</v>
      </c>
      <c r="E313" s="3"/>
      <c r="F313" s="3" t="s">
        <v>68</v>
      </c>
      <c r="G313">
        <v>6</v>
      </c>
      <c r="H313" s="4">
        <v>3</v>
      </c>
      <c r="I313" s="4">
        <v>0</v>
      </c>
      <c r="J313" s="4" t="s">
        <v>8</v>
      </c>
      <c r="K313" s="4" t="s">
        <v>13</v>
      </c>
      <c r="L313" s="11"/>
      <c r="M313" s="3"/>
      <c r="N313">
        <v>4502709528</v>
      </c>
      <c r="O313" s="4">
        <v>6</v>
      </c>
      <c r="P313" s="1" t="s">
        <v>6846</v>
      </c>
      <c r="Q313" s="22">
        <v>46264</v>
      </c>
      <c r="R313"/>
      <c r="S313" s="11"/>
      <c r="T313" t="s">
        <v>1603</v>
      </c>
      <c r="U313"/>
      <c r="V313" s="1"/>
      <c r="W313" s="1"/>
    </row>
    <row r="314" spans="2:23" x14ac:dyDescent="0.35">
      <c r="B314" s="4">
        <v>20013627</v>
      </c>
      <c r="C314" s="1" t="s">
        <v>213</v>
      </c>
      <c r="D314" s="4" t="s">
        <v>86</v>
      </c>
      <c r="E314" s="3" t="s">
        <v>118</v>
      </c>
      <c r="F314" s="3" t="s">
        <v>89</v>
      </c>
      <c r="G314">
        <v>1</v>
      </c>
      <c r="H314" s="4">
        <v>1</v>
      </c>
      <c r="I314" s="4">
        <v>22</v>
      </c>
      <c r="J314" s="4" t="s">
        <v>8</v>
      </c>
      <c r="K314" s="4" t="s">
        <v>14</v>
      </c>
      <c r="L314" s="11"/>
      <c r="M314" s="3"/>
      <c r="N314"/>
      <c r="O314" s="4"/>
      <c r="P314" s="1"/>
      <c r="Q314" s="22"/>
      <c r="R314" t="s">
        <v>148</v>
      </c>
      <c r="S314" s="11"/>
      <c r="T314" t="s">
        <v>67</v>
      </c>
      <c r="U314"/>
      <c r="V314" s="1"/>
      <c r="W314" s="1"/>
    </row>
    <row r="315" spans="2:23" x14ac:dyDescent="0.35">
      <c r="B315" s="4">
        <v>20013629</v>
      </c>
      <c r="C315" s="1" t="s">
        <v>214</v>
      </c>
      <c r="D315" s="4" t="s">
        <v>86</v>
      </c>
      <c r="E315" s="3" t="s">
        <v>118</v>
      </c>
      <c r="F315" s="3" t="s">
        <v>89</v>
      </c>
      <c r="G315">
        <v>1</v>
      </c>
      <c r="H315" s="4">
        <v>1</v>
      </c>
      <c r="I315" s="4">
        <v>48</v>
      </c>
      <c r="J315" s="4" t="s">
        <v>8</v>
      </c>
      <c r="K315" s="4" t="s">
        <v>14</v>
      </c>
      <c r="L315" s="11"/>
      <c r="M315" s="3"/>
      <c r="N315"/>
      <c r="O315" s="4"/>
      <c r="P315" s="1"/>
      <c r="Q315" s="22"/>
      <c r="R315" t="s">
        <v>148</v>
      </c>
      <c r="S315" s="11"/>
      <c r="T315" t="s">
        <v>67</v>
      </c>
      <c r="U315"/>
      <c r="V315" s="1"/>
      <c r="W315" s="1"/>
    </row>
    <row r="316" spans="2:23" x14ac:dyDescent="0.35">
      <c r="B316" s="4">
        <v>20012378</v>
      </c>
      <c r="C316" s="1" t="s">
        <v>1299</v>
      </c>
      <c r="D316" s="4" t="s">
        <v>86</v>
      </c>
      <c r="E316" s="3"/>
      <c r="F316" s="3" t="s">
        <v>68</v>
      </c>
      <c r="G316">
        <v>2</v>
      </c>
      <c r="H316" s="4">
        <v>4</v>
      </c>
      <c r="I316" s="4">
        <v>0</v>
      </c>
      <c r="J316" s="4" t="s">
        <v>8</v>
      </c>
      <c r="K316" s="4" t="s">
        <v>13</v>
      </c>
      <c r="L316" s="11"/>
      <c r="M316" s="3"/>
      <c r="N316">
        <v>4502715522</v>
      </c>
      <c r="O316" s="4">
        <v>6</v>
      </c>
      <c r="P316" s="1" t="s">
        <v>1600</v>
      </c>
      <c r="Q316" s="22">
        <v>46286</v>
      </c>
      <c r="R316"/>
      <c r="S316" s="11"/>
      <c r="T316" t="s">
        <v>66</v>
      </c>
      <c r="U316"/>
      <c r="V316" s="1"/>
      <c r="W316" s="1"/>
    </row>
    <row r="317" spans="2:23" x14ac:dyDescent="0.35">
      <c r="B317" s="4">
        <v>20012380</v>
      </c>
      <c r="C317" s="1" t="s">
        <v>1410</v>
      </c>
      <c r="D317" s="4" t="s">
        <v>86</v>
      </c>
      <c r="E317" s="3"/>
      <c r="F317" s="3" t="s">
        <v>68</v>
      </c>
      <c r="G317">
        <v>2</v>
      </c>
      <c r="H317" s="4">
        <v>4</v>
      </c>
      <c r="I317" s="4">
        <v>5</v>
      </c>
      <c r="J317" s="4" t="s">
        <v>8</v>
      </c>
      <c r="K317" s="4" t="s">
        <v>7</v>
      </c>
      <c r="L317" s="11"/>
      <c r="M317" s="3"/>
      <c r="N317"/>
      <c r="O317" s="4"/>
      <c r="P317" s="1"/>
      <c r="Q317" s="22"/>
      <c r="R317"/>
      <c r="S317" s="11"/>
      <c r="T317" t="s">
        <v>66</v>
      </c>
      <c r="U317"/>
      <c r="V317" s="1"/>
      <c r="W317" s="1"/>
    </row>
    <row r="318" spans="2:23" x14ac:dyDescent="0.35">
      <c r="B318" s="4">
        <v>20013634</v>
      </c>
      <c r="C318" s="1" t="s">
        <v>1336</v>
      </c>
      <c r="D318" s="4" t="s">
        <v>86</v>
      </c>
      <c r="E318" s="3" t="s">
        <v>118</v>
      </c>
      <c r="F318" s="3" t="s">
        <v>89</v>
      </c>
      <c r="G318">
        <v>1</v>
      </c>
      <c r="H318" s="4">
        <v>1</v>
      </c>
      <c r="I318" s="4">
        <v>10</v>
      </c>
      <c r="J318" s="4" t="s">
        <v>8</v>
      </c>
      <c r="K318" s="4" t="s">
        <v>14</v>
      </c>
      <c r="L318" s="11"/>
      <c r="M318" s="3"/>
      <c r="N318"/>
      <c r="O318" s="4"/>
      <c r="P318" s="1"/>
      <c r="Q318" s="22"/>
      <c r="R318" t="s">
        <v>148</v>
      </c>
      <c r="S318" s="11"/>
      <c r="T318" t="s">
        <v>67</v>
      </c>
      <c r="U318"/>
      <c r="V318" s="1"/>
      <c r="W318" s="1"/>
    </row>
    <row r="319" spans="2:23" x14ac:dyDescent="0.35">
      <c r="B319" s="4">
        <v>20012425</v>
      </c>
      <c r="C319" s="1" t="s">
        <v>1344</v>
      </c>
      <c r="D319" s="4" t="s">
        <v>86</v>
      </c>
      <c r="E319" s="3"/>
      <c r="F319" s="3" t="s">
        <v>68</v>
      </c>
      <c r="G319">
        <v>6</v>
      </c>
      <c r="H319" s="4">
        <v>6</v>
      </c>
      <c r="I319" s="4">
        <v>8</v>
      </c>
      <c r="J319" s="4" t="s">
        <v>8</v>
      </c>
      <c r="K319" s="4" t="s">
        <v>7</v>
      </c>
      <c r="L319" s="11"/>
      <c r="M319" s="3"/>
      <c r="N319"/>
      <c r="O319" s="4"/>
      <c r="P319" s="1"/>
      <c r="Q319" s="22"/>
      <c r="R319"/>
      <c r="S319" s="11"/>
      <c r="T319" t="s">
        <v>66</v>
      </c>
      <c r="U319"/>
      <c r="V319" s="1"/>
      <c r="W319" s="1"/>
    </row>
    <row r="320" spans="2:23" x14ac:dyDescent="0.35">
      <c r="B320" s="4">
        <v>20013808</v>
      </c>
      <c r="C320" s="1" t="s">
        <v>215</v>
      </c>
      <c r="D320" s="4" t="s">
        <v>86</v>
      </c>
      <c r="E320" s="3" t="s">
        <v>87</v>
      </c>
      <c r="F320" s="3" t="s">
        <v>89</v>
      </c>
      <c r="G320">
        <v>20</v>
      </c>
      <c r="H320" s="4">
        <v>25</v>
      </c>
      <c r="I320" s="4">
        <v>29</v>
      </c>
      <c r="J320" s="4" t="s">
        <v>8</v>
      </c>
      <c r="K320" s="4" t="s">
        <v>7</v>
      </c>
      <c r="L320" s="11"/>
      <c r="M320" s="3"/>
      <c r="N320"/>
      <c r="O320" s="4"/>
      <c r="P320" s="1"/>
      <c r="Q320" s="22"/>
      <c r="R320" t="s">
        <v>88</v>
      </c>
      <c r="S320" s="11"/>
      <c r="T320" t="s">
        <v>66</v>
      </c>
      <c r="U320"/>
      <c r="V320" s="1"/>
      <c r="W320" s="1"/>
    </row>
    <row r="321" spans="2:23" x14ac:dyDescent="0.35">
      <c r="B321" s="4">
        <v>20012429</v>
      </c>
      <c r="C321" s="1" t="s">
        <v>1345</v>
      </c>
      <c r="D321" s="4" t="s">
        <v>86</v>
      </c>
      <c r="E321" s="3"/>
      <c r="F321" s="3" t="s">
        <v>68</v>
      </c>
      <c r="G321">
        <v>6</v>
      </c>
      <c r="H321" s="4">
        <v>6</v>
      </c>
      <c r="I321" s="4">
        <v>12</v>
      </c>
      <c r="J321" s="4" t="s">
        <v>8</v>
      </c>
      <c r="K321" s="4" t="s">
        <v>7</v>
      </c>
      <c r="L321" s="11"/>
      <c r="M321" s="3"/>
      <c r="N321"/>
      <c r="O321" s="4"/>
      <c r="P321" s="1"/>
      <c r="Q321" s="22"/>
      <c r="R321"/>
      <c r="S321" s="11"/>
      <c r="T321" t="s">
        <v>66</v>
      </c>
      <c r="U321"/>
      <c r="V321" s="1"/>
      <c r="W321" s="1"/>
    </row>
    <row r="322" spans="2:23" x14ac:dyDescent="0.35">
      <c r="B322" s="4">
        <v>20012432</v>
      </c>
      <c r="C322" s="1" t="s">
        <v>1346</v>
      </c>
      <c r="D322" s="4" t="s">
        <v>86</v>
      </c>
      <c r="E322" s="3"/>
      <c r="F322" s="3" t="s">
        <v>68</v>
      </c>
      <c r="G322">
        <v>6</v>
      </c>
      <c r="H322" s="4">
        <v>6</v>
      </c>
      <c r="I322" s="4">
        <v>7</v>
      </c>
      <c r="J322" s="4" t="s">
        <v>8</v>
      </c>
      <c r="K322" s="4" t="s">
        <v>7</v>
      </c>
      <c r="L322" s="11"/>
      <c r="M322" s="3"/>
      <c r="N322"/>
      <c r="O322" s="4"/>
      <c r="P322" s="1"/>
      <c r="Q322" s="22"/>
      <c r="R322"/>
      <c r="S322" s="11"/>
      <c r="T322" t="s">
        <v>66</v>
      </c>
      <c r="U322"/>
      <c r="V322" s="1"/>
      <c r="W322" s="1"/>
    </row>
    <row r="323" spans="2:23" x14ac:dyDescent="0.35">
      <c r="B323" s="4">
        <v>20019882</v>
      </c>
      <c r="C323" s="1" t="s">
        <v>216</v>
      </c>
      <c r="D323" s="4" t="s">
        <v>86</v>
      </c>
      <c r="E323" s="3" t="s">
        <v>91</v>
      </c>
      <c r="F323" s="3" t="s">
        <v>89</v>
      </c>
      <c r="G323">
        <v>15</v>
      </c>
      <c r="H323" s="4">
        <v>30</v>
      </c>
      <c r="I323" s="4">
        <v>20</v>
      </c>
      <c r="J323" s="4" t="s">
        <v>8</v>
      </c>
      <c r="K323" s="4" t="s">
        <v>7</v>
      </c>
      <c r="L323" s="11"/>
      <c r="M323" s="3"/>
      <c r="N323"/>
      <c r="O323" s="4"/>
      <c r="P323" s="1"/>
      <c r="Q323" s="22"/>
      <c r="R323" t="s">
        <v>92</v>
      </c>
      <c r="S323" s="11"/>
      <c r="T323" t="s">
        <v>1603</v>
      </c>
      <c r="U323"/>
      <c r="V323" s="1"/>
      <c r="W323" s="1"/>
    </row>
    <row r="324" spans="2:23" x14ac:dyDescent="0.35">
      <c r="B324" s="4">
        <v>20012614</v>
      </c>
      <c r="C324" s="1" t="s">
        <v>1107</v>
      </c>
      <c r="D324" s="4" t="s">
        <v>86</v>
      </c>
      <c r="E324" s="3"/>
      <c r="F324" s="3" t="s">
        <v>68</v>
      </c>
      <c r="G324">
        <v>30</v>
      </c>
      <c r="H324" s="4">
        <v>60</v>
      </c>
      <c r="I324" s="4">
        <v>40</v>
      </c>
      <c r="J324" s="4" t="s">
        <v>8</v>
      </c>
      <c r="K324" s="4" t="s">
        <v>7</v>
      </c>
      <c r="L324" s="11"/>
      <c r="M324" s="3"/>
      <c r="N324"/>
      <c r="O324" s="4"/>
      <c r="P324" s="1"/>
      <c r="Q324" s="22"/>
      <c r="R324"/>
      <c r="S324" s="11"/>
      <c r="T324" t="s">
        <v>66</v>
      </c>
      <c r="U324"/>
      <c r="V324" s="1"/>
      <c r="W324" s="1"/>
    </row>
    <row r="325" spans="2:23" x14ac:dyDescent="0.35">
      <c r="B325" s="4">
        <v>20013809</v>
      </c>
      <c r="C325" s="1" t="s">
        <v>217</v>
      </c>
      <c r="D325" s="4" t="s">
        <v>86</v>
      </c>
      <c r="E325" s="3" t="s">
        <v>87</v>
      </c>
      <c r="F325" s="3" t="s">
        <v>89</v>
      </c>
      <c r="G325">
        <v>15</v>
      </c>
      <c r="H325" s="4">
        <v>30</v>
      </c>
      <c r="I325" s="4">
        <v>24</v>
      </c>
      <c r="J325" s="4" t="s">
        <v>8</v>
      </c>
      <c r="K325" s="4" t="s">
        <v>7</v>
      </c>
      <c r="L325" s="11"/>
      <c r="M325" s="3"/>
      <c r="N325"/>
      <c r="O325" s="4"/>
      <c r="P325" s="1"/>
      <c r="Q325" s="22"/>
      <c r="R325" t="s">
        <v>88</v>
      </c>
      <c r="S325" s="11"/>
      <c r="T325" t="s">
        <v>66</v>
      </c>
      <c r="U325"/>
      <c r="V325" s="1"/>
      <c r="W325" s="1"/>
    </row>
    <row r="326" spans="2:23" x14ac:dyDescent="0.35">
      <c r="B326" s="4">
        <v>20019683</v>
      </c>
      <c r="C326" s="1" t="s">
        <v>218</v>
      </c>
      <c r="D326" s="4" t="s">
        <v>86</v>
      </c>
      <c r="E326" s="3" t="s">
        <v>118</v>
      </c>
      <c r="F326" s="3" t="s">
        <v>89</v>
      </c>
      <c r="G326">
        <v>4</v>
      </c>
      <c r="H326" s="4">
        <v>5</v>
      </c>
      <c r="I326" s="4">
        <v>2</v>
      </c>
      <c r="J326" s="4" t="s">
        <v>8</v>
      </c>
      <c r="K326" s="4" t="s">
        <v>9</v>
      </c>
      <c r="L326" s="11"/>
      <c r="M326" s="3"/>
      <c r="N326">
        <v>4502711582</v>
      </c>
      <c r="O326" s="4">
        <v>3</v>
      </c>
      <c r="P326" s="1" t="s">
        <v>1609</v>
      </c>
      <c r="Q326" s="22">
        <v>46265</v>
      </c>
      <c r="R326" t="s">
        <v>148</v>
      </c>
      <c r="S326" s="11"/>
      <c r="T326" t="s">
        <v>67</v>
      </c>
      <c r="U326"/>
      <c r="V326" s="1"/>
      <c r="W326" s="1"/>
    </row>
    <row r="327" spans="2:23" x14ac:dyDescent="0.35">
      <c r="B327" s="4">
        <v>20013235</v>
      </c>
      <c r="C327" s="1" t="s">
        <v>1300</v>
      </c>
      <c r="D327" s="4" t="s">
        <v>86</v>
      </c>
      <c r="E327" s="3"/>
      <c r="F327" s="3" t="s">
        <v>68</v>
      </c>
      <c r="G327">
        <v>10</v>
      </c>
      <c r="H327" s="4">
        <v>20</v>
      </c>
      <c r="I327" s="4">
        <v>28</v>
      </c>
      <c r="J327" s="4" t="s">
        <v>8</v>
      </c>
      <c r="K327" s="4" t="s">
        <v>7</v>
      </c>
      <c r="L327" s="11"/>
      <c r="M327" s="3"/>
      <c r="N327"/>
      <c r="O327" s="4"/>
      <c r="P327" s="1"/>
      <c r="Q327" s="22"/>
      <c r="R327"/>
      <c r="S327" s="11"/>
      <c r="T327" t="s">
        <v>66</v>
      </c>
      <c r="U327"/>
      <c r="V327" s="1"/>
      <c r="W327" s="1"/>
    </row>
    <row r="328" spans="2:23" x14ac:dyDescent="0.35">
      <c r="B328" s="4">
        <v>20013810</v>
      </c>
      <c r="C328" s="1" t="s">
        <v>219</v>
      </c>
      <c r="D328" s="4" t="s">
        <v>86</v>
      </c>
      <c r="E328" s="3" t="s">
        <v>87</v>
      </c>
      <c r="F328" s="3" t="s">
        <v>89</v>
      </c>
      <c r="G328">
        <v>7</v>
      </c>
      <c r="H328" s="4">
        <v>11</v>
      </c>
      <c r="I328" s="4">
        <v>17</v>
      </c>
      <c r="J328" s="4" t="s">
        <v>8</v>
      </c>
      <c r="K328" s="4" t="s">
        <v>7</v>
      </c>
      <c r="L328" s="11"/>
      <c r="M328" s="3"/>
      <c r="N328"/>
      <c r="O328" s="4"/>
      <c r="P328" s="1"/>
      <c r="Q328" s="22"/>
      <c r="R328" t="s">
        <v>88</v>
      </c>
      <c r="S328" s="11"/>
      <c r="T328" t="s">
        <v>66</v>
      </c>
      <c r="U328"/>
      <c r="V328" s="1"/>
      <c r="W328" s="1"/>
    </row>
    <row r="329" spans="2:23" x14ac:dyDescent="0.35">
      <c r="B329" s="4">
        <v>20013237</v>
      </c>
      <c r="C329" s="1" t="s">
        <v>1326</v>
      </c>
      <c r="D329" s="4" t="s">
        <v>86</v>
      </c>
      <c r="E329" s="3"/>
      <c r="F329" s="3" t="s">
        <v>68</v>
      </c>
      <c r="G329">
        <v>30</v>
      </c>
      <c r="H329" s="4">
        <v>30</v>
      </c>
      <c r="I329" s="4">
        <v>44</v>
      </c>
      <c r="J329" s="4" t="s">
        <v>8</v>
      </c>
      <c r="K329" s="4" t="s">
        <v>7</v>
      </c>
      <c r="L329" s="11"/>
      <c r="M329" s="3"/>
      <c r="N329"/>
      <c r="O329" s="4"/>
      <c r="P329" s="1"/>
      <c r="Q329" s="22"/>
      <c r="R329"/>
      <c r="S329" s="11"/>
      <c r="T329" t="s">
        <v>66</v>
      </c>
      <c r="U329"/>
      <c r="V329" s="1"/>
      <c r="W329" s="1"/>
    </row>
    <row r="330" spans="2:23" x14ac:dyDescent="0.35">
      <c r="B330" s="4">
        <v>20014010</v>
      </c>
      <c r="C330" s="1" t="s">
        <v>220</v>
      </c>
      <c r="D330" s="4" t="s">
        <v>86</v>
      </c>
      <c r="E330" s="3" t="s">
        <v>115</v>
      </c>
      <c r="F330" s="3" t="s">
        <v>89</v>
      </c>
      <c r="G330">
        <v>4</v>
      </c>
      <c r="H330" s="4">
        <v>4</v>
      </c>
      <c r="I330" s="4">
        <v>6</v>
      </c>
      <c r="J330" s="4" t="s">
        <v>8</v>
      </c>
      <c r="K330" s="4" t="s">
        <v>7</v>
      </c>
      <c r="L330" s="11"/>
      <c r="M330" s="3"/>
      <c r="N330"/>
      <c r="O330" s="4"/>
      <c r="P330" s="1"/>
      <c r="Q330" s="22"/>
      <c r="R330" t="s">
        <v>116</v>
      </c>
      <c r="S330" s="11"/>
      <c r="T330" t="s">
        <v>69</v>
      </c>
      <c r="U330"/>
      <c r="V330" s="1"/>
      <c r="W330" s="1"/>
    </row>
    <row r="331" spans="2:23" x14ac:dyDescent="0.35">
      <c r="B331" s="4">
        <v>20013238</v>
      </c>
      <c r="C331" s="1" t="s">
        <v>1301</v>
      </c>
      <c r="D331" s="4" t="s">
        <v>86</v>
      </c>
      <c r="E331" s="3"/>
      <c r="F331" s="3" t="s">
        <v>68</v>
      </c>
      <c r="G331">
        <v>10</v>
      </c>
      <c r="H331" s="4">
        <v>20</v>
      </c>
      <c r="I331" s="4">
        <v>24</v>
      </c>
      <c r="J331" s="4" t="s">
        <v>8</v>
      </c>
      <c r="K331" s="4" t="s">
        <v>7</v>
      </c>
      <c r="L331" s="11"/>
      <c r="M331" s="3"/>
      <c r="N331"/>
      <c r="O331" s="4"/>
      <c r="P331" s="1"/>
      <c r="Q331" s="22"/>
      <c r="R331"/>
      <c r="S331" s="11"/>
      <c r="T331" t="s">
        <v>66</v>
      </c>
      <c r="U331"/>
      <c r="V331" s="1"/>
      <c r="W331" s="1"/>
    </row>
    <row r="332" spans="2:23" x14ac:dyDescent="0.35">
      <c r="B332" s="4">
        <v>20014012</v>
      </c>
      <c r="C332" s="1" t="s">
        <v>221</v>
      </c>
      <c r="D332" s="4" t="s">
        <v>86</v>
      </c>
      <c r="E332" s="3" t="s">
        <v>222</v>
      </c>
      <c r="F332" s="3" t="s">
        <v>89</v>
      </c>
      <c r="G332">
        <v>10</v>
      </c>
      <c r="H332" s="4">
        <v>15</v>
      </c>
      <c r="I332" s="4">
        <v>14</v>
      </c>
      <c r="J332" s="4" t="s">
        <v>8</v>
      </c>
      <c r="K332" s="4" t="s">
        <v>7</v>
      </c>
      <c r="L332" s="11"/>
      <c r="M332" s="3"/>
      <c r="N332"/>
      <c r="O332" s="4"/>
      <c r="P332" s="1"/>
      <c r="Q332" s="22"/>
      <c r="R332" t="s">
        <v>223</v>
      </c>
      <c r="S332" s="11"/>
      <c r="T332" t="s">
        <v>1603</v>
      </c>
      <c r="U332"/>
      <c r="V332" s="1"/>
      <c r="W332" s="1"/>
    </row>
    <row r="333" spans="2:23" x14ac:dyDescent="0.35">
      <c r="B333" s="4">
        <v>20014203</v>
      </c>
      <c r="C333" s="1" t="s">
        <v>224</v>
      </c>
      <c r="D333" s="4" t="s">
        <v>86</v>
      </c>
      <c r="E333" s="3" t="s">
        <v>118</v>
      </c>
      <c r="F333" s="3" t="s">
        <v>89</v>
      </c>
      <c r="G333">
        <v>3</v>
      </c>
      <c r="H333" s="4">
        <v>5</v>
      </c>
      <c r="I333" s="4">
        <v>5</v>
      </c>
      <c r="J333" s="4" t="s">
        <v>8</v>
      </c>
      <c r="K333" s="4" t="s">
        <v>7</v>
      </c>
      <c r="L333" s="11"/>
      <c r="M333" s="3"/>
      <c r="N333"/>
      <c r="O333" s="4"/>
      <c r="P333" s="1"/>
      <c r="Q333" s="22"/>
      <c r="R333"/>
      <c r="S333" s="11"/>
      <c r="T333" t="s">
        <v>1603</v>
      </c>
      <c r="U333"/>
      <c r="V333" s="1"/>
      <c r="W333" s="1"/>
    </row>
    <row r="334" spans="2:23" x14ac:dyDescent="0.35">
      <c r="B334" s="4">
        <v>20014648</v>
      </c>
      <c r="C334" s="1" t="s">
        <v>225</v>
      </c>
      <c r="D334" s="4" t="s">
        <v>86</v>
      </c>
      <c r="E334" s="3" t="s">
        <v>129</v>
      </c>
      <c r="F334" s="3" t="s">
        <v>89</v>
      </c>
      <c r="G334">
        <v>750</v>
      </c>
      <c r="H334" s="4">
        <v>1250</v>
      </c>
      <c r="I334" s="4">
        <v>4000</v>
      </c>
      <c r="J334" s="4" t="s">
        <v>23</v>
      </c>
      <c r="K334" s="4" t="s">
        <v>14</v>
      </c>
      <c r="L334" s="11"/>
      <c r="M334" s="3"/>
      <c r="N334"/>
      <c r="O334" s="4"/>
      <c r="P334" s="1"/>
      <c r="Q334" s="22"/>
      <c r="R334" t="s">
        <v>130</v>
      </c>
      <c r="S334" s="11"/>
      <c r="T334" t="s">
        <v>1602</v>
      </c>
      <c r="U334"/>
      <c r="V334" s="1"/>
      <c r="W334" s="1"/>
    </row>
    <row r="335" spans="2:23" x14ac:dyDescent="0.35">
      <c r="B335" s="4">
        <v>20014649</v>
      </c>
      <c r="C335" s="1" t="s">
        <v>226</v>
      </c>
      <c r="D335" s="4" t="s">
        <v>86</v>
      </c>
      <c r="E335" s="3" t="s">
        <v>129</v>
      </c>
      <c r="F335" s="3" t="s">
        <v>89</v>
      </c>
      <c r="G335">
        <v>731</v>
      </c>
      <c r="H335" s="4">
        <v>1219</v>
      </c>
      <c r="I335" s="4">
        <v>750</v>
      </c>
      <c r="J335" s="4" t="s">
        <v>23</v>
      </c>
      <c r="K335" s="4" t="s">
        <v>7</v>
      </c>
      <c r="L335" s="11"/>
      <c r="M335" s="3"/>
      <c r="N335"/>
      <c r="O335" s="4"/>
      <c r="P335" s="1"/>
      <c r="Q335" s="22"/>
      <c r="R335" t="s">
        <v>130</v>
      </c>
      <c r="S335" s="11"/>
      <c r="T335" t="s">
        <v>1602</v>
      </c>
      <c r="U335"/>
      <c r="V335" s="1"/>
      <c r="W335" s="1"/>
    </row>
    <row r="336" spans="2:23" x14ac:dyDescent="0.35">
      <c r="B336" s="4">
        <v>20014672</v>
      </c>
      <c r="C336" s="1" t="s">
        <v>227</v>
      </c>
      <c r="D336" s="4" t="s">
        <v>86</v>
      </c>
      <c r="E336" s="3" t="s">
        <v>87</v>
      </c>
      <c r="F336" s="3" t="s">
        <v>89</v>
      </c>
      <c r="G336">
        <v>2</v>
      </c>
      <c r="H336" s="4">
        <v>4</v>
      </c>
      <c r="I336" s="4">
        <v>2</v>
      </c>
      <c r="J336" s="4" t="s">
        <v>8</v>
      </c>
      <c r="K336" s="4" t="s">
        <v>7</v>
      </c>
      <c r="L336" s="11"/>
      <c r="M336" s="3"/>
      <c r="N336"/>
      <c r="O336" s="4"/>
      <c r="P336" s="1"/>
      <c r="Q336" s="22"/>
      <c r="R336" t="s">
        <v>190</v>
      </c>
      <c r="S336" s="11"/>
      <c r="T336" t="s">
        <v>66</v>
      </c>
      <c r="U336"/>
      <c r="V336" s="1"/>
      <c r="W336" s="1"/>
    </row>
    <row r="337" spans="2:23" x14ac:dyDescent="0.35">
      <c r="B337" s="4">
        <v>20014673</v>
      </c>
      <c r="C337" s="1" t="s">
        <v>228</v>
      </c>
      <c r="D337" s="4" t="s">
        <v>86</v>
      </c>
      <c r="E337" s="3" t="s">
        <v>87</v>
      </c>
      <c r="F337" s="3" t="s">
        <v>89</v>
      </c>
      <c r="G337">
        <v>1</v>
      </c>
      <c r="H337" s="4">
        <v>1</v>
      </c>
      <c r="I337" s="4">
        <v>1</v>
      </c>
      <c r="J337" s="4" t="s">
        <v>8</v>
      </c>
      <c r="K337" s="4" t="s">
        <v>7</v>
      </c>
      <c r="L337" s="11"/>
      <c r="M337" s="3"/>
      <c r="N337"/>
      <c r="O337" s="4"/>
      <c r="P337" s="1"/>
      <c r="Q337" s="22"/>
      <c r="R337" t="s">
        <v>190</v>
      </c>
      <c r="S337" s="11"/>
      <c r="T337" t="s">
        <v>69</v>
      </c>
      <c r="U337"/>
      <c r="V337" s="1"/>
      <c r="W337" s="1"/>
    </row>
    <row r="338" spans="2:23" x14ac:dyDescent="0.35">
      <c r="B338" s="4">
        <v>20014687</v>
      </c>
      <c r="C338" s="1" t="s">
        <v>229</v>
      </c>
      <c r="D338" s="4" t="s">
        <v>86</v>
      </c>
      <c r="E338" s="3"/>
      <c r="F338" s="3" t="s">
        <v>89</v>
      </c>
      <c r="G338">
        <v>2</v>
      </c>
      <c r="H338" s="4">
        <v>2</v>
      </c>
      <c r="I338" s="4">
        <v>10</v>
      </c>
      <c r="J338" s="4" t="s">
        <v>8</v>
      </c>
      <c r="K338" s="4" t="s">
        <v>14</v>
      </c>
      <c r="L338" s="11"/>
      <c r="M338" s="3"/>
      <c r="N338"/>
      <c r="O338" s="4"/>
      <c r="P338" s="1"/>
      <c r="Q338" s="22"/>
      <c r="R338" t="s">
        <v>113</v>
      </c>
      <c r="S338" s="11"/>
      <c r="T338" t="s">
        <v>66</v>
      </c>
      <c r="U338"/>
      <c r="V338" s="1"/>
      <c r="W338" s="1"/>
    </row>
    <row r="339" spans="2:23" x14ac:dyDescent="0.35">
      <c r="B339" s="4">
        <v>20014748</v>
      </c>
      <c r="C339" s="1" t="s">
        <v>230</v>
      </c>
      <c r="D339" s="4" t="s">
        <v>86</v>
      </c>
      <c r="E339" s="3" t="s">
        <v>118</v>
      </c>
      <c r="F339" s="3" t="s">
        <v>89</v>
      </c>
      <c r="G339">
        <v>5</v>
      </c>
      <c r="H339" s="4">
        <v>8</v>
      </c>
      <c r="I339" s="4">
        <v>5</v>
      </c>
      <c r="J339" s="4" t="s">
        <v>8</v>
      </c>
      <c r="K339" s="4" t="s">
        <v>7</v>
      </c>
      <c r="L339" s="11"/>
      <c r="M339" s="3"/>
      <c r="N339"/>
      <c r="O339" s="4"/>
      <c r="P339" s="1"/>
      <c r="Q339" s="22"/>
      <c r="R339" t="s">
        <v>156</v>
      </c>
      <c r="S339" s="11"/>
      <c r="T339" t="s">
        <v>66</v>
      </c>
      <c r="U339"/>
      <c r="V339" s="1"/>
      <c r="W339" s="1"/>
    </row>
    <row r="340" spans="2:23" x14ac:dyDescent="0.35">
      <c r="B340" s="4">
        <v>20014754</v>
      </c>
      <c r="C340" s="1" t="s">
        <v>231</v>
      </c>
      <c r="D340" s="4" t="s">
        <v>86</v>
      </c>
      <c r="E340" s="3" t="s">
        <v>87</v>
      </c>
      <c r="F340" s="3" t="s">
        <v>89</v>
      </c>
      <c r="G340">
        <v>15</v>
      </c>
      <c r="H340" s="4">
        <v>20</v>
      </c>
      <c r="I340" s="4">
        <v>33</v>
      </c>
      <c r="J340" s="4" t="s">
        <v>8</v>
      </c>
      <c r="K340" s="4" t="s">
        <v>7</v>
      </c>
      <c r="L340" s="11"/>
      <c r="M340" s="3"/>
      <c r="N340"/>
      <c r="O340" s="4"/>
      <c r="P340" s="1"/>
      <c r="Q340" s="22"/>
      <c r="R340" t="s">
        <v>190</v>
      </c>
      <c r="S340" s="11"/>
      <c r="T340" t="s">
        <v>66</v>
      </c>
      <c r="U340"/>
      <c r="V340" s="1"/>
      <c r="W340" s="1"/>
    </row>
    <row r="341" spans="2:23" x14ac:dyDescent="0.35">
      <c r="B341" s="4">
        <v>20014756</v>
      </c>
      <c r="C341" s="1" t="s">
        <v>232</v>
      </c>
      <c r="D341" s="4" t="s">
        <v>86</v>
      </c>
      <c r="E341" s="3" t="s">
        <v>87</v>
      </c>
      <c r="F341" s="3" t="s">
        <v>89</v>
      </c>
      <c r="G341">
        <v>15</v>
      </c>
      <c r="H341" s="4">
        <v>30</v>
      </c>
      <c r="I341" s="4">
        <v>30</v>
      </c>
      <c r="J341" s="4" t="s">
        <v>8</v>
      </c>
      <c r="K341" s="4" t="s">
        <v>7</v>
      </c>
      <c r="L341" s="11"/>
      <c r="M341" s="3"/>
      <c r="N341"/>
      <c r="O341" s="4"/>
      <c r="P341" s="1"/>
      <c r="Q341" s="22"/>
      <c r="R341" t="s">
        <v>190</v>
      </c>
      <c r="S341" s="11"/>
      <c r="T341" t="s">
        <v>66</v>
      </c>
      <c r="U341"/>
      <c r="V341" s="1"/>
      <c r="W341" s="1"/>
    </row>
    <row r="342" spans="2:23" x14ac:dyDescent="0.35">
      <c r="B342" s="4">
        <v>20014757</v>
      </c>
      <c r="C342" s="1" t="s">
        <v>233</v>
      </c>
      <c r="D342" s="4" t="s">
        <v>86</v>
      </c>
      <c r="E342" s="3" t="s">
        <v>87</v>
      </c>
      <c r="F342" s="3" t="s">
        <v>89</v>
      </c>
      <c r="G342">
        <v>10</v>
      </c>
      <c r="H342" s="4">
        <v>20</v>
      </c>
      <c r="I342" s="4">
        <v>13</v>
      </c>
      <c r="J342" s="4" t="s">
        <v>8</v>
      </c>
      <c r="K342" s="4" t="s">
        <v>7</v>
      </c>
      <c r="L342" s="11"/>
      <c r="M342" s="3"/>
      <c r="N342"/>
      <c r="O342" s="4"/>
      <c r="P342" s="1"/>
      <c r="Q342" s="22"/>
      <c r="R342" t="s">
        <v>190</v>
      </c>
      <c r="S342" s="11"/>
      <c r="T342" t="s">
        <v>66</v>
      </c>
      <c r="U342"/>
      <c r="V342" s="1"/>
      <c r="W342" s="1"/>
    </row>
    <row r="343" spans="2:23" x14ac:dyDescent="0.35">
      <c r="B343" s="4">
        <v>20013797</v>
      </c>
      <c r="C343" s="1" t="s">
        <v>1327</v>
      </c>
      <c r="D343" s="4" t="s">
        <v>86</v>
      </c>
      <c r="E343" s="3"/>
      <c r="F343" s="3" t="s">
        <v>68</v>
      </c>
      <c r="G343">
        <v>1</v>
      </c>
      <c r="H343" s="4">
        <v>2</v>
      </c>
      <c r="I343" s="4">
        <v>3</v>
      </c>
      <c r="J343" s="4" t="s">
        <v>8</v>
      </c>
      <c r="K343" s="4" t="s">
        <v>7</v>
      </c>
      <c r="L343" s="11"/>
      <c r="M343" s="3"/>
      <c r="N343"/>
      <c r="O343" s="4"/>
      <c r="P343" s="1"/>
      <c r="Q343" s="22"/>
      <c r="R343"/>
      <c r="S343" s="11"/>
      <c r="T343" t="s">
        <v>70</v>
      </c>
      <c r="U343"/>
      <c r="V343" s="1"/>
      <c r="W343" s="1"/>
    </row>
    <row r="344" spans="2:23" x14ac:dyDescent="0.35">
      <c r="B344" s="4">
        <v>20014897</v>
      </c>
      <c r="C344" s="1" t="s">
        <v>234</v>
      </c>
      <c r="D344" s="4" t="s">
        <v>86</v>
      </c>
      <c r="E344" s="3" t="s">
        <v>129</v>
      </c>
      <c r="F344" s="3" t="s">
        <v>89</v>
      </c>
      <c r="G344">
        <v>9</v>
      </c>
      <c r="H344" s="4">
        <v>14</v>
      </c>
      <c r="I344" s="4">
        <v>17</v>
      </c>
      <c r="J344" s="4" t="s">
        <v>10</v>
      </c>
      <c r="K344" s="4" t="s">
        <v>7</v>
      </c>
      <c r="L344" s="11"/>
      <c r="M344" s="3"/>
      <c r="N344"/>
      <c r="O344" s="4"/>
      <c r="P344" s="1"/>
      <c r="Q344" s="22"/>
      <c r="R344"/>
      <c r="S344" s="11"/>
      <c r="T344" t="s">
        <v>1603</v>
      </c>
      <c r="U344"/>
      <c r="V344" s="1"/>
      <c r="W344" s="1"/>
    </row>
    <row r="345" spans="2:23" x14ac:dyDescent="0.35">
      <c r="B345" s="4">
        <v>20013799</v>
      </c>
      <c r="C345" s="1" t="s">
        <v>1328</v>
      </c>
      <c r="D345" s="4" t="s">
        <v>86</v>
      </c>
      <c r="E345" s="3"/>
      <c r="F345" s="3" t="s">
        <v>68</v>
      </c>
      <c r="G345">
        <v>1</v>
      </c>
      <c r="H345" s="4">
        <v>2</v>
      </c>
      <c r="I345" s="4">
        <v>4</v>
      </c>
      <c r="J345" s="4" t="s">
        <v>8</v>
      </c>
      <c r="K345" s="4" t="s">
        <v>14</v>
      </c>
      <c r="L345" s="11"/>
      <c r="M345" s="3"/>
      <c r="N345"/>
      <c r="O345" s="4"/>
      <c r="P345" s="1"/>
      <c r="Q345" s="22"/>
      <c r="R345"/>
      <c r="S345" s="11"/>
      <c r="T345" t="s">
        <v>70</v>
      </c>
      <c r="U345"/>
      <c r="V345" s="1"/>
      <c r="W345" s="1"/>
    </row>
    <row r="346" spans="2:23" x14ac:dyDescent="0.35">
      <c r="B346" s="4">
        <v>20015039</v>
      </c>
      <c r="C346" s="1" t="s">
        <v>235</v>
      </c>
      <c r="D346" s="4" t="s">
        <v>86</v>
      </c>
      <c r="E346" s="3" t="s">
        <v>118</v>
      </c>
      <c r="F346" s="3" t="s">
        <v>89</v>
      </c>
      <c r="G346">
        <v>3</v>
      </c>
      <c r="H346" s="4">
        <v>6</v>
      </c>
      <c r="I346" s="4">
        <v>60</v>
      </c>
      <c r="J346" s="4" t="s">
        <v>8</v>
      </c>
      <c r="K346" s="4" t="s">
        <v>14</v>
      </c>
      <c r="L346" s="11"/>
      <c r="M346" s="3"/>
      <c r="N346"/>
      <c r="O346" s="4"/>
      <c r="P346" s="1"/>
      <c r="Q346" s="22"/>
      <c r="R346" t="s">
        <v>156</v>
      </c>
      <c r="S346" s="11"/>
      <c r="T346" t="s">
        <v>70</v>
      </c>
      <c r="U346"/>
      <c r="V346" s="1"/>
      <c r="W346" s="1"/>
    </row>
    <row r="347" spans="2:23" x14ac:dyDescent="0.35">
      <c r="B347" s="4">
        <v>20013800</v>
      </c>
      <c r="C347" s="1" t="s">
        <v>1281</v>
      </c>
      <c r="D347" s="4" t="s">
        <v>86</v>
      </c>
      <c r="E347" s="3"/>
      <c r="F347" s="3" t="s">
        <v>68</v>
      </c>
      <c r="G347">
        <v>2</v>
      </c>
      <c r="H347" s="4">
        <v>2</v>
      </c>
      <c r="I347" s="4">
        <v>4</v>
      </c>
      <c r="J347" s="4" t="s">
        <v>8</v>
      </c>
      <c r="K347" s="4" t="s">
        <v>7</v>
      </c>
      <c r="L347" s="11"/>
      <c r="M347" s="3"/>
      <c r="N347"/>
      <c r="O347" s="4"/>
      <c r="P347" s="1"/>
      <c r="Q347" s="22"/>
      <c r="R347"/>
      <c r="S347" s="11"/>
      <c r="T347" t="s">
        <v>70</v>
      </c>
      <c r="U347"/>
      <c r="V347" s="1"/>
      <c r="W347" s="1"/>
    </row>
    <row r="348" spans="2:23" x14ac:dyDescent="0.35">
      <c r="B348" s="4">
        <v>20015090</v>
      </c>
      <c r="C348" s="1" t="s">
        <v>236</v>
      </c>
      <c r="D348" s="4" t="s">
        <v>86</v>
      </c>
      <c r="E348" s="3" t="s">
        <v>115</v>
      </c>
      <c r="F348" s="3" t="s">
        <v>89</v>
      </c>
      <c r="G348">
        <v>40</v>
      </c>
      <c r="H348" s="4">
        <v>60</v>
      </c>
      <c r="I348" s="4">
        <v>96</v>
      </c>
      <c r="J348" s="4" t="s">
        <v>8</v>
      </c>
      <c r="K348" s="4" t="s">
        <v>7</v>
      </c>
      <c r="L348" s="11"/>
      <c r="M348" s="3"/>
      <c r="N348"/>
      <c r="O348" s="4"/>
      <c r="P348" s="1"/>
      <c r="Q348" s="22"/>
      <c r="R348" t="s">
        <v>116</v>
      </c>
      <c r="S348" s="11"/>
      <c r="T348" t="s">
        <v>69</v>
      </c>
      <c r="U348"/>
      <c r="V348" s="1"/>
      <c r="W348" s="1"/>
    </row>
    <row r="349" spans="2:23" x14ac:dyDescent="0.35">
      <c r="B349" s="4">
        <v>20015158</v>
      </c>
      <c r="C349" s="1" t="s">
        <v>237</v>
      </c>
      <c r="D349" s="4" t="s">
        <v>86</v>
      </c>
      <c r="E349" s="3" t="s">
        <v>91</v>
      </c>
      <c r="F349" s="3" t="s">
        <v>89</v>
      </c>
      <c r="G349">
        <v>2001</v>
      </c>
      <c r="H349" s="4">
        <v>3000</v>
      </c>
      <c r="I349" s="4">
        <v>2300</v>
      </c>
      <c r="J349" s="4" t="s">
        <v>10</v>
      </c>
      <c r="K349" s="4" t="s">
        <v>7</v>
      </c>
      <c r="L349" s="11"/>
      <c r="M349" s="3"/>
      <c r="N349"/>
      <c r="O349" s="4"/>
      <c r="P349" s="1"/>
      <c r="Q349" s="22"/>
      <c r="R349" t="s">
        <v>92</v>
      </c>
      <c r="S349" s="11"/>
      <c r="T349" t="s">
        <v>1603</v>
      </c>
      <c r="U349"/>
      <c r="V349" s="1"/>
      <c r="W349" s="1"/>
    </row>
    <row r="350" spans="2:23" x14ac:dyDescent="0.35">
      <c r="B350" s="4">
        <v>20015161</v>
      </c>
      <c r="C350" s="1" t="s">
        <v>238</v>
      </c>
      <c r="D350" s="4" t="s">
        <v>86</v>
      </c>
      <c r="E350" s="3" t="s">
        <v>91</v>
      </c>
      <c r="F350" s="3" t="s">
        <v>89</v>
      </c>
      <c r="G350">
        <v>1500</v>
      </c>
      <c r="H350" s="4">
        <v>2000</v>
      </c>
      <c r="I350" s="4">
        <v>2600</v>
      </c>
      <c r="J350" s="4" t="s">
        <v>10</v>
      </c>
      <c r="K350" s="4" t="s">
        <v>7</v>
      </c>
      <c r="L350" s="11"/>
      <c r="M350" s="3"/>
      <c r="N350"/>
      <c r="O350" s="4"/>
      <c r="P350" s="1"/>
      <c r="Q350" s="22"/>
      <c r="R350" t="s">
        <v>92</v>
      </c>
      <c r="S350" s="11"/>
      <c r="T350" t="s">
        <v>1603</v>
      </c>
      <c r="U350"/>
      <c r="V350" s="1"/>
      <c r="W350" s="1"/>
    </row>
    <row r="351" spans="2:23" x14ac:dyDescent="0.35">
      <c r="B351" s="4">
        <v>20013978</v>
      </c>
      <c r="C351" s="1" t="s">
        <v>1247</v>
      </c>
      <c r="D351" s="4" t="s">
        <v>86</v>
      </c>
      <c r="E351" s="3"/>
      <c r="F351" s="3" t="s">
        <v>68</v>
      </c>
      <c r="G351">
        <v>10</v>
      </c>
      <c r="H351" s="4">
        <v>20</v>
      </c>
      <c r="I351" s="4">
        <v>16</v>
      </c>
      <c r="J351" s="4" t="s">
        <v>8</v>
      </c>
      <c r="K351" s="4" t="s">
        <v>7</v>
      </c>
      <c r="L351" s="11"/>
      <c r="M351" s="3"/>
      <c r="N351"/>
      <c r="O351" s="4"/>
      <c r="P351" s="1"/>
      <c r="Q351" s="22"/>
      <c r="R351"/>
      <c r="S351" s="11" t="s">
        <v>6863</v>
      </c>
      <c r="T351" t="s">
        <v>1602</v>
      </c>
      <c r="U351"/>
      <c r="V351" s="1"/>
      <c r="W351" s="1"/>
    </row>
    <row r="352" spans="2:23" x14ac:dyDescent="0.35">
      <c r="B352" s="4">
        <v>20015163</v>
      </c>
      <c r="C352" s="1" t="s">
        <v>239</v>
      </c>
      <c r="D352" s="4" t="s">
        <v>86</v>
      </c>
      <c r="E352" s="3" t="s">
        <v>91</v>
      </c>
      <c r="F352" s="3" t="s">
        <v>89</v>
      </c>
      <c r="G352">
        <v>1500</v>
      </c>
      <c r="H352" s="4">
        <v>2000</v>
      </c>
      <c r="I352" s="4">
        <v>3391</v>
      </c>
      <c r="J352" s="4" t="s">
        <v>10</v>
      </c>
      <c r="K352" s="4" t="s">
        <v>7</v>
      </c>
      <c r="L352" s="11"/>
      <c r="M352" s="3"/>
      <c r="N352"/>
      <c r="O352" s="4"/>
      <c r="P352" s="1"/>
      <c r="Q352" s="22"/>
      <c r="R352" t="s">
        <v>92</v>
      </c>
      <c r="S352" s="11"/>
      <c r="T352" t="s">
        <v>1603</v>
      </c>
      <c r="U352"/>
      <c r="V352" s="1"/>
      <c r="W352" s="1"/>
    </row>
    <row r="353" spans="2:23" x14ac:dyDescent="0.35">
      <c r="B353" s="4">
        <v>20015360</v>
      </c>
      <c r="C353" s="1" t="s">
        <v>240</v>
      </c>
      <c r="D353" s="4" t="s">
        <v>86</v>
      </c>
      <c r="E353" s="3" t="s">
        <v>87</v>
      </c>
      <c r="F353" s="3" t="s">
        <v>89</v>
      </c>
      <c r="G353">
        <v>2</v>
      </c>
      <c r="H353" s="4">
        <v>3</v>
      </c>
      <c r="I353" s="4">
        <v>5</v>
      </c>
      <c r="J353" s="4" t="s">
        <v>8</v>
      </c>
      <c r="K353" s="4" t="s">
        <v>7</v>
      </c>
      <c r="L353" s="11"/>
      <c r="M353" s="3"/>
      <c r="N353"/>
      <c r="O353" s="4"/>
      <c r="P353" s="1"/>
      <c r="Q353" s="22"/>
      <c r="R353" t="s">
        <v>88</v>
      </c>
      <c r="S353" s="11"/>
      <c r="T353" t="s">
        <v>70</v>
      </c>
      <c r="U353"/>
      <c r="V353" s="1"/>
      <c r="W353" s="1"/>
    </row>
    <row r="354" spans="2:23" x14ac:dyDescent="0.35">
      <c r="B354" s="4">
        <v>20015686</v>
      </c>
      <c r="C354" s="1" t="s">
        <v>242</v>
      </c>
      <c r="D354" s="4" t="s">
        <v>86</v>
      </c>
      <c r="E354" s="3" t="s">
        <v>87</v>
      </c>
      <c r="F354" s="3" t="s">
        <v>89</v>
      </c>
      <c r="G354">
        <v>1</v>
      </c>
      <c r="H354" s="4">
        <v>1</v>
      </c>
      <c r="I354" s="4">
        <v>8</v>
      </c>
      <c r="J354" s="4" t="s">
        <v>8</v>
      </c>
      <c r="K354" s="4" t="s">
        <v>14</v>
      </c>
      <c r="L354" s="11"/>
      <c r="M354" s="3"/>
      <c r="N354"/>
      <c r="O354" s="4"/>
      <c r="P354" s="1"/>
      <c r="Q354" s="22"/>
      <c r="R354" t="s">
        <v>88</v>
      </c>
      <c r="S354" s="11"/>
      <c r="T354" t="s">
        <v>69</v>
      </c>
      <c r="U354"/>
      <c r="V354" s="1"/>
      <c r="W354" s="1"/>
    </row>
    <row r="355" spans="2:23" x14ac:dyDescent="0.35">
      <c r="B355" s="4">
        <v>20016137</v>
      </c>
      <c r="C355" s="1" t="s">
        <v>243</v>
      </c>
      <c r="D355" s="4" t="s">
        <v>86</v>
      </c>
      <c r="E355" s="3" t="s">
        <v>87</v>
      </c>
      <c r="F355" s="3" t="s">
        <v>89</v>
      </c>
      <c r="G355">
        <v>5</v>
      </c>
      <c r="H355" s="4">
        <v>15</v>
      </c>
      <c r="I355" s="4">
        <v>6</v>
      </c>
      <c r="J355" s="4" t="s">
        <v>8</v>
      </c>
      <c r="K355" s="4" t="s">
        <v>7</v>
      </c>
      <c r="L355" s="11"/>
      <c r="M355" s="3"/>
      <c r="N355"/>
      <c r="O355" s="4"/>
      <c r="P355" s="1"/>
      <c r="Q355" s="22"/>
      <c r="R355" t="s">
        <v>88</v>
      </c>
      <c r="S355" s="11"/>
      <c r="T355" t="s">
        <v>70</v>
      </c>
      <c r="U355"/>
      <c r="V355" s="1"/>
      <c r="W355" s="1"/>
    </row>
    <row r="356" spans="2:23" x14ac:dyDescent="0.35">
      <c r="B356" s="4">
        <v>20016160</v>
      </c>
      <c r="C356" s="1" t="s">
        <v>244</v>
      </c>
      <c r="D356" s="4" t="s">
        <v>86</v>
      </c>
      <c r="E356" s="3" t="s">
        <v>87</v>
      </c>
      <c r="F356" s="3" t="s">
        <v>89</v>
      </c>
      <c r="G356">
        <v>7</v>
      </c>
      <c r="H356" s="4">
        <v>15</v>
      </c>
      <c r="I356" s="4">
        <v>6</v>
      </c>
      <c r="J356" s="4" t="s">
        <v>8</v>
      </c>
      <c r="K356" s="4" t="s">
        <v>9</v>
      </c>
      <c r="L356" s="11">
        <v>1002703441</v>
      </c>
      <c r="M356" s="3">
        <v>15</v>
      </c>
      <c r="N356"/>
      <c r="O356" s="4"/>
      <c r="P356" s="1"/>
      <c r="Q356" s="22"/>
      <c r="R356" t="s">
        <v>88</v>
      </c>
      <c r="S356" s="11"/>
      <c r="T356" t="s">
        <v>70</v>
      </c>
      <c r="U356"/>
      <c r="V356" s="1"/>
      <c r="W356" s="1"/>
    </row>
    <row r="357" spans="2:23" x14ac:dyDescent="0.35">
      <c r="B357" s="4">
        <v>20016365</v>
      </c>
      <c r="C357" s="1" t="s">
        <v>245</v>
      </c>
      <c r="D357" s="4" t="s">
        <v>86</v>
      </c>
      <c r="E357" s="3" t="s">
        <v>87</v>
      </c>
      <c r="F357" s="3" t="s">
        <v>89</v>
      </c>
      <c r="G357">
        <v>1</v>
      </c>
      <c r="H357" s="4">
        <v>1</v>
      </c>
      <c r="I357" s="4">
        <v>33</v>
      </c>
      <c r="J357" s="4" t="s">
        <v>8</v>
      </c>
      <c r="K357" s="4" t="s">
        <v>14</v>
      </c>
      <c r="L357" s="11"/>
      <c r="M357" s="3"/>
      <c r="N357"/>
      <c r="O357" s="4"/>
      <c r="P357" s="1"/>
      <c r="Q357" s="22"/>
      <c r="R357" t="s">
        <v>88</v>
      </c>
      <c r="S357" s="11"/>
      <c r="T357" t="s">
        <v>69</v>
      </c>
      <c r="U357"/>
      <c r="V357" s="1"/>
      <c r="W357" s="1"/>
    </row>
    <row r="358" spans="2:23" x14ac:dyDescent="0.35">
      <c r="B358" s="4">
        <v>20016711</v>
      </c>
      <c r="C358" s="1" t="s">
        <v>246</v>
      </c>
      <c r="D358" s="4" t="s">
        <v>86</v>
      </c>
      <c r="E358" s="3" t="s">
        <v>87</v>
      </c>
      <c r="F358" s="3" t="s">
        <v>89</v>
      </c>
      <c r="G358">
        <v>3</v>
      </c>
      <c r="H358" s="4">
        <v>6</v>
      </c>
      <c r="I358" s="4">
        <v>1</v>
      </c>
      <c r="J358" s="4" t="s">
        <v>8</v>
      </c>
      <c r="K358" s="4" t="s">
        <v>9</v>
      </c>
      <c r="L358" s="11">
        <v>1002708382</v>
      </c>
      <c r="M358" s="3"/>
      <c r="N358">
        <v>4502714754</v>
      </c>
      <c r="O358" s="4">
        <v>6</v>
      </c>
      <c r="P358" s="1" t="s">
        <v>6829</v>
      </c>
      <c r="Q358" s="22">
        <v>46286</v>
      </c>
      <c r="R358" t="s">
        <v>88</v>
      </c>
      <c r="S358" s="11"/>
      <c r="T358" t="s">
        <v>66</v>
      </c>
      <c r="U358"/>
      <c r="V358" s="1"/>
      <c r="W358" s="1"/>
    </row>
    <row r="359" spans="2:23" x14ac:dyDescent="0.35">
      <c r="B359" s="4">
        <v>20016988</v>
      </c>
      <c r="C359" s="1" t="s">
        <v>247</v>
      </c>
      <c r="D359" s="4" t="s">
        <v>86</v>
      </c>
      <c r="E359" s="3" t="s">
        <v>87</v>
      </c>
      <c r="F359" s="3" t="s">
        <v>89</v>
      </c>
      <c r="G359">
        <v>38</v>
      </c>
      <c r="H359" s="4">
        <v>30</v>
      </c>
      <c r="I359" s="4">
        <v>39</v>
      </c>
      <c r="J359" s="4" t="s">
        <v>8</v>
      </c>
      <c r="K359" s="4" t="s">
        <v>7</v>
      </c>
      <c r="L359" s="11"/>
      <c r="M359" s="3"/>
      <c r="N359"/>
      <c r="O359" s="4"/>
      <c r="P359" s="1"/>
      <c r="Q359" s="22"/>
      <c r="R359" t="s">
        <v>88</v>
      </c>
      <c r="S359" s="11"/>
      <c r="T359" t="s">
        <v>66</v>
      </c>
      <c r="U359"/>
      <c r="V359" s="1"/>
      <c r="W359" s="1"/>
    </row>
    <row r="360" spans="2:23" x14ac:dyDescent="0.35">
      <c r="B360" s="4">
        <v>20017073</v>
      </c>
      <c r="C360" s="1" t="s">
        <v>248</v>
      </c>
      <c r="D360" s="4" t="s">
        <v>86</v>
      </c>
      <c r="E360" s="3" t="s">
        <v>87</v>
      </c>
      <c r="F360" s="3" t="s">
        <v>89</v>
      </c>
      <c r="G360">
        <v>1</v>
      </c>
      <c r="H360" s="4">
        <v>1</v>
      </c>
      <c r="I360" s="4">
        <v>7</v>
      </c>
      <c r="J360" s="4" t="s">
        <v>8</v>
      </c>
      <c r="K360" s="4" t="s">
        <v>14</v>
      </c>
      <c r="L360" s="11"/>
      <c r="M360" s="3"/>
      <c r="N360"/>
      <c r="O360" s="4"/>
      <c r="P360" s="1"/>
      <c r="Q360" s="22"/>
      <c r="R360" t="s">
        <v>88</v>
      </c>
      <c r="S360" s="11"/>
      <c r="T360" t="s">
        <v>70</v>
      </c>
      <c r="U360"/>
      <c r="V360" s="1"/>
      <c r="W360" s="1"/>
    </row>
    <row r="361" spans="2:23" x14ac:dyDescent="0.35">
      <c r="B361" s="4">
        <v>20017583</v>
      </c>
      <c r="C361" s="1" t="s">
        <v>249</v>
      </c>
      <c r="D361" s="4" t="s">
        <v>86</v>
      </c>
      <c r="E361" s="3" t="s">
        <v>87</v>
      </c>
      <c r="F361" s="3" t="s">
        <v>89</v>
      </c>
      <c r="G361">
        <v>1</v>
      </c>
      <c r="H361" s="4">
        <v>1</v>
      </c>
      <c r="I361" s="4">
        <v>71</v>
      </c>
      <c r="J361" s="4" t="s">
        <v>8</v>
      </c>
      <c r="K361" s="4" t="s">
        <v>14</v>
      </c>
      <c r="L361" s="11"/>
      <c r="M361" s="3"/>
      <c r="N361"/>
      <c r="O361" s="4"/>
      <c r="P361" s="1"/>
      <c r="Q361" s="22"/>
      <c r="R361" t="s">
        <v>88</v>
      </c>
      <c r="S361" s="11"/>
      <c r="T361" t="s">
        <v>70</v>
      </c>
      <c r="U361"/>
      <c r="V361" s="1"/>
      <c r="W361" s="1"/>
    </row>
    <row r="362" spans="2:23" x14ac:dyDescent="0.35">
      <c r="B362" s="4">
        <v>20017680</v>
      </c>
      <c r="C362" s="1" t="s">
        <v>250</v>
      </c>
      <c r="D362" s="4" t="s">
        <v>86</v>
      </c>
      <c r="E362" s="3"/>
      <c r="F362" s="3" t="s">
        <v>89</v>
      </c>
      <c r="G362">
        <v>22</v>
      </c>
      <c r="H362" s="4">
        <v>36</v>
      </c>
      <c r="I362" s="4">
        <v>52</v>
      </c>
      <c r="J362" s="4" t="s">
        <v>8</v>
      </c>
      <c r="K362" s="4" t="s">
        <v>7</v>
      </c>
      <c r="L362" s="11"/>
      <c r="M362" s="3"/>
      <c r="N362"/>
      <c r="O362" s="4"/>
      <c r="P362" s="1"/>
      <c r="Q362" s="22"/>
      <c r="R362" t="s">
        <v>113</v>
      </c>
      <c r="S362" s="11"/>
      <c r="T362" t="s">
        <v>66</v>
      </c>
      <c r="U362"/>
      <c r="V362" s="1"/>
      <c r="W362" s="1"/>
    </row>
    <row r="363" spans="2:23" x14ac:dyDescent="0.35">
      <c r="B363" s="4">
        <v>20014821</v>
      </c>
      <c r="C363" s="1" t="s">
        <v>1329</v>
      </c>
      <c r="D363" s="4" t="s">
        <v>86</v>
      </c>
      <c r="E363" s="3"/>
      <c r="F363" s="3" t="s">
        <v>68</v>
      </c>
      <c r="G363">
        <v>1</v>
      </c>
      <c r="H363" s="4">
        <v>2</v>
      </c>
      <c r="I363" s="4">
        <v>4</v>
      </c>
      <c r="J363" s="4" t="s">
        <v>8</v>
      </c>
      <c r="K363" s="4" t="s">
        <v>14</v>
      </c>
      <c r="L363" s="11"/>
      <c r="M363" s="3"/>
      <c r="N363"/>
      <c r="O363" s="4"/>
      <c r="P363" s="1"/>
      <c r="Q363" s="22"/>
      <c r="R363"/>
      <c r="S363" s="11"/>
      <c r="T363" t="s">
        <v>70</v>
      </c>
      <c r="U363"/>
      <c r="V363" s="1"/>
      <c r="W363" s="1"/>
    </row>
    <row r="364" spans="2:23" x14ac:dyDescent="0.35">
      <c r="B364" s="4">
        <v>20017799</v>
      </c>
      <c r="C364" s="1" t="s">
        <v>251</v>
      </c>
      <c r="D364" s="4" t="s">
        <v>86</v>
      </c>
      <c r="E364" s="3" t="s">
        <v>222</v>
      </c>
      <c r="F364" s="3" t="s">
        <v>89</v>
      </c>
      <c r="G364">
        <v>4</v>
      </c>
      <c r="H364" s="4">
        <v>6</v>
      </c>
      <c r="I364" s="4">
        <v>5</v>
      </c>
      <c r="J364" s="4" t="s">
        <v>8</v>
      </c>
      <c r="K364" s="4" t="s">
        <v>7</v>
      </c>
      <c r="L364" s="11"/>
      <c r="M364" s="3"/>
      <c r="N364"/>
      <c r="O364" s="4"/>
      <c r="P364" s="1"/>
      <c r="Q364" s="22"/>
      <c r="R364" t="s">
        <v>223</v>
      </c>
      <c r="S364" s="11" t="s">
        <v>6875</v>
      </c>
      <c r="T364" t="s">
        <v>69</v>
      </c>
      <c r="U364"/>
      <c r="V364" s="1"/>
      <c r="W364" s="1"/>
    </row>
    <row r="365" spans="2:23" x14ac:dyDescent="0.35">
      <c r="B365" s="4">
        <v>20014822</v>
      </c>
      <c r="C365" s="1" t="s">
        <v>1330</v>
      </c>
      <c r="D365" s="4" t="s">
        <v>86</v>
      </c>
      <c r="E365" s="3"/>
      <c r="F365" s="3" t="s">
        <v>68</v>
      </c>
      <c r="G365">
        <v>1</v>
      </c>
      <c r="H365" s="4">
        <v>2</v>
      </c>
      <c r="I365" s="4">
        <v>4</v>
      </c>
      <c r="J365" s="4" t="s">
        <v>8</v>
      </c>
      <c r="K365" s="4" t="s">
        <v>14</v>
      </c>
      <c r="L365" s="11"/>
      <c r="M365" s="3"/>
      <c r="N365"/>
      <c r="O365" s="4"/>
      <c r="P365" s="1"/>
      <c r="Q365" s="22"/>
      <c r="R365"/>
      <c r="S365" s="11"/>
      <c r="T365" t="s">
        <v>70</v>
      </c>
      <c r="U365"/>
      <c r="V365" s="1"/>
      <c r="W365" s="1"/>
    </row>
    <row r="366" spans="2:23" x14ac:dyDescent="0.35">
      <c r="B366" s="4">
        <v>20014827</v>
      </c>
      <c r="C366" s="1" t="s">
        <v>1282</v>
      </c>
      <c r="D366" s="4" t="s">
        <v>86</v>
      </c>
      <c r="E366" s="3"/>
      <c r="F366" s="3" t="s">
        <v>68</v>
      </c>
      <c r="G366">
        <v>2</v>
      </c>
      <c r="H366" s="4">
        <v>2</v>
      </c>
      <c r="I366" s="4">
        <v>4</v>
      </c>
      <c r="J366" s="4" t="s">
        <v>8</v>
      </c>
      <c r="K366" s="4" t="s">
        <v>7</v>
      </c>
      <c r="L366" s="11"/>
      <c r="M366" s="3"/>
      <c r="N366"/>
      <c r="O366" s="4"/>
      <c r="P366" s="1"/>
      <c r="Q366" s="22"/>
      <c r="R366"/>
      <c r="S366" s="11"/>
      <c r="T366" t="s">
        <v>70</v>
      </c>
      <c r="U366"/>
      <c r="V366" s="1"/>
      <c r="W366" s="1"/>
    </row>
    <row r="367" spans="2:23" x14ac:dyDescent="0.35">
      <c r="B367" s="4">
        <v>20017867</v>
      </c>
      <c r="C367" s="1" t="s">
        <v>252</v>
      </c>
      <c r="D367" s="4" t="s">
        <v>86</v>
      </c>
      <c r="E367" s="3" t="s">
        <v>87</v>
      </c>
      <c r="F367" s="3" t="s">
        <v>89</v>
      </c>
      <c r="G367">
        <v>1</v>
      </c>
      <c r="H367" s="4">
        <v>1</v>
      </c>
      <c r="I367" s="4">
        <v>10</v>
      </c>
      <c r="J367" s="4" t="s">
        <v>8</v>
      </c>
      <c r="K367" s="4" t="s">
        <v>14</v>
      </c>
      <c r="L367" s="11"/>
      <c r="M367" s="3"/>
      <c r="N367"/>
      <c r="O367" s="4"/>
      <c r="P367" s="1"/>
      <c r="Q367" s="22"/>
      <c r="R367" t="s">
        <v>88</v>
      </c>
      <c r="S367" s="11"/>
      <c r="T367" t="s">
        <v>69</v>
      </c>
      <c r="U367"/>
      <c r="V367" s="1"/>
      <c r="W367" s="1"/>
    </row>
    <row r="368" spans="2:23" x14ac:dyDescent="0.35">
      <c r="B368" s="4">
        <v>20014829</v>
      </c>
      <c r="C368" s="1" t="s">
        <v>362</v>
      </c>
      <c r="D368" s="4" t="s">
        <v>86</v>
      </c>
      <c r="E368" s="3"/>
      <c r="F368" s="3" t="s">
        <v>68</v>
      </c>
      <c r="G368">
        <v>3</v>
      </c>
      <c r="H368" s="4">
        <v>2</v>
      </c>
      <c r="I368" s="4">
        <v>4</v>
      </c>
      <c r="J368" s="4" t="s">
        <v>8</v>
      </c>
      <c r="K368" s="4" t="s">
        <v>7</v>
      </c>
      <c r="L368" s="11"/>
      <c r="M368" s="3"/>
      <c r="N368"/>
      <c r="O368" s="4"/>
      <c r="P368" s="1"/>
      <c r="Q368" s="22"/>
      <c r="R368"/>
      <c r="S368" s="11"/>
      <c r="T368" t="s">
        <v>70</v>
      </c>
      <c r="U368"/>
      <c r="V368" s="1"/>
      <c r="W368" s="1"/>
    </row>
    <row r="369" spans="2:23" x14ac:dyDescent="0.35">
      <c r="B369" s="4">
        <v>20018359</v>
      </c>
      <c r="C369" s="1" t="s">
        <v>253</v>
      </c>
      <c r="D369" s="4" t="s">
        <v>86</v>
      </c>
      <c r="E369" s="3" t="s">
        <v>118</v>
      </c>
      <c r="F369" s="3" t="s">
        <v>89</v>
      </c>
      <c r="G369">
        <v>4</v>
      </c>
      <c r="H369" s="4">
        <v>6</v>
      </c>
      <c r="I369" s="4">
        <v>81</v>
      </c>
      <c r="J369" s="4" t="s">
        <v>8</v>
      </c>
      <c r="K369" s="4" t="s">
        <v>14</v>
      </c>
      <c r="L369" s="11"/>
      <c r="M369" s="3"/>
      <c r="N369"/>
      <c r="O369" s="4"/>
      <c r="P369" s="1"/>
      <c r="Q369" s="22"/>
      <c r="R369" t="s">
        <v>148</v>
      </c>
      <c r="S369" s="11"/>
      <c r="T369" t="s">
        <v>67</v>
      </c>
      <c r="U369"/>
      <c r="V369" s="1"/>
      <c r="W369" s="1"/>
    </row>
    <row r="370" spans="2:23" x14ac:dyDescent="0.35">
      <c r="B370" s="4">
        <v>20018461</v>
      </c>
      <c r="C370" s="1" t="s">
        <v>254</v>
      </c>
      <c r="D370" s="4" t="s">
        <v>86</v>
      </c>
      <c r="E370" s="3" t="s">
        <v>222</v>
      </c>
      <c r="F370" s="3" t="s">
        <v>89</v>
      </c>
      <c r="G370">
        <v>20</v>
      </c>
      <c r="H370" s="4">
        <v>58</v>
      </c>
      <c r="I370" s="4">
        <v>72</v>
      </c>
      <c r="J370" s="4" t="s">
        <v>8</v>
      </c>
      <c r="K370" s="4" t="s">
        <v>7</v>
      </c>
      <c r="L370" s="11"/>
      <c r="M370" s="3"/>
      <c r="N370"/>
      <c r="O370" s="4"/>
      <c r="P370" s="1"/>
      <c r="Q370" s="22"/>
      <c r="R370" t="s">
        <v>223</v>
      </c>
      <c r="S370" s="11"/>
      <c r="T370" t="s">
        <v>66</v>
      </c>
      <c r="U370"/>
      <c r="V370" s="1"/>
      <c r="W370" s="1"/>
    </row>
    <row r="371" spans="2:23" x14ac:dyDescent="0.35">
      <c r="B371" s="4">
        <v>20018503</v>
      </c>
      <c r="C371" s="1" t="s">
        <v>255</v>
      </c>
      <c r="D371" s="4" t="s">
        <v>86</v>
      </c>
      <c r="E371" s="3" t="s">
        <v>222</v>
      </c>
      <c r="F371" s="3" t="s">
        <v>89</v>
      </c>
      <c r="G371">
        <v>40</v>
      </c>
      <c r="H371" s="4">
        <v>60</v>
      </c>
      <c r="I371" s="4">
        <v>61</v>
      </c>
      <c r="J371" s="4" t="s">
        <v>8</v>
      </c>
      <c r="K371" s="4" t="s">
        <v>7</v>
      </c>
      <c r="L371" s="11"/>
      <c r="M371" s="3"/>
      <c r="N371"/>
      <c r="O371" s="4"/>
      <c r="P371" s="1"/>
      <c r="Q371" s="22"/>
      <c r="R371" t="s">
        <v>223</v>
      </c>
      <c r="S371" s="11"/>
      <c r="T371" t="s">
        <v>71</v>
      </c>
      <c r="U371"/>
      <c r="V371" s="1"/>
      <c r="W371" s="1"/>
    </row>
    <row r="372" spans="2:23" x14ac:dyDescent="0.35">
      <c r="B372" s="4">
        <v>20015136</v>
      </c>
      <c r="C372" s="1" t="s">
        <v>1473</v>
      </c>
      <c r="D372" s="4" t="s">
        <v>86</v>
      </c>
      <c r="E372" s="3"/>
      <c r="F372" s="3" t="s">
        <v>68</v>
      </c>
      <c r="G372">
        <v>800</v>
      </c>
      <c r="H372" s="4">
        <v>1000</v>
      </c>
      <c r="I372" s="4">
        <v>1000</v>
      </c>
      <c r="J372" s="4" t="s">
        <v>10</v>
      </c>
      <c r="K372" s="4" t="s">
        <v>7</v>
      </c>
      <c r="L372" s="11"/>
      <c r="M372" s="3"/>
      <c r="N372"/>
      <c r="O372" s="4"/>
      <c r="P372" s="1"/>
      <c r="Q372" s="22"/>
      <c r="R372"/>
      <c r="S372" s="11"/>
      <c r="T372" t="s">
        <v>1603</v>
      </c>
      <c r="U372"/>
      <c r="V372" s="1"/>
      <c r="W372" s="1"/>
    </row>
    <row r="373" spans="2:23" x14ac:dyDescent="0.35">
      <c r="B373" s="4">
        <v>20018548</v>
      </c>
      <c r="C373" s="1" t="s">
        <v>256</v>
      </c>
      <c r="D373" s="4" t="s">
        <v>86</v>
      </c>
      <c r="E373" s="3" t="s">
        <v>87</v>
      </c>
      <c r="F373" s="3" t="s">
        <v>89</v>
      </c>
      <c r="G373">
        <v>13</v>
      </c>
      <c r="H373" s="4">
        <v>21</v>
      </c>
      <c r="I373" s="4">
        <v>26</v>
      </c>
      <c r="J373" s="4" t="s">
        <v>8</v>
      </c>
      <c r="K373" s="4" t="s">
        <v>7</v>
      </c>
      <c r="L373" s="11"/>
      <c r="M373" s="3"/>
      <c r="N373"/>
      <c r="O373" s="4"/>
      <c r="P373" s="1"/>
      <c r="Q373" s="22"/>
      <c r="R373" t="s">
        <v>88</v>
      </c>
      <c r="S373" s="11"/>
      <c r="T373" t="s">
        <v>66</v>
      </c>
      <c r="U373"/>
      <c r="V373" s="1"/>
      <c r="W373" s="1"/>
    </row>
    <row r="374" spans="2:23" x14ac:dyDescent="0.35">
      <c r="B374" s="4">
        <v>20019474</v>
      </c>
      <c r="C374" s="1" t="s">
        <v>257</v>
      </c>
      <c r="D374" s="4" t="s">
        <v>86</v>
      </c>
      <c r="E374" s="3"/>
      <c r="F374" s="3" t="s">
        <v>89</v>
      </c>
      <c r="G374">
        <v>2</v>
      </c>
      <c r="H374" s="4">
        <v>4</v>
      </c>
      <c r="I374" s="4">
        <v>2</v>
      </c>
      <c r="J374" s="4" t="s">
        <v>8</v>
      </c>
      <c r="K374" s="4" t="s">
        <v>7</v>
      </c>
      <c r="L374" s="11"/>
      <c r="M374" s="3"/>
      <c r="N374"/>
      <c r="O374" s="4"/>
      <c r="P374" s="1"/>
      <c r="Q374" s="22"/>
      <c r="R374"/>
      <c r="S374" s="11"/>
      <c r="T374" t="s">
        <v>66</v>
      </c>
      <c r="U374"/>
      <c r="V374" s="1"/>
      <c r="W374" s="1"/>
    </row>
    <row r="375" spans="2:23" x14ac:dyDescent="0.35">
      <c r="B375" s="4">
        <v>20019502</v>
      </c>
      <c r="C375" s="1" t="s">
        <v>1020</v>
      </c>
      <c r="D375" s="4" t="s">
        <v>86</v>
      </c>
      <c r="E375" s="3" t="s">
        <v>87</v>
      </c>
      <c r="F375" s="3" t="s">
        <v>102</v>
      </c>
      <c r="G375">
        <v>225</v>
      </c>
      <c r="H375" s="4">
        <v>224</v>
      </c>
      <c r="I375" s="4">
        <v>242</v>
      </c>
      <c r="J375" s="4" t="s">
        <v>8</v>
      </c>
      <c r="K375" s="4" t="s">
        <v>7</v>
      </c>
      <c r="L375" s="11"/>
      <c r="M375" s="3"/>
      <c r="N375"/>
      <c r="O375" s="4"/>
      <c r="P375" s="1"/>
      <c r="Q375" s="22"/>
      <c r="R375" t="s">
        <v>88</v>
      </c>
      <c r="S375" s="11"/>
      <c r="T375" t="s">
        <v>71</v>
      </c>
      <c r="U375"/>
      <c r="V375" s="1"/>
      <c r="W375" s="1"/>
    </row>
    <row r="376" spans="2:23" x14ac:dyDescent="0.35">
      <c r="B376" s="4">
        <v>20015589</v>
      </c>
      <c r="C376" s="1" t="s">
        <v>1283</v>
      </c>
      <c r="D376" s="4" t="s">
        <v>86</v>
      </c>
      <c r="E376" s="3"/>
      <c r="F376" s="3" t="s">
        <v>68</v>
      </c>
      <c r="G376">
        <v>2</v>
      </c>
      <c r="H376" s="4">
        <v>2</v>
      </c>
      <c r="I376" s="4">
        <v>3</v>
      </c>
      <c r="J376" s="4" t="s">
        <v>8</v>
      </c>
      <c r="K376" s="4" t="s">
        <v>7</v>
      </c>
      <c r="L376" s="11"/>
      <c r="M376" s="3"/>
      <c r="N376"/>
      <c r="O376" s="4"/>
      <c r="P376" s="1"/>
      <c r="Q376" s="22"/>
      <c r="R376"/>
      <c r="S376" s="11"/>
      <c r="T376" t="s">
        <v>70</v>
      </c>
      <c r="U376"/>
      <c r="V376" s="1"/>
      <c r="W376" s="1"/>
    </row>
    <row r="377" spans="2:23" x14ac:dyDescent="0.35">
      <c r="B377" s="4">
        <v>20019541</v>
      </c>
      <c r="C377" s="1" t="s">
        <v>258</v>
      </c>
      <c r="D377" s="4" t="s">
        <v>86</v>
      </c>
      <c r="E377" s="3" t="s">
        <v>97</v>
      </c>
      <c r="F377" s="3" t="s">
        <v>89</v>
      </c>
      <c r="G377">
        <v>3</v>
      </c>
      <c r="H377" s="4">
        <v>5</v>
      </c>
      <c r="I377" s="4">
        <v>5</v>
      </c>
      <c r="J377" s="4" t="s">
        <v>8</v>
      </c>
      <c r="K377" s="4" t="s">
        <v>7</v>
      </c>
      <c r="L377" s="11"/>
      <c r="M377" s="3"/>
      <c r="N377"/>
      <c r="O377" s="4"/>
      <c r="P377" s="1"/>
      <c r="Q377" s="22"/>
      <c r="R377" t="s">
        <v>98</v>
      </c>
      <c r="S377" s="11"/>
      <c r="T377" t="s">
        <v>69</v>
      </c>
      <c r="U377"/>
      <c r="V377" s="1"/>
      <c r="W377" s="1"/>
    </row>
    <row r="378" spans="2:23" x14ac:dyDescent="0.35">
      <c r="B378" s="4">
        <v>20019543</v>
      </c>
      <c r="C378" s="1" t="s">
        <v>259</v>
      </c>
      <c r="D378" s="4" t="s">
        <v>86</v>
      </c>
      <c r="E378" s="3" t="s">
        <v>87</v>
      </c>
      <c r="F378" s="3" t="s">
        <v>89</v>
      </c>
      <c r="G378">
        <v>2</v>
      </c>
      <c r="H378" s="4">
        <v>5</v>
      </c>
      <c r="I378" s="4">
        <v>5</v>
      </c>
      <c r="J378" s="4" t="s">
        <v>8</v>
      </c>
      <c r="K378" s="4" t="s">
        <v>7</v>
      </c>
      <c r="L378" s="69"/>
      <c r="M378" s="3"/>
      <c r="N378"/>
      <c r="O378" s="4"/>
      <c r="P378" s="1"/>
      <c r="Q378" s="22"/>
      <c r="R378" t="s">
        <v>88</v>
      </c>
      <c r="S378" s="11"/>
      <c r="T378" t="s">
        <v>66</v>
      </c>
      <c r="U378"/>
      <c r="V378" s="1"/>
      <c r="W378" s="1"/>
    </row>
    <row r="379" spans="2:23" x14ac:dyDescent="0.35">
      <c r="B379" s="4">
        <v>20015638</v>
      </c>
      <c r="C379" s="1" t="s">
        <v>1411</v>
      </c>
      <c r="D379" s="4" t="s">
        <v>86</v>
      </c>
      <c r="E379" s="3"/>
      <c r="F379" s="3" t="s">
        <v>68</v>
      </c>
      <c r="G379">
        <v>2</v>
      </c>
      <c r="H379" s="4">
        <v>2</v>
      </c>
      <c r="I379" s="4">
        <v>5</v>
      </c>
      <c r="J379" s="4" t="s">
        <v>8</v>
      </c>
      <c r="K379" s="4" t="s">
        <v>14</v>
      </c>
      <c r="L379" s="11"/>
      <c r="M379" s="3"/>
      <c r="N379"/>
      <c r="O379" s="4"/>
      <c r="P379" s="1"/>
      <c r="Q379" s="22"/>
      <c r="R379"/>
      <c r="S379" s="11"/>
      <c r="T379" t="s">
        <v>70</v>
      </c>
      <c r="U379"/>
      <c r="V379" s="1"/>
      <c r="W379" s="1"/>
    </row>
    <row r="380" spans="2:23" x14ac:dyDescent="0.35">
      <c r="B380" s="4">
        <v>20019551</v>
      </c>
      <c r="C380" s="1" t="s">
        <v>260</v>
      </c>
      <c r="D380" s="4" t="s">
        <v>86</v>
      </c>
      <c r="E380" s="3" t="s">
        <v>222</v>
      </c>
      <c r="F380" s="3" t="s">
        <v>89</v>
      </c>
      <c r="G380">
        <v>6</v>
      </c>
      <c r="H380" s="4">
        <v>12</v>
      </c>
      <c r="I380" s="4">
        <v>7</v>
      </c>
      <c r="J380" s="4" t="s">
        <v>8</v>
      </c>
      <c r="K380" s="4" t="s">
        <v>7</v>
      </c>
      <c r="L380" s="11"/>
      <c r="M380" s="3"/>
      <c r="N380"/>
      <c r="O380" s="4"/>
      <c r="P380" s="1"/>
      <c r="Q380" s="22"/>
      <c r="R380" t="s">
        <v>223</v>
      </c>
      <c r="S380" s="11"/>
      <c r="T380" t="s">
        <v>1603</v>
      </c>
      <c r="U380"/>
      <c r="V380" s="1"/>
      <c r="W380" s="1"/>
    </row>
    <row r="381" spans="2:23" x14ac:dyDescent="0.35">
      <c r="B381" s="4">
        <v>20019659</v>
      </c>
      <c r="C381" s="1" t="s">
        <v>261</v>
      </c>
      <c r="D381" s="4" t="s">
        <v>86</v>
      </c>
      <c r="E381" s="3" t="s">
        <v>87</v>
      </c>
      <c r="F381" s="3" t="s">
        <v>89</v>
      </c>
      <c r="G381">
        <v>11</v>
      </c>
      <c r="H381" s="4">
        <v>19</v>
      </c>
      <c r="I381" s="4">
        <v>20</v>
      </c>
      <c r="J381" s="4" t="s">
        <v>8</v>
      </c>
      <c r="K381" s="4" t="s">
        <v>7</v>
      </c>
      <c r="L381" s="11"/>
      <c r="M381" s="3"/>
      <c r="N381"/>
      <c r="O381" s="4"/>
      <c r="P381" s="1"/>
      <c r="Q381" s="22"/>
      <c r="R381" t="s">
        <v>88</v>
      </c>
      <c r="S381" s="11"/>
      <c r="T381" t="s">
        <v>70</v>
      </c>
      <c r="U381"/>
      <c r="V381" s="1"/>
      <c r="W381" s="1"/>
    </row>
    <row r="382" spans="2:23" x14ac:dyDescent="0.35">
      <c r="B382" s="4">
        <v>20015709</v>
      </c>
      <c r="C382" s="1" t="s">
        <v>1302</v>
      </c>
      <c r="D382" s="4" t="s">
        <v>86</v>
      </c>
      <c r="E382" s="3"/>
      <c r="F382" s="3" t="s">
        <v>68</v>
      </c>
      <c r="G382">
        <v>2</v>
      </c>
      <c r="H382" s="4">
        <v>4</v>
      </c>
      <c r="I382" s="4">
        <v>6</v>
      </c>
      <c r="J382" s="4" t="s">
        <v>8</v>
      </c>
      <c r="K382" s="4" t="s">
        <v>7</v>
      </c>
      <c r="L382" s="11"/>
      <c r="M382" s="3"/>
      <c r="N382"/>
      <c r="O382" s="4"/>
      <c r="P382" s="1"/>
      <c r="Q382" s="22"/>
      <c r="R382"/>
      <c r="S382" s="11"/>
      <c r="T382" t="s">
        <v>66</v>
      </c>
      <c r="U382"/>
      <c r="V382" s="1"/>
      <c r="W382" s="1"/>
    </row>
    <row r="383" spans="2:23" x14ac:dyDescent="0.35">
      <c r="B383" s="4">
        <v>20016025</v>
      </c>
      <c r="C383" s="1" t="s">
        <v>1549</v>
      </c>
      <c r="D383" s="4" t="s">
        <v>86</v>
      </c>
      <c r="E383" s="3"/>
      <c r="F383" s="3" t="s">
        <v>68</v>
      </c>
      <c r="G383">
        <v>5</v>
      </c>
      <c r="H383" s="4">
        <v>10</v>
      </c>
      <c r="I383" s="4">
        <v>22</v>
      </c>
      <c r="J383" s="4" t="s">
        <v>8</v>
      </c>
      <c r="K383" s="4" t="s">
        <v>14</v>
      </c>
      <c r="L383" s="11"/>
      <c r="M383" s="3"/>
      <c r="N383"/>
      <c r="O383" s="4"/>
      <c r="P383" s="1"/>
      <c r="Q383" s="22"/>
      <c r="R383"/>
      <c r="S383" s="11"/>
      <c r="T383" t="s">
        <v>70</v>
      </c>
      <c r="U383"/>
      <c r="V383" s="1"/>
      <c r="W383" s="1"/>
    </row>
    <row r="384" spans="2:23" x14ac:dyDescent="0.35">
      <c r="B384" s="4">
        <v>20019674</v>
      </c>
      <c r="C384" s="1" t="s">
        <v>262</v>
      </c>
      <c r="D384" s="4" t="s">
        <v>86</v>
      </c>
      <c r="E384" s="3"/>
      <c r="F384" s="3" t="s">
        <v>89</v>
      </c>
      <c r="G384">
        <v>2</v>
      </c>
      <c r="H384" s="4">
        <v>2</v>
      </c>
      <c r="I384" s="4">
        <v>7</v>
      </c>
      <c r="J384" s="4" t="s">
        <v>354</v>
      </c>
      <c r="K384" s="4" t="s">
        <v>14</v>
      </c>
      <c r="L384" s="11"/>
      <c r="M384" s="3"/>
      <c r="N384"/>
      <c r="O384" s="4"/>
      <c r="P384" s="1"/>
      <c r="Q384" s="22"/>
      <c r="R384" t="s">
        <v>113</v>
      </c>
      <c r="S384" s="11"/>
      <c r="T384" t="s">
        <v>69</v>
      </c>
      <c r="U384"/>
      <c r="V384" s="1"/>
      <c r="W384" s="1"/>
    </row>
    <row r="385" spans="2:23" x14ac:dyDescent="0.35">
      <c r="B385" s="4">
        <v>20019687</v>
      </c>
      <c r="C385" s="1" t="s">
        <v>263</v>
      </c>
      <c r="D385" s="4" t="s">
        <v>86</v>
      </c>
      <c r="E385" s="3" t="s">
        <v>87</v>
      </c>
      <c r="F385" s="3" t="s">
        <v>89</v>
      </c>
      <c r="G385">
        <v>1</v>
      </c>
      <c r="H385" s="4">
        <v>1</v>
      </c>
      <c r="I385" s="4">
        <v>11</v>
      </c>
      <c r="J385" s="4" t="s">
        <v>8</v>
      </c>
      <c r="K385" s="4" t="s">
        <v>14</v>
      </c>
      <c r="L385" s="11"/>
      <c r="M385" s="3"/>
      <c r="N385"/>
      <c r="O385" s="4"/>
      <c r="P385" s="1"/>
      <c r="Q385" s="22"/>
      <c r="R385" t="s">
        <v>88</v>
      </c>
      <c r="S385" s="11"/>
      <c r="T385" t="s">
        <v>66</v>
      </c>
      <c r="U385"/>
      <c r="V385" s="1"/>
      <c r="W385" s="1"/>
    </row>
    <row r="386" spans="2:23" x14ac:dyDescent="0.35">
      <c r="B386" s="4">
        <v>20019688</v>
      </c>
      <c r="C386" s="1" t="s">
        <v>264</v>
      </c>
      <c r="D386" s="4" t="s">
        <v>86</v>
      </c>
      <c r="E386" s="3" t="s">
        <v>87</v>
      </c>
      <c r="F386" s="3" t="s">
        <v>89</v>
      </c>
      <c r="G386">
        <v>3</v>
      </c>
      <c r="H386" s="4">
        <v>4</v>
      </c>
      <c r="I386" s="4">
        <v>33</v>
      </c>
      <c r="J386" s="4" t="s">
        <v>8</v>
      </c>
      <c r="K386" s="4" t="s">
        <v>14</v>
      </c>
      <c r="L386" s="11"/>
      <c r="M386" s="3"/>
      <c r="N386"/>
      <c r="O386" s="4"/>
      <c r="P386" s="1"/>
      <c r="Q386" s="22"/>
      <c r="R386" t="s">
        <v>88</v>
      </c>
      <c r="S386" s="11"/>
      <c r="T386" t="s">
        <v>66</v>
      </c>
      <c r="U386"/>
      <c r="V386" s="1"/>
      <c r="W386" s="1"/>
    </row>
    <row r="387" spans="2:23" x14ac:dyDescent="0.35">
      <c r="B387" s="4">
        <v>20019729</v>
      </c>
      <c r="C387" s="1" t="s">
        <v>265</v>
      </c>
      <c r="D387" s="4" t="s">
        <v>86</v>
      </c>
      <c r="E387" s="3"/>
      <c r="F387" s="3" t="s">
        <v>89</v>
      </c>
      <c r="G387">
        <v>10</v>
      </c>
      <c r="H387" s="4">
        <v>20</v>
      </c>
      <c r="I387" s="4">
        <v>23</v>
      </c>
      <c r="J387" s="4" t="s">
        <v>8</v>
      </c>
      <c r="K387" s="4" t="s">
        <v>7</v>
      </c>
      <c r="L387" s="11"/>
      <c r="M387" s="3"/>
      <c r="N387"/>
      <c r="O387" s="4"/>
      <c r="P387" s="1"/>
      <c r="Q387" s="22"/>
      <c r="R387" t="s">
        <v>113</v>
      </c>
      <c r="S387" s="11"/>
      <c r="T387" t="s">
        <v>66</v>
      </c>
      <c r="U387"/>
      <c r="V387" s="1"/>
      <c r="W387" s="1"/>
    </row>
    <row r="388" spans="2:23" x14ac:dyDescent="0.35">
      <c r="B388" s="4">
        <v>20016983</v>
      </c>
      <c r="C388" s="1" t="s">
        <v>1527</v>
      </c>
      <c r="D388" s="4" t="s">
        <v>86</v>
      </c>
      <c r="E388" s="3"/>
      <c r="F388" s="3" t="s">
        <v>68</v>
      </c>
      <c r="G388">
        <v>4</v>
      </c>
      <c r="H388" s="4">
        <v>3</v>
      </c>
      <c r="I388" s="4">
        <v>9</v>
      </c>
      <c r="J388" s="4" t="s">
        <v>8</v>
      </c>
      <c r="K388" s="4" t="s">
        <v>14</v>
      </c>
      <c r="L388" s="11"/>
      <c r="M388" s="3"/>
      <c r="N388"/>
      <c r="O388" s="4"/>
      <c r="P388" s="1"/>
      <c r="Q388" s="22"/>
      <c r="R388"/>
      <c r="S388" s="11"/>
      <c r="T388" t="s">
        <v>66</v>
      </c>
      <c r="U388"/>
      <c r="V388" s="1"/>
      <c r="W388" s="1"/>
    </row>
    <row r="389" spans="2:23" x14ac:dyDescent="0.35">
      <c r="B389" s="4">
        <v>20019753</v>
      </c>
      <c r="C389" s="1" t="s">
        <v>266</v>
      </c>
      <c r="D389" s="4" t="s">
        <v>86</v>
      </c>
      <c r="E389" s="3" t="s">
        <v>87</v>
      </c>
      <c r="F389" s="3" t="s">
        <v>89</v>
      </c>
      <c r="G389">
        <v>1</v>
      </c>
      <c r="H389" s="4">
        <v>1</v>
      </c>
      <c r="I389" s="4">
        <v>14</v>
      </c>
      <c r="J389" s="4" t="s">
        <v>8</v>
      </c>
      <c r="K389" s="4" t="s">
        <v>14</v>
      </c>
      <c r="L389" s="11"/>
      <c r="M389" s="3"/>
      <c r="N389"/>
      <c r="O389" s="4"/>
      <c r="P389" s="1"/>
      <c r="Q389" s="22"/>
      <c r="R389" t="s">
        <v>88</v>
      </c>
      <c r="S389" s="11"/>
      <c r="T389" t="s">
        <v>69</v>
      </c>
      <c r="U389"/>
      <c r="V389" s="1"/>
      <c r="W389" s="1"/>
    </row>
    <row r="390" spans="2:23" x14ac:dyDescent="0.35">
      <c r="B390" s="4">
        <v>20019782</v>
      </c>
      <c r="C390" s="1" t="s">
        <v>267</v>
      </c>
      <c r="D390" s="4" t="s">
        <v>86</v>
      </c>
      <c r="E390" s="3" t="s">
        <v>91</v>
      </c>
      <c r="F390" s="3" t="s">
        <v>89</v>
      </c>
      <c r="G390">
        <v>10</v>
      </c>
      <c r="H390" s="4">
        <v>10</v>
      </c>
      <c r="I390" s="4">
        <v>37</v>
      </c>
      <c r="J390" s="4" t="s">
        <v>8</v>
      </c>
      <c r="K390" s="4" t="s">
        <v>14</v>
      </c>
      <c r="L390" s="11"/>
      <c r="M390" s="3"/>
      <c r="N390"/>
      <c r="O390" s="4"/>
      <c r="P390" s="1"/>
      <c r="Q390" s="22"/>
      <c r="R390" t="s">
        <v>92</v>
      </c>
      <c r="S390" s="11"/>
      <c r="T390" t="s">
        <v>1603</v>
      </c>
      <c r="U390"/>
      <c r="V390" s="1"/>
      <c r="W390" s="1"/>
    </row>
    <row r="391" spans="2:23" x14ac:dyDescent="0.35">
      <c r="B391" s="4">
        <v>20019783</v>
      </c>
      <c r="C391" s="1" t="s">
        <v>268</v>
      </c>
      <c r="D391" s="4" t="s">
        <v>86</v>
      </c>
      <c r="E391" s="3" t="s">
        <v>91</v>
      </c>
      <c r="F391" s="3" t="s">
        <v>89</v>
      </c>
      <c r="G391">
        <v>2</v>
      </c>
      <c r="H391" s="4">
        <v>3</v>
      </c>
      <c r="I391" s="4">
        <v>2</v>
      </c>
      <c r="J391" s="4" t="s">
        <v>8</v>
      </c>
      <c r="K391" s="4" t="s">
        <v>7</v>
      </c>
      <c r="L391" s="11"/>
      <c r="M391" s="3"/>
      <c r="N391"/>
      <c r="O391" s="4"/>
      <c r="P391" s="1"/>
      <c r="Q391" s="22"/>
      <c r="R391" t="s">
        <v>92</v>
      </c>
      <c r="S391" s="11"/>
      <c r="T391" t="s">
        <v>1603</v>
      </c>
      <c r="U391"/>
      <c r="V391" s="1"/>
      <c r="W391" s="1"/>
    </row>
    <row r="392" spans="2:23" x14ac:dyDescent="0.35">
      <c r="B392" s="4">
        <v>20019784</v>
      </c>
      <c r="C392" s="1" t="s">
        <v>269</v>
      </c>
      <c r="D392" s="4" t="s">
        <v>86</v>
      </c>
      <c r="E392" s="3" t="s">
        <v>91</v>
      </c>
      <c r="F392" s="3" t="s">
        <v>89</v>
      </c>
      <c r="G392">
        <v>27</v>
      </c>
      <c r="H392" s="4">
        <v>43</v>
      </c>
      <c r="I392" s="4">
        <v>15</v>
      </c>
      <c r="J392" s="4" t="s">
        <v>8</v>
      </c>
      <c r="K392" s="4" t="s">
        <v>9</v>
      </c>
      <c r="L392" s="11">
        <v>1002717001</v>
      </c>
      <c r="M392" s="3">
        <v>40</v>
      </c>
      <c r="N392"/>
      <c r="O392" s="4"/>
      <c r="P392" s="1"/>
      <c r="Q392" s="22"/>
      <c r="R392" t="s">
        <v>92</v>
      </c>
      <c r="S392" s="11"/>
      <c r="T392" t="s">
        <v>1603</v>
      </c>
      <c r="U392"/>
      <c r="V392" s="1"/>
      <c r="W392" s="1"/>
    </row>
    <row r="393" spans="2:23" x14ac:dyDescent="0.35">
      <c r="B393" s="4">
        <v>20019785</v>
      </c>
      <c r="C393" s="1" t="s">
        <v>270</v>
      </c>
      <c r="D393" s="4" t="s">
        <v>86</v>
      </c>
      <c r="E393" s="3" t="s">
        <v>91</v>
      </c>
      <c r="F393" s="3" t="s">
        <v>89</v>
      </c>
      <c r="G393">
        <v>2</v>
      </c>
      <c r="H393" s="4">
        <v>3</v>
      </c>
      <c r="I393" s="4">
        <v>10</v>
      </c>
      <c r="J393" s="4" t="s">
        <v>8</v>
      </c>
      <c r="K393" s="4" t="s">
        <v>14</v>
      </c>
      <c r="L393" s="11"/>
      <c r="M393" s="3"/>
      <c r="N393"/>
      <c r="O393" s="4"/>
      <c r="P393" s="1"/>
      <c r="Q393" s="22"/>
      <c r="R393" t="s">
        <v>92</v>
      </c>
      <c r="S393" s="11"/>
      <c r="T393" t="s">
        <v>1603</v>
      </c>
      <c r="U393"/>
      <c r="V393" s="1"/>
      <c r="W393" s="1"/>
    </row>
    <row r="394" spans="2:23" x14ac:dyDescent="0.35">
      <c r="B394" s="4">
        <v>20017830</v>
      </c>
      <c r="C394" s="1" t="s">
        <v>1412</v>
      </c>
      <c r="D394" s="4" t="s">
        <v>86</v>
      </c>
      <c r="E394" s="3"/>
      <c r="F394" s="3" t="s">
        <v>68</v>
      </c>
      <c r="G394">
        <v>2</v>
      </c>
      <c r="H394" s="4">
        <v>4</v>
      </c>
      <c r="I394" s="4">
        <v>16</v>
      </c>
      <c r="J394" s="4" t="s">
        <v>8</v>
      </c>
      <c r="K394" s="4" t="s">
        <v>14</v>
      </c>
      <c r="L394" s="69"/>
      <c r="M394" s="3"/>
      <c r="N394"/>
      <c r="O394" s="4"/>
      <c r="P394" s="1"/>
      <c r="Q394" s="22"/>
      <c r="R394"/>
      <c r="S394" s="11"/>
      <c r="T394" t="s">
        <v>70</v>
      </c>
      <c r="U394"/>
      <c r="V394" s="1"/>
      <c r="W394" s="1"/>
    </row>
    <row r="395" spans="2:23" x14ac:dyDescent="0.35">
      <c r="B395" s="4">
        <v>20019788</v>
      </c>
      <c r="C395" s="1" t="s">
        <v>1374</v>
      </c>
      <c r="D395" s="4" t="s">
        <v>86</v>
      </c>
      <c r="E395" s="3" t="s">
        <v>118</v>
      </c>
      <c r="F395" s="3" t="s">
        <v>89</v>
      </c>
      <c r="G395">
        <v>1</v>
      </c>
      <c r="H395" s="4">
        <v>2</v>
      </c>
      <c r="I395" s="4">
        <v>1</v>
      </c>
      <c r="J395" s="4" t="s">
        <v>8</v>
      </c>
      <c r="K395" s="4" t="s">
        <v>7</v>
      </c>
      <c r="L395" s="11"/>
      <c r="M395" s="3"/>
      <c r="N395"/>
      <c r="O395" s="4"/>
      <c r="P395" s="1"/>
      <c r="Q395" s="22"/>
      <c r="R395" t="s">
        <v>156</v>
      </c>
      <c r="S395" s="11"/>
      <c r="T395" t="s">
        <v>1602</v>
      </c>
      <c r="U395"/>
      <c r="V395" s="1"/>
      <c r="W395" s="1"/>
    </row>
    <row r="396" spans="2:23" x14ac:dyDescent="0.35">
      <c r="B396" s="4">
        <v>20018239</v>
      </c>
      <c r="C396" s="1" t="s">
        <v>1532</v>
      </c>
      <c r="D396" s="4" t="s">
        <v>86</v>
      </c>
      <c r="E396" s="3"/>
      <c r="F396" s="3" t="s">
        <v>68</v>
      </c>
      <c r="G396">
        <v>50</v>
      </c>
      <c r="H396" s="4">
        <v>20</v>
      </c>
      <c r="I396" s="4">
        <v>68</v>
      </c>
      <c r="J396" s="4" t="s">
        <v>8</v>
      </c>
      <c r="K396" s="4" t="s">
        <v>7</v>
      </c>
      <c r="L396" s="11"/>
      <c r="M396" s="3"/>
      <c r="N396"/>
      <c r="O396" s="4"/>
      <c r="P396" s="1"/>
      <c r="Q396" s="22"/>
      <c r="R396"/>
      <c r="S396" s="11"/>
      <c r="T396" t="s">
        <v>66</v>
      </c>
      <c r="U396"/>
      <c r="V396" s="1"/>
      <c r="W396" s="1"/>
    </row>
    <row r="397" spans="2:23" x14ac:dyDescent="0.35">
      <c r="B397" s="4">
        <v>20018240</v>
      </c>
      <c r="C397" s="1" t="s">
        <v>1533</v>
      </c>
      <c r="D397" s="4" t="s">
        <v>86</v>
      </c>
      <c r="E397" s="3"/>
      <c r="F397" s="3" t="s">
        <v>68</v>
      </c>
      <c r="G397">
        <v>50</v>
      </c>
      <c r="H397" s="4">
        <v>20</v>
      </c>
      <c r="I397" s="4">
        <v>68</v>
      </c>
      <c r="J397" s="4" t="s">
        <v>8</v>
      </c>
      <c r="K397" s="4" t="s">
        <v>7</v>
      </c>
      <c r="L397" s="11"/>
      <c r="M397" s="3"/>
      <c r="N397"/>
      <c r="O397" s="4"/>
      <c r="P397" s="1"/>
      <c r="Q397" s="22"/>
      <c r="R397"/>
      <c r="S397" s="11"/>
      <c r="T397" t="s">
        <v>66</v>
      </c>
      <c r="U397"/>
      <c r="V397" s="1"/>
      <c r="W397" s="1"/>
    </row>
    <row r="398" spans="2:23" x14ac:dyDescent="0.35">
      <c r="B398" s="4">
        <v>20019883</v>
      </c>
      <c r="C398" s="1" t="s">
        <v>271</v>
      </c>
      <c r="D398" s="4" t="s">
        <v>86</v>
      </c>
      <c r="E398" s="3" t="s">
        <v>91</v>
      </c>
      <c r="F398" s="3" t="s">
        <v>89</v>
      </c>
      <c r="G398">
        <v>20</v>
      </c>
      <c r="H398" s="4">
        <v>30</v>
      </c>
      <c r="I398" s="4">
        <v>35</v>
      </c>
      <c r="J398" s="4" t="s">
        <v>8</v>
      </c>
      <c r="K398" s="4" t="s">
        <v>7</v>
      </c>
      <c r="L398" s="11"/>
      <c r="M398" s="3"/>
      <c r="N398"/>
      <c r="O398" s="4"/>
      <c r="P398" s="1"/>
      <c r="Q398" s="22"/>
      <c r="R398" t="s">
        <v>92</v>
      </c>
      <c r="S398" s="11"/>
      <c r="T398" t="s">
        <v>1603</v>
      </c>
      <c r="U398"/>
      <c r="V398" s="1"/>
      <c r="W398" s="1"/>
    </row>
    <row r="399" spans="2:23" x14ac:dyDescent="0.35">
      <c r="B399" s="4">
        <v>20019884</v>
      </c>
      <c r="C399" s="1" t="s">
        <v>272</v>
      </c>
      <c r="D399" s="4" t="s">
        <v>86</v>
      </c>
      <c r="E399" s="3" t="s">
        <v>91</v>
      </c>
      <c r="F399" s="3" t="s">
        <v>89</v>
      </c>
      <c r="G399">
        <v>20</v>
      </c>
      <c r="H399" s="4">
        <v>20</v>
      </c>
      <c r="I399" s="4">
        <v>45</v>
      </c>
      <c r="J399" s="4" t="s">
        <v>8</v>
      </c>
      <c r="K399" s="4" t="s">
        <v>14</v>
      </c>
      <c r="L399" s="11"/>
      <c r="M399" s="3"/>
      <c r="N399"/>
      <c r="O399" s="4"/>
      <c r="P399" s="1"/>
      <c r="Q399" s="22"/>
      <c r="R399" t="s">
        <v>92</v>
      </c>
      <c r="S399" s="11"/>
      <c r="T399" t="s">
        <v>1603</v>
      </c>
      <c r="U399"/>
      <c r="V399" s="1"/>
      <c r="W399" s="1"/>
    </row>
    <row r="400" spans="2:23" x14ac:dyDescent="0.35">
      <c r="B400" s="4">
        <v>20019889</v>
      </c>
      <c r="C400" s="1" t="s">
        <v>273</v>
      </c>
      <c r="D400" s="4" t="s">
        <v>86</v>
      </c>
      <c r="E400" s="3" t="s">
        <v>129</v>
      </c>
      <c r="F400" s="3" t="s">
        <v>89</v>
      </c>
      <c r="G400">
        <v>30</v>
      </c>
      <c r="H400" s="4">
        <v>30</v>
      </c>
      <c r="I400" s="4">
        <v>45</v>
      </c>
      <c r="J400" s="4" t="s">
        <v>25</v>
      </c>
      <c r="K400" s="4" t="s">
        <v>7</v>
      </c>
      <c r="L400" s="11"/>
      <c r="M400" s="3"/>
      <c r="N400"/>
      <c r="O400" s="4"/>
      <c r="P400" s="1"/>
      <c r="Q400" s="22"/>
      <c r="R400" t="s">
        <v>130</v>
      </c>
      <c r="S400" s="11"/>
      <c r="T400" t="s">
        <v>71</v>
      </c>
      <c r="U400"/>
      <c r="V400" s="1"/>
      <c r="W400" s="1"/>
    </row>
    <row r="401" spans="2:23" x14ac:dyDescent="0.35">
      <c r="B401" s="4">
        <v>20019892</v>
      </c>
      <c r="C401" s="1" t="s">
        <v>274</v>
      </c>
      <c r="D401" s="4" t="s">
        <v>86</v>
      </c>
      <c r="E401" s="3" t="s">
        <v>129</v>
      </c>
      <c r="F401" s="3" t="s">
        <v>89</v>
      </c>
      <c r="G401">
        <v>160</v>
      </c>
      <c r="H401" s="4">
        <v>300</v>
      </c>
      <c r="I401" s="4">
        <v>440</v>
      </c>
      <c r="J401" s="4" t="s">
        <v>25</v>
      </c>
      <c r="K401" s="4" t="s">
        <v>7</v>
      </c>
      <c r="L401" s="11"/>
      <c r="M401" s="3"/>
      <c r="N401"/>
      <c r="O401" s="4"/>
      <c r="P401" s="1"/>
      <c r="Q401" s="22"/>
      <c r="R401" t="s">
        <v>130</v>
      </c>
      <c r="S401" s="11"/>
      <c r="T401" t="s">
        <v>70</v>
      </c>
      <c r="U401"/>
      <c r="V401" s="1"/>
      <c r="W401" s="1"/>
    </row>
    <row r="402" spans="2:23" x14ac:dyDescent="0.35">
      <c r="B402" s="4">
        <v>20018778</v>
      </c>
      <c r="C402" s="1" t="s">
        <v>1534</v>
      </c>
      <c r="D402" s="4" t="s">
        <v>86</v>
      </c>
      <c r="E402" s="3"/>
      <c r="F402" s="3" t="s">
        <v>68</v>
      </c>
      <c r="G402">
        <v>100</v>
      </c>
      <c r="H402" s="4">
        <v>100</v>
      </c>
      <c r="I402" s="4">
        <v>136</v>
      </c>
      <c r="J402" s="4" t="s">
        <v>8</v>
      </c>
      <c r="K402" s="4" t="s">
        <v>7</v>
      </c>
      <c r="L402" s="11"/>
      <c r="M402" s="3"/>
      <c r="N402"/>
      <c r="O402" s="4"/>
      <c r="P402" s="1"/>
      <c r="Q402" s="22"/>
      <c r="R402"/>
      <c r="S402" s="11"/>
      <c r="T402" t="s">
        <v>66</v>
      </c>
      <c r="U402"/>
      <c r="V402" s="1"/>
      <c r="W402" s="1"/>
    </row>
    <row r="403" spans="2:23" x14ac:dyDescent="0.35">
      <c r="B403" s="4">
        <v>20018779</v>
      </c>
      <c r="C403" s="1" t="s">
        <v>1535</v>
      </c>
      <c r="D403" s="4" t="s">
        <v>86</v>
      </c>
      <c r="E403" s="3"/>
      <c r="F403" s="3" t="s">
        <v>68</v>
      </c>
      <c r="G403">
        <v>30</v>
      </c>
      <c r="H403" s="4">
        <v>20</v>
      </c>
      <c r="I403" s="4">
        <v>46</v>
      </c>
      <c r="J403" s="4" t="s">
        <v>8</v>
      </c>
      <c r="K403" s="4" t="s">
        <v>7</v>
      </c>
      <c r="L403" s="11"/>
      <c r="M403" s="3"/>
      <c r="N403"/>
      <c r="O403" s="4"/>
      <c r="P403" s="1"/>
      <c r="Q403" s="22"/>
      <c r="R403"/>
      <c r="S403" s="11"/>
      <c r="T403" t="s">
        <v>66</v>
      </c>
      <c r="U403"/>
      <c r="V403" s="1"/>
      <c r="W403" s="1"/>
    </row>
    <row r="404" spans="2:23" x14ac:dyDescent="0.35">
      <c r="B404" s="4">
        <v>20019915</v>
      </c>
      <c r="C404" s="1" t="s">
        <v>275</v>
      </c>
      <c r="D404" s="4" t="s">
        <v>86</v>
      </c>
      <c r="E404" s="3" t="s">
        <v>87</v>
      </c>
      <c r="F404" s="3" t="s">
        <v>89</v>
      </c>
      <c r="G404">
        <v>38</v>
      </c>
      <c r="H404" s="4">
        <v>63</v>
      </c>
      <c r="I404" s="4">
        <v>59</v>
      </c>
      <c r="J404" s="4" t="s">
        <v>8</v>
      </c>
      <c r="K404" s="4" t="s">
        <v>7</v>
      </c>
      <c r="L404" s="11"/>
      <c r="M404" s="3"/>
      <c r="N404"/>
      <c r="O404" s="4"/>
      <c r="P404" s="1"/>
      <c r="Q404" s="22"/>
      <c r="R404" t="s">
        <v>88</v>
      </c>
      <c r="S404" s="11"/>
      <c r="T404" t="s">
        <v>70</v>
      </c>
      <c r="U404"/>
      <c r="V404" s="1"/>
      <c r="W404" s="1"/>
    </row>
    <row r="405" spans="2:23" x14ac:dyDescent="0.35">
      <c r="B405" s="4">
        <v>20019411</v>
      </c>
      <c r="C405" s="1" t="s">
        <v>1331</v>
      </c>
      <c r="D405" s="4" t="s">
        <v>86</v>
      </c>
      <c r="E405" s="3"/>
      <c r="F405" s="3" t="s">
        <v>68</v>
      </c>
      <c r="G405">
        <v>5</v>
      </c>
      <c r="H405" s="4">
        <v>10</v>
      </c>
      <c r="I405" s="4">
        <v>18</v>
      </c>
      <c r="J405" s="4" t="s">
        <v>8</v>
      </c>
      <c r="K405" s="4" t="s">
        <v>14</v>
      </c>
      <c r="L405" s="11"/>
      <c r="M405" s="3"/>
      <c r="N405"/>
      <c r="O405" s="4"/>
      <c r="P405" s="1"/>
      <c r="Q405" s="22"/>
      <c r="R405"/>
      <c r="S405" s="11"/>
      <c r="T405" t="s">
        <v>70</v>
      </c>
      <c r="U405"/>
      <c r="V405" s="1"/>
      <c r="W405" s="1"/>
    </row>
    <row r="406" spans="2:23" x14ac:dyDescent="0.35">
      <c r="B406" s="4">
        <v>20019917</v>
      </c>
      <c r="C406" s="1" t="s">
        <v>277</v>
      </c>
      <c r="D406" s="4" t="s">
        <v>86</v>
      </c>
      <c r="E406" s="3"/>
      <c r="F406" s="3" t="s">
        <v>89</v>
      </c>
      <c r="G406">
        <v>5</v>
      </c>
      <c r="H406" s="4">
        <v>10</v>
      </c>
      <c r="I406" s="4">
        <v>8</v>
      </c>
      <c r="J406" s="4" t="s">
        <v>8</v>
      </c>
      <c r="K406" s="4" t="s">
        <v>7</v>
      </c>
      <c r="L406" s="11"/>
      <c r="M406" s="3"/>
      <c r="N406"/>
      <c r="O406" s="4"/>
      <c r="P406" s="1"/>
      <c r="Q406" s="22"/>
      <c r="R406" t="s">
        <v>113</v>
      </c>
      <c r="S406" s="11"/>
      <c r="T406" t="s">
        <v>69</v>
      </c>
      <c r="U406"/>
      <c r="V406" s="1"/>
      <c r="W406" s="1"/>
    </row>
    <row r="407" spans="2:23" x14ac:dyDescent="0.35">
      <c r="B407" s="4">
        <v>20019919</v>
      </c>
      <c r="C407" s="1" t="s">
        <v>278</v>
      </c>
      <c r="D407" s="4" t="s">
        <v>86</v>
      </c>
      <c r="E407" s="3" t="s">
        <v>91</v>
      </c>
      <c r="F407" s="3" t="s">
        <v>89</v>
      </c>
      <c r="G407">
        <v>75</v>
      </c>
      <c r="H407" s="4">
        <v>100</v>
      </c>
      <c r="I407" s="4">
        <v>120</v>
      </c>
      <c r="J407" s="4" t="s">
        <v>8</v>
      </c>
      <c r="K407" s="4" t="s">
        <v>7</v>
      </c>
      <c r="L407" s="11"/>
      <c r="M407" s="3"/>
      <c r="N407"/>
      <c r="O407" s="4"/>
      <c r="P407" s="1"/>
      <c r="Q407" s="22"/>
      <c r="R407" t="s">
        <v>92</v>
      </c>
      <c r="S407" s="11"/>
      <c r="T407" t="s">
        <v>1603</v>
      </c>
      <c r="U407"/>
      <c r="V407" s="1"/>
      <c r="W407" s="1"/>
    </row>
    <row r="408" spans="2:23" x14ac:dyDescent="0.35">
      <c r="B408" s="4">
        <v>20019920</v>
      </c>
      <c r="C408" s="1" t="s">
        <v>279</v>
      </c>
      <c r="D408" s="4" t="s">
        <v>86</v>
      </c>
      <c r="E408" s="3"/>
      <c r="F408" s="3" t="s">
        <v>89</v>
      </c>
      <c r="G408">
        <v>150</v>
      </c>
      <c r="H408" s="4">
        <v>300</v>
      </c>
      <c r="I408" s="4">
        <v>415</v>
      </c>
      <c r="J408" s="4" t="s">
        <v>8</v>
      </c>
      <c r="K408" s="4" t="s">
        <v>7</v>
      </c>
      <c r="L408" s="11"/>
      <c r="M408" s="3"/>
      <c r="N408"/>
      <c r="O408" s="4"/>
      <c r="P408" s="1"/>
      <c r="Q408" s="22"/>
      <c r="R408" t="s">
        <v>113</v>
      </c>
      <c r="S408" s="11"/>
      <c r="T408" t="s">
        <v>1603</v>
      </c>
      <c r="U408"/>
      <c r="V408" s="1"/>
      <c r="W408" s="1"/>
    </row>
    <row r="409" spans="2:23" x14ac:dyDescent="0.35">
      <c r="B409" s="4">
        <v>20019671</v>
      </c>
      <c r="C409" s="1" t="s">
        <v>1484</v>
      </c>
      <c r="D409" s="4" t="s">
        <v>86</v>
      </c>
      <c r="E409" s="3"/>
      <c r="F409" s="3" t="s">
        <v>68</v>
      </c>
      <c r="G409">
        <v>5</v>
      </c>
      <c r="H409" s="4">
        <v>20</v>
      </c>
      <c r="I409" s="4">
        <v>20</v>
      </c>
      <c r="J409" s="4" t="s">
        <v>23</v>
      </c>
      <c r="K409" s="4" t="s">
        <v>7</v>
      </c>
      <c r="L409" s="11"/>
      <c r="M409" s="3"/>
      <c r="N409"/>
      <c r="O409" s="4"/>
      <c r="P409" s="1"/>
      <c r="Q409" s="22"/>
      <c r="R409"/>
      <c r="S409" s="11"/>
      <c r="T409" t="s">
        <v>1602</v>
      </c>
      <c r="U409"/>
      <c r="V409" s="1"/>
      <c r="W409" s="1"/>
    </row>
    <row r="410" spans="2:23" x14ac:dyDescent="0.35">
      <c r="B410" s="4">
        <v>20019970</v>
      </c>
      <c r="C410" s="1" t="s">
        <v>283</v>
      </c>
      <c r="D410" s="4" t="s">
        <v>86</v>
      </c>
      <c r="E410" s="3" t="s">
        <v>91</v>
      </c>
      <c r="F410" s="3" t="s">
        <v>89</v>
      </c>
      <c r="G410">
        <v>40</v>
      </c>
      <c r="H410" s="4">
        <v>40</v>
      </c>
      <c r="I410" s="4">
        <v>77</v>
      </c>
      <c r="J410" s="4" t="s">
        <v>8</v>
      </c>
      <c r="K410" s="4" t="s">
        <v>7</v>
      </c>
      <c r="L410" s="11"/>
      <c r="M410" s="3"/>
      <c r="N410"/>
      <c r="O410" s="4"/>
      <c r="P410" s="1"/>
      <c r="Q410" s="22"/>
      <c r="R410" t="s">
        <v>92</v>
      </c>
      <c r="S410" s="11"/>
      <c r="T410" t="s">
        <v>1603</v>
      </c>
      <c r="U410"/>
      <c r="V410" s="1"/>
      <c r="W410" s="1"/>
    </row>
    <row r="411" spans="2:23" x14ac:dyDescent="0.35">
      <c r="B411" s="4">
        <v>20019971</v>
      </c>
      <c r="C411" s="1" t="s">
        <v>284</v>
      </c>
      <c r="D411" s="4" t="s">
        <v>86</v>
      </c>
      <c r="E411" s="3" t="s">
        <v>91</v>
      </c>
      <c r="F411" s="3" t="s">
        <v>89</v>
      </c>
      <c r="G411">
        <v>100</v>
      </c>
      <c r="H411" s="4">
        <v>200</v>
      </c>
      <c r="I411" s="4">
        <v>75</v>
      </c>
      <c r="J411" s="4" t="s">
        <v>8</v>
      </c>
      <c r="K411" s="4" t="s">
        <v>9</v>
      </c>
      <c r="L411" s="11"/>
      <c r="M411" s="3"/>
      <c r="N411">
        <v>4502709536</v>
      </c>
      <c r="O411" s="4">
        <v>200</v>
      </c>
      <c r="P411" s="1" t="s">
        <v>1510</v>
      </c>
      <c r="Q411" s="22">
        <v>46266</v>
      </c>
      <c r="R411" t="s">
        <v>92</v>
      </c>
      <c r="S411" s="11"/>
      <c r="T411" t="s">
        <v>1603</v>
      </c>
      <c r="U411"/>
      <c r="V411" s="1"/>
      <c r="W411" s="1"/>
    </row>
    <row r="412" spans="2:23" x14ac:dyDescent="0.35">
      <c r="B412" s="4">
        <v>20019974</v>
      </c>
      <c r="C412" s="1" t="s">
        <v>285</v>
      </c>
      <c r="D412" s="4" t="s">
        <v>86</v>
      </c>
      <c r="E412" s="3" t="s">
        <v>91</v>
      </c>
      <c r="F412" s="3" t="s">
        <v>89</v>
      </c>
      <c r="G412">
        <v>11</v>
      </c>
      <c r="H412" s="4">
        <v>20</v>
      </c>
      <c r="I412" s="4">
        <v>50</v>
      </c>
      <c r="J412" s="4" t="s">
        <v>8</v>
      </c>
      <c r="K412" s="4" t="s">
        <v>14</v>
      </c>
      <c r="L412" s="11"/>
      <c r="M412" s="3"/>
      <c r="N412"/>
      <c r="O412" s="4"/>
      <c r="P412" s="1"/>
      <c r="Q412" s="22"/>
      <c r="R412" t="s">
        <v>92</v>
      </c>
      <c r="S412" s="11"/>
      <c r="T412" t="s">
        <v>1603</v>
      </c>
      <c r="U412"/>
      <c r="V412" s="1"/>
      <c r="W412" s="1"/>
    </row>
    <row r="413" spans="2:23" x14ac:dyDescent="0.35">
      <c r="B413" s="4">
        <v>20020007</v>
      </c>
      <c r="C413" s="1" t="s">
        <v>17</v>
      </c>
      <c r="D413" s="4" t="s">
        <v>86</v>
      </c>
      <c r="E413" s="3"/>
      <c r="F413" s="3" t="s">
        <v>89</v>
      </c>
      <c r="G413">
        <v>30</v>
      </c>
      <c r="H413" s="4">
        <v>40</v>
      </c>
      <c r="I413" s="4">
        <v>41</v>
      </c>
      <c r="J413" s="4" t="s">
        <v>8</v>
      </c>
      <c r="K413" s="4" t="s">
        <v>7</v>
      </c>
      <c r="L413" s="11"/>
      <c r="M413" s="3"/>
      <c r="N413"/>
      <c r="O413" s="4"/>
      <c r="P413" s="1"/>
      <c r="Q413" s="22"/>
      <c r="R413" t="s">
        <v>113</v>
      </c>
      <c r="S413" s="11"/>
      <c r="T413" t="s">
        <v>69</v>
      </c>
      <c r="U413"/>
      <c r="V413" s="1"/>
      <c r="W413" s="1"/>
    </row>
    <row r="414" spans="2:23" x14ac:dyDescent="0.35">
      <c r="B414" s="4">
        <v>20020070</v>
      </c>
      <c r="C414" s="1" t="s">
        <v>286</v>
      </c>
      <c r="D414" s="4" t="s">
        <v>86</v>
      </c>
      <c r="E414" s="3"/>
      <c r="F414" s="3" t="s">
        <v>89</v>
      </c>
      <c r="G414">
        <v>5</v>
      </c>
      <c r="H414" s="4">
        <v>5</v>
      </c>
      <c r="I414" s="4">
        <v>7</v>
      </c>
      <c r="J414" s="4" t="s">
        <v>21</v>
      </c>
      <c r="K414" s="4" t="s">
        <v>7</v>
      </c>
      <c r="L414" s="11"/>
      <c r="M414" s="3"/>
      <c r="N414"/>
      <c r="O414" s="4"/>
      <c r="P414" s="1"/>
      <c r="Q414" s="22"/>
      <c r="R414" t="s">
        <v>113</v>
      </c>
      <c r="S414" s="11"/>
      <c r="T414" t="s">
        <v>69</v>
      </c>
      <c r="U414"/>
      <c r="V414" s="1"/>
      <c r="W414" s="1"/>
    </row>
    <row r="415" spans="2:23" x14ac:dyDescent="0.35">
      <c r="B415" s="4">
        <v>20020071</v>
      </c>
      <c r="C415" s="1" t="s">
        <v>287</v>
      </c>
      <c r="D415" s="4" t="s">
        <v>86</v>
      </c>
      <c r="E415" s="3"/>
      <c r="F415" s="3" t="s">
        <v>89</v>
      </c>
      <c r="G415">
        <v>5</v>
      </c>
      <c r="H415" s="4">
        <v>5</v>
      </c>
      <c r="I415" s="4">
        <v>8</v>
      </c>
      <c r="J415" s="4" t="s">
        <v>21</v>
      </c>
      <c r="K415" s="4" t="s">
        <v>7</v>
      </c>
      <c r="L415" s="11"/>
      <c r="M415" s="3"/>
      <c r="N415"/>
      <c r="O415" s="4"/>
      <c r="P415" s="1"/>
      <c r="Q415" s="22"/>
      <c r="R415" t="s">
        <v>113</v>
      </c>
      <c r="S415" s="11"/>
      <c r="T415" t="s">
        <v>69</v>
      </c>
      <c r="U415"/>
      <c r="V415" s="1"/>
      <c r="W415" s="1"/>
    </row>
    <row r="416" spans="2:23" x14ac:dyDescent="0.35">
      <c r="B416" s="4">
        <v>20020075</v>
      </c>
      <c r="C416" s="1" t="s">
        <v>72</v>
      </c>
      <c r="D416" s="4" t="s">
        <v>86</v>
      </c>
      <c r="E416" s="3"/>
      <c r="F416" s="3" t="s">
        <v>89</v>
      </c>
      <c r="G416">
        <v>300</v>
      </c>
      <c r="H416" s="4">
        <v>400</v>
      </c>
      <c r="I416" s="4">
        <v>594</v>
      </c>
      <c r="J416" s="4" t="s">
        <v>21</v>
      </c>
      <c r="K416" s="4" t="s">
        <v>7</v>
      </c>
      <c r="L416" s="11"/>
      <c r="M416" s="3"/>
      <c r="N416"/>
      <c r="O416" s="4"/>
      <c r="P416" s="1"/>
      <c r="Q416" s="22"/>
      <c r="R416" t="s">
        <v>113</v>
      </c>
      <c r="S416" s="11"/>
      <c r="T416" t="s">
        <v>69</v>
      </c>
      <c r="U416"/>
      <c r="V416" s="1"/>
      <c r="W416" s="1"/>
    </row>
    <row r="417" spans="2:23" x14ac:dyDescent="0.35">
      <c r="B417" s="4">
        <v>20020076</v>
      </c>
      <c r="C417" s="1" t="s">
        <v>288</v>
      </c>
      <c r="D417" s="4" t="s">
        <v>86</v>
      </c>
      <c r="E417" s="3"/>
      <c r="F417" s="3" t="s">
        <v>89</v>
      </c>
      <c r="G417">
        <v>40</v>
      </c>
      <c r="H417" s="4">
        <v>100</v>
      </c>
      <c r="I417" s="4">
        <v>63</v>
      </c>
      <c r="J417" s="4" t="s">
        <v>21</v>
      </c>
      <c r="K417" s="4" t="s">
        <v>7</v>
      </c>
      <c r="L417" s="11"/>
      <c r="M417" s="3"/>
      <c r="N417"/>
      <c r="O417" s="4"/>
      <c r="P417" s="1"/>
      <c r="Q417" s="22"/>
      <c r="R417" t="s">
        <v>113</v>
      </c>
      <c r="S417" s="11"/>
      <c r="T417" t="s">
        <v>69</v>
      </c>
      <c r="U417"/>
      <c r="V417" s="1"/>
      <c r="W417" s="1"/>
    </row>
    <row r="418" spans="2:23" x14ac:dyDescent="0.35">
      <c r="B418" s="4">
        <v>20020077</v>
      </c>
      <c r="C418" s="1" t="s">
        <v>289</v>
      </c>
      <c r="D418" s="4" t="s">
        <v>86</v>
      </c>
      <c r="E418" s="3"/>
      <c r="F418" s="3" t="s">
        <v>89</v>
      </c>
      <c r="G418">
        <v>2</v>
      </c>
      <c r="H418" s="4">
        <v>5</v>
      </c>
      <c r="I418" s="4">
        <v>2</v>
      </c>
      <c r="J418" s="4" t="s">
        <v>21</v>
      </c>
      <c r="K418" s="4" t="s">
        <v>7</v>
      </c>
      <c r="L418" s="11"/>
      <c r="M418" s="3"/>
      <c r="N418"/>
      <c r="O418" s="4"/>
      <c r="P418" s="1"/>
      <c r="Q418" s="22"/>
      <c r="R418" t="s">
        <v>113</v>
      </c>
      <c r="S418" s="11"/>
      <c r="T418" t="s">
        <v>69</v>
      </c>
      <c r="U418"/>
      <c r="V418" s="1"/>
      <c r="W418" s="1"/>
    </row>
    <row r="419" spans="2:23" x14ac:dyDescent="0.35">
      <c r="B419" s="4">
        <v>20019787</v>
      </c>
      <c r="C419" s="1" t="s">
        <v>1375</v>
      </c>
      <c r="D419" s="4" t="s">
        <v>86</v>
      </c>
      <c r="E419" s="3"/>
      <c r="F419" s="3" t="s">
        <v>68</v>
      </c>
      <c r="G419">
        <v>1</v>
      </c>
      <c r="H419" s="4">
        <v>1</v>
      </c>
      <c r="I419" s="4">
        <v>1</v>
      </c>
      <c r="J419" s="4" t="s">
        <v>8</v>
      </c>
      <c r="K419" s="4" t="s">
        <v>7</v>
      </c>
      <c r="L419" s="11"/>
      <c r="M419" s="3"/>
      <c r="N419"/>
      <c r="O419" s="4"/>
      <c r="P419" s="1"/>
      <c r="Q419" s="22"/>
      <c r="R419"/>
      <c r="S419" s="11"/>
      <c r="T419" t="s">
        <v>1602</v>
      </c>
      <c r="U419"/>
      <c r="V419" s="1"/>
      <c r="W419" s="1"/>
    </row>
    <row r="420" spans="2:23" x14ac:dyDescent="0.35">
      <c r="B420" s="4">
        <v>20020078</v>
      </c>
      <c r="C420" s="1" t="s">
        <v>290</v>
      </c>
      <c r="D420" s="4" t="s">
        <v>86</v>
      </c>
      <c r="E420" s="3"/>
      <c r="F420" s="3" t="s">
        <v>89</v>
      </c>
      <c r="G420">
        <v>4</v>
      </c>
      <c r="H420" s="4">
        <v>6</v>
      </c>
      <c r="I420" s="4">
        <v>6</v>
      </c>
      <c r="J420" s="4" t="s">
        <v>21</v>
      </c>
      <c r="K420" s="4" t="s">
        <v>7</v>
      </c>
      <c r="L420" s="11"/>
      <c r="M420" s="3"/>
      <c r="N420"/>
      <c r="O420" s="4"/>
      <c r="P420" s="1"/>
      <c r="Q420" s="22"/>
      <c r="R420" t="s">
        <v>113</v>
      </c>
      <c r="S420" s="11"/>
      <c r="T420" t="s">
        <v>69</v>
      </c>
      <c r="U420"/>
      <c r="V420" s="1"/>
      <c r="W420" s="1"/>
    </row>
    <row r="421" spans="2:23" x14ac:dyDescent="0.35">
      <c r="B421" s="4">
        <v>20020079</v>
      </c>
      <c r="C421" s="1" t="s">
        <v>291</v>
      </c>
      <c r="D421" s="4" t="s">
        <v>86</v>
      </c>
      <c r="E421" s="3"/>
      <c r="F421" s="3" t="s">
        <v>89</v>
      </c>
      <c r="G421">
        <v>8</v>
      </c>
      <c r="H421" s="4">
        <v>10</v>
      </c>
      <c r="I421" s="4">
        <v>7</v>
      </c>
      <c r="J421" s="4" t="s">
        <v>21</v>
      </c>
      <c r="K421" s="4" t="s">
        <v>9</v>
      </c>
      <c r="L421" s="11">
        <v>1002716957</v>
      </c>
      <c r="M421" s="3">
        <v>10</v>
      </c>
      <c r="N421"/>
      <c r="O421" s="4"/>
      <c r="P421" s="1"/>
      <c r="Q421" s="22"/>
      <c r="R421" t="s">
        <v>113</v>
      </c>
      <c r="S421" s="11"/>
      <c r="T421" t="s">
        <v>69</v>
      </c>
      <c r="U421"/>
      <c r="V421" s="1"/>
      <c r="W421" s="1"/>
    </row>
    <row r="422" spans="2:23" x14ac:dyDescent="0.35">
      <c r="B422" s="4">
        <v>20020080</v>
      </c>
      <c r="C422" s="1" t="s">
        <v>292</v>
      </c>
      <c r="D422" s="4" t="s">
        <v>86</v>
      </c>
      <c r="E422" s="3"/>
      <c r="F422" s="3" t="s">
        <v>89</v>
      </c>
      <c r="G422">
        <v>60</v>
      </c>
      <c r="H422" s="4">
        <v>200</v>
      </c>
      <c r="I422" s="4">
        <v>105</v>
      </c>
      <c r="J422" s="4" t="s">
        <v>21</v>
      </c>
      <c r="K422" s="4" t="s">
        <v>7</v>
      </c>
      <c r="L422" s="11"/>
      <c r="M422" s="3"/>
      <c r="N422"/>
      <c r="O422" s="4"/>
      <c r="P422" s="1"/>
      <c r="Q422" s="22"/>
      <c r="R422" t="s">
        <v>113</v>
      </c>
      <c r="S422" s="11"/>
      <c r="T422" t="s">
        <v>69</v>
      </c>
      <c r="U422"/>
      <c r="V422" s="1"/>
      <c r="W422" s="1"/>
    </row>
    <row r="423" spans="2:23" x14ac:dyDescent="0.35">
      <c r="B423" s="4">
        <v>20020119</v>
      </c>
      <c r="C423" s="1" t="s">
        <v>295</v>
      </c>
      <c r="D423" s="4" t="s">
        <v>86</v>
      </c>
      <c r="E423" s="3" t="s">
        <v>87</v>
      </c>
      <c r="F423" s="3" t="s">
        <v>89</v>
      </c>
      <c r="G423">
        <v>41</v>
      </c>
      <c r="H423" s="4">
        <v>68</v>
      </c>
      <c r="I423" s="4">
        <v>104</v>
      </c>
      <c r="J423" s="4" t="s">
        <v>8</v>
      </c>
      <c r="K423" s="4" t="s">
        <v>7</v>
      </c>
      <c r="L423" s="11"/>
      <c r="M423" s="3"/>
      <c r="N423"/>
      <c r="O423" s="4"/>
      <c r="P423" s="1"/>
      <c r="Q423" s="22"/>
      <c r="R423" t="s">
        <v>88</v>
      </c>
      <c r="S423" s="11"/>
      <c r="T423" t="s">
        <v>66</v>
      </c>
      <c r="U423"/>
      <c r="V423" s="1"/>
      <c r="W423" s="1"/>
    </row>
    <row r="424" spans="2:23" x14ac:dyDescent="0.35">
      <c r="B424" s="4">
        <v>20020122</v>
      </c>
      <c r="C424" s="1" t="s">
        <v>296</v>
      </c>
      <c r="D424" s="4" t="s">
        <v>86</v>
      </c>
      <c r="E424" s="3"/>
      <c r="F424" s="3" t="s">
        <v>89</v>
      </c>
      <c r="G424">
        <v>10</v>
      </c>
      <c r="H424" s="4">
        <v>15</v>
      </c>
      <c r="I424" s="4">
        <v>14</v>
      </c>
      <c r="J424" s="4" t="s">
        <v>21</v>
      </c>
      <c r="K424" s="4" t="s">
        <v>7</v>
      </c>
      <c r="L424" s="11"/>
      <c r="M424" s="3"/>
      <c r="N424"/>
      <c r="O424" s="4"/>
      <c r="P424" s="1"/>
      <c r="Q424" s="22"/>
      <c r="R424" t="s">
        <v>113</v>
      </c>
      <c r="S424" s="11"/>
      <c r="T424" t="s">
        <v>69</v>
      </c>
      <c r="U424"/>
      <c r="V424" s="1"/>
      <c r="W424" s="1"/>
    </row>
    <row r="425" spans="2:23" x14ac:dyDescent="0.35">
      <c r="B425" s="4">
        <v>20020124</v>
      </c>
      <c r="C425" s="1" t="s">
        <v>298</v>
      </c>
      <c r="D425" s="4" t="s">
        <v>86</v>
      </c>
      <c r="E425" s="3"/>
      <c r="F425" s="3" t="s">
        <v>89</v>
      </c>
      <c r="G425">
        <v>10</v>
      </c>
      <c r="H425" s="4">
        <v>17</v>
      </c>
      <c r="I425" s="4">
        <v>28</v>
      </c>
      <c r="J425" s="4" t="s">
        <v>21</v>
      </c>
      <c r="K425" s="4" t="s">
        <v>14</v>
      </c>
      <c r="L425" s="11"/>
      <c r="M425" s="3"/>
      <c r="N425"/>
      <c r="O425" s="4"/>
      <c r="P425" s="1"/>
      <c r="Q425" s="22"/>
      <c r="R425" t="s">
        <v>113</v>
      </c>
      <c r="S425" s="11"/>
      <c r="T425" t="s">
        <v>69</v>
      </c>
      <c r="U425"/>
      <c r="V425" s="1"/>
      <c r="W425" s="1"/>
    </row>
    <row r="426" spans="2:23" x14ac:dyDescent="0.35">
      <c r="B426" s="4">
        <v>20020125</v>
      </c>
      <c r="C426" s="1" t="s">
        <v>299</v>
      </c>
      <c r="D426" s="4" t="s">
        <v>86</v>
      </c>
      <c r="E426" s="3"/>
      <c r="F426" s="3" t="s">
        <v>89</v>
      </c>
      <c r="G426">
        <v>5</v>
      </c>
      <c r="H426" s="4">
        <v>8</v>
      </c>
      <c r="I426" s="4">
        <v>6</v>
      </c>
      <c r="J426" s="4" t="s">
        <v>21</v>
      </c>
      <c r="K426" s="4" t="s">
        <v>7</v>
      </c>
      <c r="L426" s="11"/>
      <c r="M426" s="3"/>
      <c r="N426"/>
      <c r="O426" s="4"/>
      <c r="P426" s="1"/>
      <c r="Q426" s="22"/>
      <c r="R426" t="s">
        <v>113</v>
      </c>
      <c r="S426" s="11"/>
      <c r="T426" t="s">
        <v>69</v>
      </c>
      <c r="U426"/>
      <c r="V426" s="1"/>
      <c r="W426" s="1"/>
    </row>
    <row r="427" spans="2:23" x14ac:dyDescent="0.35">
      <c r="B427" s="4">
        <v>20020126</v>
      </c>
      <c r="C427" s="1" t="s">
        <v>300</v>
      </c>
      <c r="D427" s="4" t="s">
        <v>86</v>
      </c>
      <c r="E427" s="3"/>
      <c r="F427" s="3" t="s">
        <v>89</v>
      </c>
      <c r="G427">
        <v>3</v>
      </c>
      <c r="H427" s="4">
        <v>4</v>
      </c>
      <c r="I427" s="4">
        <v>2</v>
      </c>
      <c r="J427" s="4" t="s">
        <v>21</v>
      </c>
      <c r="K427" s="4" t="s">
        <v>9</v>
      </c>
      <c r="L427" s="11">
        <v>1002711004</v>
      </c>
      <c r="M427" s="3"/>
      <c r="N427">
        <v>4502714700</v>
      </c>
      <c r="O427" s="4">
        <v>5</v>
      </c>
      <c r="P427" s="1" t="s">
        <v>22</v>
      </c>
      <c r="Q427" s="22">
        <v>46275</v>
      </c>
      <c r="R427" t="s">
        <v>113</v>
      </c>
      <c r="S427" s="11"/>
      <c r="T427" t="s">
        <v>69</v>
      </c>
      <c r="U427"/>
      <c r="V427" s="1"/>
      <c r="W427" s="1"/>
    </row>
    <row r="428" spans="2:23" x14ac:dyDescent="0.35">
      <c r="B428" s="4">
        <v>20020152</v>
      </c>
      <c r="C428" s="1" t="s">
        <v>18</v>
      </c>
      <c r="D428" s="4" t="s">
        <v>86</v>
      </c>
      <c r="E428" s="3"/>
      <c r="F428" s="3" t="s">
        <v>89</v>
      </c>
      <c r="G428">
        <v>70</v>
      </c>
      <c r="H428" s="4">
        <v>125</v>
      </c>
      <c r="I428" s="4">
        <v>179</v>
      </c>
      <c r="J428" s="4" t="s">
        <v>10</v>
      </c>
      <c r="K428" s="4" t="s">
        <v>7</v>
      </c>
      <c r="L428" s="11"/>
      <c r="M428" s="3"/>
      <c r="N428"/>
      <c r="O428" s="4"/>
      <c r="P428" s="1"/>
      <c r="Q428" s="22"/>
      <c r="R428" t="s">
        <v>113</v>
      </c>
      <c r="S428" s="11"/>
      <c r="T428" t="s">
        <v>69</v>
      </c>
      <c r="U428"/>
      <c r="V428" s="1"/>
      <c r="W428" s="1"/>
    </row>
    <row r="429" spans="2:23" x14ac:dyDescent="0.35">
      <c r="B429" s="4">
        <v>20019922</v>
      </c>
      <c r="C429" s="1" t="s">
        <v>1341</v>
      </c>
      <c r="D429" s="4" t="s">
        <v>86</v>
      </c>
      <c r="E429" s="3"/>
      <c r="F429" s="3" t="s">
        <v>68</v>
      </c>
      <c r="G429">
        <v>20</v>
      </c>
      <c r="H429" s="4">
        <v>40</v>
      </c>
      <c r="I429" s="4">
        <v>110</v>
      </c>
      <c r="J429" s="4" t="s">
        <v>25</v>
      </c>
      <c r="K429" s="4" t="s">
        <v>14</v>
      </c>
      <c r="L429" s="11"/>
      <c r="M429" s="3"/>
      <c r="N429"/>
      <c r="O429" s="4"/>
      <c r="P429" s="1"/>
      <c r="Q429" s="22"/>
      <c r="R429"/>
      <c r="S429" s="11"/>
      <c r="T429" t="s">
        <v>1603</v>
      </c>
      <c r="U429"/>
      <c r="V429" s="1"/>
      <c r="W429" s="1"/>
    </row>
    <row r="430" spans="2:23" x14ac:dyDescent="0.35">
      <c r="B430" s="4">
        <v>20020153</v>
      </c>
      <c r="C430" s="1" t="s">
        <v>39</v>
      </c>
      <c r="D430" s="4" t="s">
        <v>86</v>
      </c>
      <c r="E430" s="3"/>
      <c r="F430" s="3" t="s">
        <v>89</v>
      </c>
      <c r="G430">
        <v>25</v>
      </c>
      <c r="H430" s="4">
        <v>50</v>
      </c>
      <c r="I430" s="4">
        <v>88</v>
      </c>
      <c r="J430" s="4" t="s">
        <v>10</v>
      </c>
      <c r="K430" s="4" t="s">
        <v>14</v>
      </c>
      <c r="L430" s="11"/>
      <c r="M430" s="3"/>
      <c r="N430"/>
      <c r="O430" s="4"/>
      <c r="P430" s="1"/>
      <c r="Q430" s="22"/>
      <c r="R430" t="s">
        <v>113</v>
      </c>
      <c r="S430" s="11"/>
      <c r="T430" t="s">
        <v>69</v>
      </c>
      <c r="U430"/>
      <c r="V430" s="1"/>
      <c r="W430" s="1"/>
    </row>
    <row r="431" spans="2:23" x14ac:dyDescent="0.35">
      <c r="B431" s="4">
        <v>20019923</v>
      </c>
      <c r="C431" s="1" t="s">
        <v>1259</v>
      </c>
      <c r="D431" s="4" t="s">
        <v>86</v>
      </c>
      <c r="E431" s="3"/>
      <c r="F431" s="3" t="s">
        <v>68</v>
      </c>
      <c r="G431">
        <v>20</v>
      </c>
      <c r="H431" s="4">
        <v>20</v>
      </c>
      <c r="I431" s="4">
        <v>30</v>
      </c>
      <c r="J431" s="4" t="s">
        <v>8</v>
      </c>
      <c r="K431" s="4" t="s">
        <v>7</v>
      </c>
      <c r="L431" s="11"/>
      <c r="M431" s="3"/>
      <c r="N431"/>
      <c r="O431" s="4"/>
      <c r="P431" s="1"/>
      <c r="Q431" s="22"/>
      <c r="R431"/>
      <c r="S431" s="11"/>
      <c r="T431" t="s">
        <v>1603</v>
      </c>
      <c r="U431"/>
      <c r="V431" s="1"/>
      <c r="W431" s="1"/>
    </row>
    <row r="432" spans="2:23" x14ac:dyDescent="0.35">
      <c r="B432" s="4">
        <v>20020154</v>
      </c>
      <c r="C432" s="1" t="s">
        <v>19</v>
      </c>
      <c r="D432" s="4" t="s">
        <v>86</v>
      </c>
      <c r="E432" s="3"/>
      <c r="F432" s="3" t="s">
        <v>89</v>
      </c>
      <c r="G432">
        <v>50</v>
      </c>
      <c r="H432" s="4">
        <v>100</v>
      </c>
      <c r="I432" s="4">
        <v>113</v>
      </c>
      <c r="J432" s="4" t="s">
        <v>10</v>
      </c>
      <c r="K432" s="4" t="s">
        <v>7</v>
      </c>
      <c r="L432" s="11"/>
      <c r="M432" s="3"/>
      <c r="N432"/>
      <c r="O432" s="4"/>
      <c r="P432" s="1"/>
      <c r="Q432" s="22"/>
      <c r="R432" t="s">
        <v>113</v>
      </c>
      <c r="S432" s="11"/>
      <c r="T432" t="s">
        <v>69</v>
      </c>
      <c r="U432"/>
      <c r="V432" s="1"/>
      <c r="W432" s="1"/>
    </row>
    <row r="433" spans="2:23" x14ac:dyDescent="0.35">
      <c r="B433" s="4">
        <v>20020181</v>
      </c>
      <c r="C433" s="1" t="s">
        <v>301</v>
      </c>
      <c r="D433" s="4" t="s">
        <v>86</v>
      </c>
      <c r="E433" s="3" t="s">
        <v>87</v>
      </c>
      <c r="F433" s="3" t="s">
        <v>89</v>
      </c>
      <c r="G433">
        <v>1</v>
      </c>
      <c r="H433" s="4">
        <v>1</v>
      </c>
      <c r="I433" s="4">
        <v>2</v>
      </c>
      <c r="J433" s="4" t="s">
        <v>8</v>
      </c>
      <c r="K433" s="4" t="s">
        <v>7</v>
      </c>
      <c r="L433" s="11"/>
      <c r="M433" s="3"/>
      <c r="N433"/>
      <c r="O433" s="4"/>
      <c r="P433" s="1"/>
      <c r="Q433" s="22"/>
      <c r="R433" t="s">
        <v>88</v>
      </c>
      <c r="S433" s="11"/>
      <c r="T433" t="s">
        <v>70</v>
      </c>
      <c r="U433"/>
      <c r="V433" s="1"/>
      <c r="W433" s="1"/>
    </row>
    <row r="434" spans="2:23" x14ac:dyDescent="0.35">
      <c r="B434" s="4">
        <v>20020182</v>
      </c>
      <c r="C434" s="1" t="s">
        <v>302</v>
      </c>
      <c r="D434" s="4" t="s">
        <v>86</v>
      </c>
      <c r="E434" s="3" t="s">
        <v>87</v>
      </c>
      <c r="F434" s="3" t="s">
        <v>89</v>
      </c>
      <c r="G434">
        <v>2</v>
      </c>
      <c r="H434" s="4">
        <v>4</v>
      </c>
      <c r="I434" s="4">
        <v>4</v>
      </c>
      <c r="J434" s="4" t="s">
        <v>8</v>
      </c>
      <c r="K434" s="4" t="s">
        <v>7</v>
      </c>
      <c r="L434" s="11"/>
      <c r="M434" s="3"/>
      <c r="N434"/>
      <c r="O434" s="4"/>
      <c r="P434" s="1"/>
      <c r="Q434" s="22"/>
      <c r="R434" t="s">
        <v>88</v>
      </c>
      <c r="S434" s="11"/>
      <c r="T434" t="s">
        <v>70</v>
      </c>
      <c r="U434"/>
      <c r="V434" s="1"/>
      <c r="W434" s="1"/>
    </row>
    <row r="435" spans="2:23" x14ac:dyDescent="0.35">
      <c r="B435" s="4">
        <v>20020191</v>
      </c>
      <c r="C435" s="1" t="s">
        <v>40</v>
      </c>
      <c r="D435" s="4" t="s">
        <v>86</v>
      </c>
      <c r="E435" s="3"/>
      <c r="F435" s="3" t="s">
        <v>89</v>
      </c>
      <c r="G435">
        <v>100</v>
      </c>
      <c r="H435" s="4">
        <v>200</v>
      </c>
      <c r="I435" s="4">
        <v>300</v>
      </c>
      <c r="J435" s="4" t="s">
        <v>21</v>
      </c>
      <c r="K435" s="4" t="s">
        <v>7</v>
      </c>
      <c r="L435" s="11"/>
      <c r="M435" s="3"/>
      <c r="N435"/>
      <c r="O435" s="4"/>
      <c r="P435" s="1"/>
      <c r="Q435" s="22"/>
      <c r="R435" t="s">
        <v>113</v>
      </c>
      <c r="S435" s="11"/>
      <c r="T435" t="s">
        <v>69</v>
      </c>
      <c r="U435"/>
      <c r="V435" s="1"/>
      <c r="W435" s="1"/>
    </row>
    <row r="436" spans="2:23" x14ac:dyDescent="0.35">
      <c r="B436" s="4">
        <v>20020201</v>
      </c>
      <c r="C436" s="1" t="s">
        <v>41</v>
      </c>
      <c r="D436" s="4" t="s">
        <v>86</v>
      </c>
      <c r="E436" s="3"/>
      <c r="F436" s="3" t="s">
        <v>89</v>
      </c>
      <c r="G436">
        <v>501</v>
      </c>
      <c r="H436" s="4">
        <v>600</v>
      </c>
      <c r="I436" s="4">
        <v>686</v>
      </c>
      <c r="J436" s="4" t="s">
        <v>21</v>
      </c>
      <c r="K436" s="4" t="s">
        <v>7</v>
      </c>
      <c r="L436" s="11"/>
      <c r="M436" s="3"/>
      <c r="N436"/>
      <c r="O436" s="4"/>
      <c r="P436" s="1"/>
      <c r="Q436" s="22"/>
      <c r="R436" t="s">
        <v>113</v>
      </c>
      <c r="S436" s="11"/>
      <c r="T436" t="s">
        <v>69</v>
      </c>
      <c r="U436"/>
      <c r="V436" s="1"/>
      <c r="W436" s="1"/>
    </row>
    <row r="437" spans="2:23" x14ac:dyDescent="0.35">
      <c r="B437" s="4">
        <v>20020202</v>
      </c>
      <c r="C437" s="1" t="s">
        <v>42</v>
      </c>
      <c r="D437" s="4" t="s">
        <v>86</v>
      </c>
      <c r="E437" s="3"/>
      <c r="F437" s="3" t="s">
        <v>89</v>
      </c>
      <c r="G437">
        <v>550</v>
      </c>
      <c r="H437" s="4">
        <v>900</v>
      </c>
      <c r="I437" s="4">
        <v>1123</v>
      </c>
      <c r="J437" s="4" t="s">
        <v>21</v>
      </c>
      <c r="K437" s="4" t="s">
        <v>7</v>
      </c>
      <c r="L437" s="11"/>
      <c r="M437" s="3"/>
      <c r="N437"/>
      <c r="O437" s="4"/>
      <c r="P437" s="1"/>
      <c r="Q437" s="22"/>
      <c r="R437" t="s">
        <v>113</v>
      </c>
      <c r="S437" s="11"/>
      <c r="T437" t="s">
        <v>69</v>
      </c>
      <c r="U437"/>
      <c r="V437" s="1"/>
      <c r="W437" s="1"/>
    </row>
    <row r="438" spans="2:23" x14ac:dyDescent="0.35">
      <c r="B438" s="4">
        <v>20020203</v>
      </c>
      <c r="C438" s="1" t="s">
        <v>43</v>
      </c>
      <c r="D438" s="4" t="s">
        <v>86</v>
      </c>
      <c r="E438" s="3"/>
      <c r="F438" s="3" t="s">
        <v>89</v>
      </c>
      <c r="G438">
        <v>145</v>
      </c>
      <c r="H438" s="4">
        <v>288</v>
      </c>
      <c r="I438" s="4">
        <v>131</v>
      </c>
      <c r="J438" s="4" t="s">
        <v>21</v>
      </c>
      <c r="K438" s="4" t="s">
        <v>9</v>
      </c>
      <c r="L438" s="11">
        <v>1002716957</v>
      </c>
      <c r="M438" s="3">
        <v>300</v>
      </c>
      <c r="N438"/>
      <c r="O438" s="4"/>
      <c r="P438" s="1"/>
      <c r="Q438" s="22"/>
      <c r="R438" t="s">
        <v>113</v>
      </c>
      <c r="S438" s="11"/>
      <c r="T438" t="s">
        <v>69</v>
      </c>
      <c r="U438"/>
      <c r="V438" s="1"/>
      <c r="W438" s="1"/>
    </row>
    <row r="439" spans="2:23" x14ac:dyDescent="0.35">
      <c r="B439" s="4">
        <v>20020204</v>
      </c>
      <c r="C439" s="1" t="s">
        <v>303</v>
      </c>
      <c r="D439" s="4" t="s">
        <v>86</v>
      </c>
      <c r="E439" s="3"/>
      <c r="F439" s="3" t="s">
        <v>89</v>
      </c>
      <c r="G439">
        <v>5</v>
      </c>
      <c r="H439" s="4">
        <v>8</v>
      </c>
      <c r="I439" s="4">
        <v>7</v>
      </c>
      <c r="J439" s="4" t="s">
        <v>10</v>
      </c>
      <c r="K439" s="4" t="s">
        <v>7</v>
      </c>
      <c r="L439" s="11"/>
      <c r="M439" s="3"/>
      <c r="N439"/>
      <c r="O439" s="4"/>
      <c r="P439" s="1"/>
      <c r="Q439" s="22"/>
      <c r="R439" t="s">
        <v>113</v>
      </c>
      <c r="S439" s="11"/>
      <c r="T439" t="s">
        <v>69</v>
      </c>
      <c r="U439"/>
      <c r="V439" s="1"/>
      <c r="W439" s="1"/>
    </row>
    <row r="440" spans="2:23" x14ac:dyDescent="0.35">
      <c r="B440" s="4">
        <v>20020296</v>
      </c>
      <c r="C440" s="1" t="s">
        <v>304</v>
      </c>
      <c r="D440" s="4" t="s">
        <v>86</v>
      </c>
      <c r="E440" s="3" t="s">
        <v>91</v>
      </c>
      <c r="F440" s="3" t="s">
        <v>89</v>
      </c>
      <c r="G440">
        <v>10</v>
      </c>
      <c r="H440" s="4">
        <v>30</v>
      </c>
      <c r="I440" s="4">
        <v>15</v>
      </c>
      <c r="J440" s="4" t="s">
        <v>8</v>
      </c>
      <c r="K440" s="4" t="s">
        <v>7</v>
      </c>
      <c r="L440" s="11"/>
      <c r="M440" s="3"/>
      <c r="N440"/>
      <c r="O440" s="4"/>
      <c r="P440" s="1"/>
      <c r="Q440" s="22"/>
      <c r="R440" t="s">
        <v>92</v>
      </c>
      <c r="S440" s="11"/>
      <c r="T440" t="s">
        <v>1603</v>
      </c>
      <c r="U440"/>
      <c r="V440" s="1"/>
      <c r="W440" s="1"/>
    </row>
    <row r="441" spans="2:23" x14ac:dyDescent="0.35">
      <c r="B441" s="4">
        <v>20020326</v>
      </c>
      <c r="C441" s="1" t="s">
        <v>305</v>
      </c>
      <c r="D441" s="4" t="s">
        <v>86</v>
      </c>
      <c r="E441" s="3"/>
      <c r="F441" s="3" t="s">
        <v>89</v>
      </c>
      <c r="G441">
        <v>4</v>
      </c>
      <c r="H441" s="4">
        <v>6</v>
      </c>
      <c r="I441" s="4">
        <v>9</v>
      </c>
      <c r="J441" s="4" t="s">
        <v>8</v>
      </c>
      <c r="K441" s="4" t="s">
        <v>7</v>
      </c>
      <c r="L441" s="11"/>
      <c r="M441" s="3"/>
      <c r="N441"/>
      <c r="O441" s="4"/>
      <c r="P441" s="1"/>
      <c r="Q441" s="22"/>
      <c r="R441" t="s">
        <v>113</v>
      </c>
      <c r="S441" s="11"/>
      <c r="T441" t="s">
        <v>69</v>
      </c>
      <c r="U441"/>
      <c r="V441" s="1"/>
      <c r="W441" s="1"/>
    </row>
    <row r="442" spans="2:23" x14ac:dyDescent="0.35">
      <c r="B442" s="4">
        <v>20020331</v>
      </c>
      <c r="C442" s="1" t="s">
        <v>306</v>
      </c>
      <c r="D442" s="4" t="s">
        <v>86</v>
      </c>
      <c r="E442" s="3" t="s">
        <v>97</v>
      </c>
      <c r="F442" s="3" t="s">
        <v>89</v>
      </c>
      <c r="G442">
        <v>18</v>
      </c>
      <c r="H442" s="4">
        <v>29</v>
      </c>
      <c r="I442" s="4">
        <v>18</v>
      </c>
      <c r="J442" s="4" t="s">
        <v>8</v>
      </c>
      <c r="K442" s="4" t="s">
        <v>7</v>
      </c>
      <c r="L442" s="11"/>
      <c r="M442" s="3"/>
      <c r="N442"/>
      <c r="O442" s="4"/>
      <c r="P442" s="1"/>
      <c r="Q442" s="22"/>
      <c r="R442" t="s">
        <v>98</v>
      </c>
      <c r="S442" s="11"/>
      <c r="T442" t="s">
        <v>1603</v>
      </c>
      <c r="U442"/>
      <c r="V442" s="1"/>
      <c r="W442" s="1"/>
    </row>
    <row r="443" spans="2:23" x14ac:dyDescent="0.35">
      <c r="B443" s="4">
        <v>20020345</v>
      </c>
      <c r="C443" s="1" t="s">
        <v>307</v>
      </c>
      <c r="D443" s="4" t="s">
        <v>86</v>
      </c>
      <c r="E443" s="3"/>
      <c r="F443" s="3" t="s">
        <v>89</v>
      </c>
      <c r="G443">
        <v>20</v>
      </c>
      <c r="H443" s="4">
        <v>20</v>
      </c>
      <c r="I443" s="4">
        <v>71</v>
      </c>
      <c r="J443" s="4" t="s">
        <v>8</v>
      </c>
      <c r="K443" s="4" t="s">
        <v>14</v>
      </c>
      <c r="L443" s="11"/>
      <c r="M443" s="3"/>
      <c r="N443"/>
      <c r="O443" s="4"/>
      <c r="P443" s="1"/>
      <c r="Q443" s="22"/>
      <c r="R443" t="s">
        <v>113</v>
      </c>
      <c r="S443" s="11"/>
      <c r="T443" t="s">
        <v>66</v>
      </c>
      <c r="U443"/>
      <c r="V443" s="1"/>
      <c r="W443" s="1"/>
    </row>
    <row r="444" spans="2:23" x14ac:dyDescent="0.35">
      <c r="B444" s="4">
        <v>20020346</v>
      </c>
      <c r="C444" s="1" t="s">
        <v>20</v>
      </c>
      <c r="D444" s="4" t="s">
        <v>86</v>
      </c>
      <c r="E444" s="3" t="s">
        <v>115</v>
      </c>
      <c r="F444" s="3" t="s">
        <v>89</v>
      </c>
      <c r="G444">
        <v>5</v>
      </c>
      <c r="H444" s="4">
        <v>10</v>
      </c>
      <c r="I444" s="4">
        <v>8</v>
      </c>
      <c r="J444" s="4" t="s">
        <v>21</v>
      </c>
      <c r="K444" s="4" t="s">
        <v>7</v>
      </c>
      <c r="L444" s="11"/>
      <c r="M444" s="3"/>
      <c r="N444"/>
      <c r="O444" s="4"/>
      <c r="P444" s="1"/>
      <c r="Q444" s="22"/>
      <c r="R444" t="s">
        <v>116</v>
      </c>
      <c r="S444" s="11"/>
      <c r="T444" t="s">
        <v>69</v>
      </c>
      <c r="U444"/>
      <c r="V444" s="1"/>
      <c r="W444" s="1"/>
    </row>
    <row r="445" spans="2:23" x14ac:dyDescent="0.35">
      <c r="B445" s="4">
        <v>20020351</v>
      </c>
      <c r="C445" s="1" t="s">
        <v>1530</v>
      </c>
      <c r="D445" s="4" t="s">
        <v>86</v>
      </c>
      <c r="E445" s="3" t="s">
        <v>222</v>
      </c>
      <c r="F445" s="3" t="s">
        <v>89</v>
      </c>
      <c r="G445">
        <v>10</v>
      </c>
      <c r="H445" s="4">
        <v>10</v>
      </c>
      <c r="I445" s="4">
        <v>8</v>
      </c>
      <c r="J445" s="4" t="s">
        <v>8</v>
      </c>
      <c r="K445" s="4" t="s">
        <v>9</v>
      </c>
      <c r="L445" s="11"/>
      <c r="M445" s="3"/>
      <c r="N445">
        <v>4502709742</v>
      </c>
      <c r="O445" s="4">
        <v>10</v>
      </c>
      <c r="P445" s="1" t="s">
        <v>22</v>
      </c>
      <c r="Q445" s="22">
        <v>46262</v>
      </c>
      <c r="R445" t="s">
        <v>223</v>
      </c>
      <c r="S445" s="11"/>
      <c r="T445" t="s">
        <v>1603</v>
      </c>
      <c r="U445"/>
      <c r="V445" s="1"/>
      <c r="W445" s="1"/>
    </row>
    <row r="446" spans="2:23" x14ac:dyDescent="0.35">
      <c r="B446" s="4">
        <v>20020355</v>
      </c>
      <c r="C446" s="1" t="s">
        <v>308</v>
      </c>
      <c r="D446" s="4" t="s">
        <v>86</v>
      </c>
      <c r="E446" s="3"/>
      <c r="F446" s="3" t="s">
        <v>89</v>
      </c>
      <c r="G446">
        <v>8</v>
      </c>
      <c r="H446" s="4">
        <v>15</v>
      </c>
      <c r="I446" s="4">
        <v>21</v>
      </c>
      <c r="J446" s="4" t="s">
        <v>8</v>
      </c>
      <c r="K446" s="4" t="s">
        <v>7</v>
      </c>
      <c r="L446" s="11"/>
      <c r="M446" s="3"/>
      <c r="N446"/>
      <c r="O446" s="4"/>
      <c r="P446" s="1"/>
      <c r="Q446" s="22"/>
      <c r="R446" t="s">
        <v>113</v>
      </c>
      <c r="S446" s="11"/>
      <c r="T446" t="s">
        <v>1603</v>
      </c>
      <c r="U446"/>
      <c r="V446" s="1"/>
      <c r="W446" s="1"/>
    </row>
    <row r="447" spans="2:23" x14ac:dyDescent="0.35">
      <c r="B447" s="4">
        <v>20020417</v>
      </c>
      <c r="C447" s="1" t="s">
        <v>309</v>
      </c>
      <c r="D447" s="4" t="s">
        <v>86</v>
      </c>
      <c r="E447" s="3"/>
      <c r="F447" s="3" t="s">
        <v>89</v>
      </c>
      <c r="G447">
        <v>60</v>
      </c>
      <c r="H447" s="4">
        <v>100</v>
      </c>
      <c r="I447" s="4">
        <v>166</v>
      </c>
      <c r="J447" s="4" t="s">
        <v>8</v>
      </c>
      <c r="K447" s="4" t="s">
        <v>14</v>
      </c>
      <c r="L447" s="11"/>
      <c r="M447" s="3"/>
      <c r="N447"/>
      <c r="O447" s="4"/>
      <c r="P447" s="1"/>
      <c r="Q447" s="22"/>
      <c r="R447" t="s">
        <v>113</v>
      </c>
      <c r="S447" s="11"/>
      <c r="T447" t="s">
        <v>69</v>
      </c>
      <c r="U447"/>
      <c r="V447" s="1"/>
      <c r="W447" s="1"/>
    </row>
    <row r="448" spans="2:23" x14ac:dyDescent="0.35">
      <c r="B448" s="4">
        <v>20020503</v>
      </c>
      <c r="C448" s="1" t="s">
        <v>1385</v>
      </c>
      <c r="D448" s="4" t="s">
        <v>86</v>
      </c>
      <c r="E448" s="3" t="s">
        <v>91</v>
      </c>
      <c r="F448" s="3" t="s">
        <v>89</v>
      </c>
      <c r="G448">
        <v>5</v>
      </c>
      <c r="H448" s="4">
        <v>20</v>
      </c>
      <c r="I448" s="4">
        <v>20</v>
      </c>
      <c r="J448" s="4" t="s">
        <v>8</v>
      </c>
      <c r="K448" s="4" t="s">
        <v>7</v>
      </c>
      <c r="L448" s="11"/>
      <c r="M448" s="3"/>
      <c r="N448"/>
      <c r="O448" s="4"/>
      <c r="P448" s="1"/>
      <c r="Q448" s="22"/>
      <c r="R448" t="s">
        <v>92</v>
      </c>
      <c r="S448" s="11"/>
      <c r="T448" t="s">
        <v>1603</v>
      </c>
      <c r="U448"/>
      <c r="V448" s="1"/>
      <c r="W448" s="1"/>
    </row>
    <row r="449" spans="2:23" x14ac:dyDescent="0.35">
      <c r="B449" s="4">
        <v>20020532</v>
      </c>
      <c r="C449" s="1" t="s">
        <v>44</v>
      </c>
      <c r="D449" s="4" t="s">
        <v>86</v>
      </c>
      <c r="E449" s="3"/>
      <c r="F449" s="3" t="s">
        <v>89</v>
      </c>
      <c r="G449">
        <v>50</v>
      </c>
      <c r="H449" s="4">
        <v>50</v>
      </c>
      <c r="I449" s="4">
        <v>601</v>
      </c>
      <c r="J449" s="4" t="s">
        <v>8</v>
      </c>
      <c r="K449" s="4" t="s">
        <v>14</v>
      </c>
      <c r="L449" s="11"/>
      <c r="M449" s="3"/>
      <c r="N449"/>
      <c r="O449" s="4"/>
      <c r="P449" s="1"/>
      <c r="Q449" s="22"/>
      <c r="R449" t="s">
        <v>113</v>
      </c>
      <c r="S449" s="11"/>
      <c r="T449" t="s">
        <v>69</v>
      </c>
      <c r="U449"/>
      <c r="V449" s="1"/>
      <c r="W449" s="1"/>
    </row>
    <row r="450" spans="2:23" x14ac:dyDescent="0.35">
      <c r="B450" s="4">
        <v>20020567</v>
      </c>
      <c r="C450" s="1" t="s">
        <v>310</v>
      </c>
      <c r="D450" s="4" t="s">
        <v>86</v>
      </c>
      <c r="E450" s="3"/>
      <c r="F450" s="3" t="s">
        <v>89</v>
      </c>
      <c r="G450">
        <v>1</v>
      </c>
      <c r="H450" s="4">
        <v>1</v>
      </c>
      <c r="I450" s="4">
        <v>193</v>
      </c>
      <c r="J450" s="4" t="s">
        <v>8</v>
      </c>
      <c r="K450" s="4" t="s">
        <v>14</v>
      </c>
      <c r="L450" s="11"/>
      <c r="M450" s="3"/>
      <c r="N450"/>
      <c r="O450" s="4"/>
      <c r="P450" s="1"/>
      <c r="Q450" s="22"/>
      <c r="R450" t="s">
        <v>113</v>
      </c>
      <c r="S450" s="11"/>
      <c r="T450" t="s">
        <v>69</v>
      </c>
      <c r="U450"/>
      <c r="V450" s="1"/>
      <c r="W450" s="1"/>
    </row>
    <row r="451" spans="2:23" x14ac:dyDescent="0.35">
      <c r="B451" s="4">
        <v>20020170</v>
      </c>
      <c r="C451" s="1" t="s">
        <v>1223</v>
      </c>
      <c r="D451" s="4" t="s">
        <v>86</v>
      </c>
      <c r="E451" s="3"/>
      <c r="F451" s="3" t="s">
        <v>68</v>
      </c>
      <c r="G451">
        <v>30</v>
      </c>
      <c r="H451" s="4">
        <v>50</v>
      </c>
      <c r="I451" s="4">
        <v>48</v>
      </c>
      <c r="J451" s="4" t="s">
        <v>8</v>
      </c>
      <c r="K451" s="4" t="s">
        <v>7</v>
      </c>
      <c r="L451" s="11"/>
      <c r="M451" s="3"/>
      <c r="N451"/>
      <c r="O451" s="4"/>
      <c r="P451" s="1"/>
      <c r="Q451" s="22"/>
      <c r="R451"/>
      <c r="S451" s="11"/>
      <c r="T451" t="s">
        <v>1603</v>
      </c>
      <c r="U451"/>
      <c r="V451" s="1"/>
      <c r="W451" s="1"/>
    </row>
    <row r="452" spans="2:23" x14ac:dyDescent="0.35">
      <c r="B452" s="4">
        <v>20020663</v>
      </c>
      <c r="C452" s="1" t="s">
        <v>311</v>
      </c>
      <c r="D452" s="4" t="s">
        <v>86</v>
      </c>
      <c r="E452" s="3"/>
      <c r="F452" s="3" t="s">
        <v>89</v>
      </c>
      <c r="G452">
        <v>15</v>
      </c>
      <c r="H452" s="4">
        <v>10</v>
      </c>
      <c r="I452" s="4">
        <v>20</v>
      </c>
      <c r="J452" s="4" t="s">
        <v>8</v>
      </c>
      <c r="K452" s="4" t="s">
        <v>7</v>
      </c>
      <c r="L452" s="11"/>
      <c r="M452" s="3"/>
      <c r="N452"/>
      <c r="O452" s="4"/>
      <c r="P452" s="1"/>
      <c r="Q452" s="22"/>
      <c r="R452" t="s">
        <v>113</v>
      </c>
      <c r="S452" s="11"/>
      <c r="T452" t="s">
        <v>66</v>
      </c>
      <c r="U452"/>
      <c r="V452" s="1"/>
      <c r="W452" s="1"/>
    </row>
    <row r="453" spans="2:23" x14ac:dyDescent="0.35">
      <c r="B453" s="4">
        <v>20020664</v>
      </c>
      <c r="C453" s="1" t="s">
        <v>312</v>
      </c>
      <c r="D453" s="4" t="s">
        <v>86</v>
      </c>
      <c r="E453" s="3"/>
      <c r="F453" s="3" t="s">
        <v>89</v>
      </c>
      <c r="G453">
        <v>5</v>
      </c>
      <c r="H453" s="4">
        <v>8</v>
      </c>
      <c r="I453" s="4">
        <v>10</v>
      </c>
      <c r="J453" s="4" t="s">
        <v>8</v>
      </c>
      <c r="K453" s="4" t="s">
        <v>7</v>
      </c>
      <c r="L453" s="11"/>
      <c r="M453" s="3"/>
      <c r="N453"/>
      <c r="O453" s="4"/>
      <c r="P453" s="1"/>
      <c r="Q453" s="22"/>
      <c r="R453" t="s">
        <v>113</v>
      </c>
      <c r="S453" s="11"/>
      <c r="T453" t="s">
        <v>66</v>
      </c>
      <c r="U453"/>
      <c r="V453" s="1"/>
      <c r="W453" s="1"/>
    </row>
    <row r="454" spans="2:23" x14ac:dyDescent="0.35">
      <c r="B454" s="4">
        <v>20020666</v>
      </c>
      <c r="C454" s="1" t="s">
        <v>45</v>
      </c>
      <c r="D454" s="4" t="s">
        <v>86</v>
      </c>
      <c r="E454" s="3"/>
      <c r="F454" s="3" t="s">
        <v>89</v>
      </c>
      <c r="G454">
        <v>20</v>
      </c>
      <c r="H454" s="4">
        <v>36</v>
      </c>
      <c r="I454" s="4">
        <v>29</v>
      </c>
      <c r="J454" s="4" t="s">
        <v>8</v>
      </c>
      <c r="K454" s="4" t="s">
        <v>7</v>
      </c>
      <c r="L454" s="11"/>
      <c r="M454" s="3"/>
      <c r="N454"/>
      <c r="O454" s="4"/>
      <c r="P454" s="1"/>
      <c r="Q454" s="22"/>
      <c r="R454" t="s">
        <v>113</v>
      </c>
      <c r="S454" s="11"/>
      <c r="T454" t="s">
        <v>1602</v>
      </c>
      <c r="U454"/>
      <c r="V454" s="1"/>
      <c r="W454" s="1"/>
    </row>
    <row r="455" spans="2:23" x14ac:dyDescent="0.35">
      <c r="B455" s="4">
        <v>20020667</v>
      </c>
      <c r="C455" s="1" t="s">
        <v>314</v>
      </c>
      <c r="D455" s="4" t="s">
        <v>86</v>
      </c>
      <c r="E455" s="3"/>
      <c r="F455" s="3" t="s">
        <v>89</v>
      </c>
      <c r="G455">
        <v>4</v>
      </c>
      <c r="H455" s="4">
        <v>10</v>
      </c>
      <c r="I455" s="4">
        <v>4</v>
      </c>
      <c r="J455" s="4" t="s">
        <v>8</v>
      </c>
      <c r="K455" s="4" t="s">
        <v>7</v>
      </c>
      <c r="L455" s="11"/>
      <c r="M455" s="3"/>
      <c r="N455"/>
      <c r="O455" s="4"/>
      <c r="P455" s="1"/>
      <c r="Q455" s="22"/>
      <c r="R455" t="s">
        <v>113</v>
      </c>
      <c r="S455" s="11"/>
      <c r="T455" t="s">
        <v>1602</v>
      </c>
      <c r="U455"/>
      <c r="V455" s="1"/>
      <c r="W455" s="1"/>
    </row>
    <row r="456" spans="2:23" x14ac:dyDescent="0.35">
      <c r="B456" s="4">
        <v>20020673</v>
      </c>
      <c r="C456" s="1" t="s">
        <v>315</v>
      </c>
      <c r="D456" s="4" t="s">
        <v>86</v>
      </c>
      <c r="E456" s="3" t="s">
        <v>87</v>
      </c>
      <c r="F456" s="3" t="s">
        <v>89</v>
      </c>
      <c r="G456">
        <v>5</v>
      </c>
      <c r="H456" s="4">
        <v>10</v>
      </c>
      <c r="I456" s="4">
        <v>0</v>
      </c>
      <c r="J456" s="4" t="s">
        <v>8</v>
      </c>
      <c r="K456" s="4" t="s">
        <v>13</v>
      </c>
      <c r="L456" s="11"/>
      <c r="M456" s="3"/>
      <c r="N456">
        <v>4502715446</v>
      </c>
      <c r="O456" s="4">
        <v>15</v>
      </c>
      <c r="P456" s="1" t="s">
        <v>1452</v>
      </c>
      <c r="Q456" s="22">
        <v>46287</v>
      </c>
      <c r="R456" t="s">
        <v>88</v>
      </c>
      <c r="S456" s="11"/>
      <c r="T456" t="s">
        <v>70</v>
      </c>
      <c r="U456"/>
      <c r="V456" s="1"/>
      <c r="W456" s="1"/>
    </row>
    <row r="457" spans="2:23" x14ac:dyDescent="0.35">
      <c r="B457" s="4">
        <v>20020688</v>
      </c>
      <c r="C457" s="1" t="s">
        <v>316</v>
      </c>
      <c r="D457" s="4" t="s">
        <v>86</v>
      </c>
      <c r="E457" s="3" t="s">
        <v>129</v>
      </c>
      <c r="F457" s="3" t="s">
        <v>89</v>
      </c>
      <c r="G457">
        <v>15</v>
      </c>
      <c r="H457" s="4">
        <v>25</v>
      </c>
      <c r="I457" s="4">
        <v>20</v>
      </c>
      <c r="J457" s="4" t="s">
        <v>25</v>
      </c>
      <c r="K457" s="4" t="s">
        <v>7</v>
      </c>
      <c r="L457" s="11"/>
      <c r="M457" s="3"/>
      <c r="N457"/>
      <c r="O457" s="4"/>
      <c r="P457" s="1"/>
      <c r="Q457" s="22"/>
      <c r="R457" t="s">
        <v>130</v>
      </c>
      <c r="S457" s="11"/>
      <c r="T457" t="s">
        <v>70</v>
      </c>
      <c r="U457"/>
      <c r="V457" s="1"/>
      <c r="W457" s="1"/>
    </row>
    <row r="458" spans="2:23" x14ac:dyDescent="0.35">
      <c r="B458" s="4">
        <v>20020696</v>
      </c>
      <c r="C458" s="1" t="s">
        <v>317</v>
      </c>
      <c r="D458" s="4" t="s">
        <v>86</v>
      </c>
      <c r="E458" s="3"/>
      <c r="F458" s="3" t="s">
        <v>89</v>
      </c>
      <c r="G458">
        <v>1</v>
      </c>
      <c r="H458" s="4">
        <v>1</v>
      </c>
      <c r="I458" s="4">
        <v>1</v>
      </c>
      <c r="J458" s="4" t="s">
        <v>8</v>
      </c>
      <c r="K458" s="4" t="s">
        <v>7</v>
      </c>
      <c r="L458" s="11"/>
      <c r="M458" s="3"/>
      <c r="N458"/>
      <c r="O458" s="4"/>
      <c r="P458" s="1"/>
      <c r="Q458" s="22"/>
      <c r="R458"/>
      <c r="S458" s="11"/>
      <c r="T458" t="s">
        <v>67</v>
      </c>
      <c r="U458"/>
      <c r="V458" s="1"/>
      <c r="W458" s="1"/>
    </row>
    <row r="459" spans="2:23" x14ac:dyDescent="0.35">
      <c r="B459" s="4">
        <v>20020718</v>
      </c>
      <c r="C459" s="1" t="s">
        <v>318</v>
      </c>
      <c r="D459" s="4" t="s">
        <v>86</v>
      </c>
      <c r="E459" s="3" t="s">
        <v>87</v>
      </c>
      <c r="F459" s="3" t="s">
        <v>89</v>
      </c>
      <c r="G459">
        <v>2</v>
      </c>
      <c r="H459" s="4">
        <v>3</v>
      </c>
      <c r="I459" s="4">
        <v>0</v>
      </c>
      <c r="J459" s="4" t="s">
        <v>8</v>
      </c>
      <c r="K459" s="4" t="s">
        <v>13</v>
      </c>
      <c r="L459" s="11">
        <v>1002711005</v>
      </c>
      <c r="M459" s="3">
        <v>5</v>
      </c>
      <c r="N459"/>
      <c r="O459" s="4"/>
      <c r="P459" s="1"/>
      <c r="Q459" s="22"/>
      <c r="R459" t="s">
        <v>88</v>
      </c>
      <c r="S459" s="11" t="s">
        <v>6876</v>
      </c>
      <c r="T459" t="s">
        <v>66</v>
      </c>
      <c r="U459"/>
      <c r="V459" s="1"/>
      <c r="W459" s="1"/>
    </row>
    <row r="460" spans="2:23" x14ac:dyDescent="0.35">
      <c r="B460" s="4">
        <v>20020719</v>
      </c>
      <c r="C460" s="1" t="s">
        <v>319</v>
      </c>
      <c r="D460" s="4" t="s">
        <v>86</v>
      </c>
      <c r="E460" s="3" t="s">
        <v>87</v>
      </c>
      <c r="F460" s="3" t="s">
        <v>89</v>
      </c>
      <c r="G460">
        <v>1</v>
      </c>
      <c r="H460" s="4">
        <v>1</v>
      </c>
      <c r="I460" s="4">
        <v>12</v>
      </c>
      <c r="J460" s="4" t="s">
        <v>8</v>
      </c>
      <c r="K460" s="4" t="s">
        <v>14</v>
      </c>
      <c r="L460" s="11"/>
      <c r="M460" s="3"/>
      <c r="N460"/>
      <c r="O460" s="4"/>
      <c r="P460" s="1"/>
      <c r="Q460" s="22"/>
      <c r="R460" t="s">
        <v>88</v>
      </c>
      <c r="S460" s="11"/>
      <c r="T460" t="s">
        <v>69</v>
      </c>
      <c r="U460"/>
      <c r="V460" s="1"/>
      <c r="W460" s="1"/>
    </row>
    <row r="461" spans="2:23" x14ac:dyDescent="0.35">
      <c r="B461" s="4">
        <v>20020737</v>
      </c>
      <c r="C461" s="1" t="s">
        <v>320</v>
      </c>
      <c r="D461" s="4" t="s">
        <v>86</v>
      </c>
      <c r="E461" s="3"/>
      <c r="F461" s="3" t="s">
        <v>89</v>
      </c>
      <c r="G461">
        <v>20</v>
      </c>
      <c r="H461" s="4">
        <v>40</v>
      </c>
      <c r="I461" s="4">
        <v>40</v>
      </c>
      <c r="J461" s="4" t="s">
        <v>8</v>
      </c>
      <c r="K461" s="4" t="s">
        <v>7</v>
      </c>
      <c r="L461" s="11"/>
      <c r="M461" s="3"/>
      <c r="N461"/>
      <c r="O461" s="4"/>
      <c r="P461" s="1"/>
      <c r="Q461" s="22"/>
      <c r="R461"/>
      <c r="S461" s="11"/>
      <c r="T461" t="s">
        <v>1603</v>
      </c>
      <c r="U461"/>
      <c r="V461" s="1"/>
      <c r="W461" s="1"/>
    </row>
    <row r="462" spans="2:23" x14ac:dyDescent="0.35">
      <c r="B462" s="4">
        <v>20020849</v>
      </c>
      <c r="C462" s="1" t="s">
        <v>321</v>
      </c>
      <c r="D462" s="4" t="s">
        <v>86</v>
      </c>
      <c r="E462" s="3"/>
      <c r="F462" s="3" t="s">
        <v>89</v>
      </c>
      <c r="G462">
        <v>110</v>
      </c>
      <c r="H462" s="4">
        <v>220</v>
      </c>
      <c r="I462" s="4">
        <v>270</v>
      </c>
      <c r="J462" s="4" t="s">
        <v>8</v>
      </c>
      <c r="K462" s="4" t="s">
        <v>7</v>
      </c>
      <c r="L462" s="11"/>
      <c r="M462" s="3"/>
      <c r="N462"/>
      <c r="O462" s="4"/>
      <c r="P462" s="1"/>
      <c r="Q462" s="22"/>
      <c r="R462"/>
      <c r="S462" s="11"/>
      <c r="T462" t="s">
        <v>1603</v>
      </c>
      <c r="U462"/>
      <c r="V462" s="1"/>
      <c r="W462" s="1"/>
    </row>
    <row r="463" spans="2:23" x14ac:dyDescent="0.35">
      <c r="B463" s="4">
        <v>20020860</v>
      </c>
      <c r="C463" s="1" t="s">
        <v>322</v>
      </c>
      <c r="D463" s="4" t="s">
        <v>86</v>
      </c>
      <c r="E463" s="3"/>
      <c r="F463" s="3" t="s">
        <v>89</v>
      </c>
      <c r="G463">
        <v>16</v>
      </c>
      <c r="H463" s="4">
        <v>16</v>
      </c>
      <c r="I463" s="4">
        <v>20</v>
      </c>
      <c r="J463" s="4" t="s">
        <v>23</v>
      </c>
      <c r="K463" s="4" t="s">
        <v>7</v>
      </c>
      <c r="L463" s="11"/>
      <c r="M463" s="3"/>
      <c r="N463"/>
      <c r="O463" s="4"/>
      <c r="P463" s="1"/>
      <c r="Q463" s="22"/>
      <c r="R463"/>
      <c r="S463" s="11" t="s">
        <v>6863</v>
      </c>
      <c r="T463" t="s">
        <v>1602</v>
      </c>
      <c r="U463"/>
      <c r="V463" s="1"/>
      <c r="W463" s="1"/>
    </row>
    <row r="464" spans="2:23" x14ac:dyDescent="0.35">
      <c r="B464" s="4">
        <v>20020867</v>
      </c>
      <c r="C464" s="1" t="s">
        <v>1220</v>
      </c>
      <c r="D464" s="4" t="s">
        <v>86</v>
      </c>
      <c r="E464" s="3"/>
      <c r="F464" s="3" t="s">
        <v>89</v>
      </c>
      <c r="G464">
        <v>150</v>
      </c>
      <c r="H464" s="4">
        <v>300</v>
      </c>
      <c r="I464" s="4">
        <v>420</v>
      </c>
      <c r="J464" s="4" t="s">
        <v>23</v>
      </c>
      <c r="K464" s="4" t="s">
        <v>7</v>
      </c>
      <c r="L464" s="11"/>
      <c r="M464" s="3"/>
      <c r="N464"/>
      <c r="O464" s="4"/>
      <c r="P464" s="1"/>
      <c r="Q464" s="22"/>
      <c r="R464"/>
      <c r="S464" s="11"/>
      <c r="T464" t="s">
        <v>1602</v>
      </c>
      <c r="U464"/>
      <c r="V464" s="1"/>
      <c r="W464" s="1"/>
    </row>
    <row r="465" spans="2:23" x14ac:dyDescent="0.35">
      <c r="B465" s="4">
        <v>20020964</v>
      </c>
      <c r="C465" s="1" t="s">
        <v>323</v>
      </c>
      <c r="D465" s="4" t="s">
        <v>86</v>
      </c>
      <c r="E465" s="3" t="s">
        <v>87</v>
      </c>
      <c r="F465" s="3" t="s">
        <v>102</v>
      </c>
      <c r="G465">
        <v>12</v>
      </c>
      <c r="H465" s="4">
        <v>16</v>
      </c>
      <c r="I465" s="4">
        <v>7</v>
      </c>
      <c r="J465" s="4" t="s">
        <v>8</v>
      </c>
      <c r="K465" s="4" t="s">
        <v>9</v>
      </c>
      <c r="L465" s="11"/>
      <c r="M465" s="3"/>
      <c r="N465">
        <v>4700162954</v>
      </c>
      <c r="O465" s="4">
        <v>5</v>
      </c>
      <c r="P465" s="1" t="s">
        <v>6847</v>
      </c>
      <c r="Q465" s="22">
        <v>46265</v>
      </c>
      <c r="R465" t="s">
        <v>88</v>
      </c>
      <c r="S465" s="11"/>
      <c r="T465" t="s">
        <v>70</v>
      </c>
      <c r="U465"/>
      <c r="V465" s="1"/>
      <c r="W465" s="1"/>
    </row>
    <row r="466" spans="2:23" x14ac:dyDescent="0.35">
      <c r="B466" s="4">
        <v>20020618</v>
      </c>
      <c r="C466" s="1" t="s">
        <v>1386</v>
      </c>
      <c r="D466" s="4" t="s">
        <v>86</v>
      </c>
      <c r="E466" s="3"/>
      <c r="F466" s="3" t="s">
        <v>68</v>
      </c>
      <c r="G466">
        <v>40</v>
      </c>
      <c r="H466" s="4">
        <v>80</v>
      </c>
      <c r="I466" s="4">
        <v>108</v>
      </c>
      <c r="J466" s="4" t="s">
        <v>8</v>
      </c>
      <c r="K466" s="4" t="s">
        <v>7</v>
      </c>
      <c r="L466" s="11"/>
      <c r="M466" s="3"/>
      <c r="N466"/>
      <c r="O466" s="4"/>
      <c r="P466" s="1"/>
      <c r="Q466" s="22"/>
      <c r="R466"/>
      <c r="S466" s="11"/>
      <c r="T466" t="s">
        <v>67</v>
      </c>
      <c r="U466"/>
      <c r="V466" s="1"/>
      <c r="W466" s="1"/>
    </row>
    <row r="467" spans="2:23" x14ac:dyDescent="0.35">
      <c r="B467" s="4">
        <v>20020967</v>
      </c>
      <c r="C467" s="1" t="s">
        <v>324</v>
      </c>
      <c r="D467" s="4" t="s">
        <v>86</v>
      </c>
      <c r="E467" s="3"/>
      <c r="F467" s="3" t="s">
        <v>89</v>
      </c>
      <c r="G467">
        <v>50</v>
      </c>
      <c r="H467" s="4">
        <v>100</v>
      </c>
      <c r="I467" s="4">
        <v>87</v>
      </c>
      <c r="J467" s="4" t="s">
        <v>8</v>
      </c>
      <c r="K467" s="4" t="s">
        <v>7</v>
      </c>
      <c r="L467" s="11"/>
      <c r="M467" s="3"/>
      <c r="N467"/>
      <c r="O467" s="4"/>
      <c r="P467" s="1"/>
      <c r="Q467" s="22"/>
      <c r="R467"/>
      <c r="S467" s="11"/>
      <c r="T467" t="s">
        <v>1603</v>
      </c>
      <c r="U467"/>
      <c r="V467" s="1"/>
      <c r="W467" s="1"/>
    </row>
    <row r="468" spans="2:23" x14ac:dyDescent="0.35">
      <c r="B468" s="4">
        <v>20020992</v>
      </c>
      <c r="C468" s="1" t="s">
        <v>325</v>
      </c>
      <c r="D468" s="4" t="s">
        <v>86</v>
      </c>
      <c r="E468" s="3"/>
      <c r="F468" s="3" t="s">
        <v>89</v>
      </c>
      <c r="G468">
        <v>1</v>
      </c>
      <c r="H468" s="4">
        <v>1</v>
      </c>
      <c r="I468" s="4">
        <v>1</v>
      </c>
      <c r="J468" s="4" t="s">
        <v>8</v>
      </c>
      <c r="K468" s="4" t="s">
        <v>7</v>
      </c>
      <c r="L468" s="11"/>
      <c r="M468" s="3"/>
      <c r="N468"/>
      <c r="O468" s="4"/>
      <c r="P468" s="1"/>
      <c r="Q468" s="22"/>
      <c r="R468"/>
      <c r="S468" s="11"/>
      <c r="T468" t="s">
        <v>70</v>
      </c>
      <c r="U468"/>
      <c r="V468" s="1"/>
      <c r="W468" s="1"/>
    </row>
    <row r="469" spans="2:23" x14ac:dyDescent="0.35">
      <c r="B469" s="4">
        <v>20021132</v>
      </c>
      <c r="C469" s="1" t="s">
        <v>327</v>
      </c>
      <c r="D469" s="4" t="s">
        <v>86</v>
      </c>
      <c r="E469" s="3"/>
      <c r="F469" s="3" t="s">
        <v>89</v>
      </c>
      <c r="G469">
        <v>50</v>
      </c>
      <c r="H469" s="4">
        <v>30</v>
      </c>
      <c r="I469" s="4">
        <v>69</v>
      </c>
      <c r="J469" s="4" t="s">
        <v>8</v>
      </c>
      <c r="K469" s="4" t="s">
        <v>7</v>
      </c>
      <c r="L469" s="11"/>
      <c r="M469" s="3"/>
      <c r="N469"/>
      <c r="O469" s="4"/>
      <c r="P469" s="1"/>
      <c r="Q469" s="22"/>
      <c r="R469"/>
      <c r="S469" s="11"/>
      <c r="T469" t="s">
        <v>66</v>
      </c>
      <c r="U469"/>
      <c r="V469" s="1"/>
      <c r="W469" s="1"/>
    </row>
    <row r="470" spans="2:23" x14ac:dyDescent="0.35">
      <c r="B470" s="4">
        <v>20021134</v>
      </c>
      <c r="C470" s="1" t="s">
        <v>1387</v>
      </c>
      <c r="D470" s="4" t="s">
        <v>86</v>
      </c>
      <c r="E470" s="3"/>
      <c r="F470" s="3" t="s">
        <v>89</v>
      </c>
      <c r="G470">
        <v>50</v>
      </c>
      <c r="H470" s="4">
        <v>30</v>
      </c>
      <c r="I470" s="4">
        <v>72</v>
      </c>
      <c r="J470" s="4" t="s">
        <v>8</v>
      </c>
      <c r="K470" s="4" t="s">
        <v>7</v>
      </c>
      <c r="L470" s="11"/>
      <c r="M470" s="3"/>
      <c r="N470"/>
      <c r="O470" s="4"/>
      <c r="P470" s="1"/>
      <c r="Q470" s="22"/>
      <c r="R470"/>
      <c r="S470" s="11"/>
      <c r="T470" t="s">
        <v>66</v>
      </c>
      <c r="U470"/>
      <c r="V470" s="1"/>
      <c r="W470" s="1"/>
    </row>
    <row r="471" spans="2:23" x14ac:dyDescent="0.35">
      <c r="B471" s="4">
        <v>20021152</v>
      </c>
      <c r="C471" s="1" t="s">
        <v>328</v>
      </c>
      <c r="D471" s="4" t="s">
        <v>86</v>
      </c>
      <c r="E471" s="3"/>
      <c r="F471" s="3" t="s">
        <v>89</v>
      </c>
      <c r="G471">
        <v>4</v>
      </c>
      <c r="H471" s="4">
        <v>6</v>
      </c>
      <c r="I471" s="4">
        <v>4</v>
      </c>
      <c r="J471" s="4" t="s">
        <v>24</v>
      </c>
      <c r="K471" s="4" t="s">
        <v>7</v>
      </c>
      <c r="L471" s="11"/>
      <c r="M471" s="3"/>
      <c r="N471"/>
      <c r="O471" s="4"/>
      <c r="P471" s="1"/>
      <c r="Q471" s="22"/>
      <c r="R471"/>
      <c r="S471" s="11"/>
      <c r="T471" t="s">
        <v>1603</v>
      </c>
      <c r="U471"/>
      <c r="V471" s="1"/>
      <c r="W471" s="1"/>
    </row>
    <row r="472" spans="2:23" x14ac:dyDescent="0.35">
      <c r="B472" s="4">
        <v>20020686</v>
      </c>
      <c r="C472" s="1" t="s">
        <v>1303</v>
      </c>
      <c r="D472" s="4" t="s">
        <v>86</v>
      </c>
      <c r="E472" s="3"/>
      <c r="F472" s="3" t="s">
        <v>68</v>
      </c>
      <c r="G472">
        <v>2</v>
      </c>
      <c r="H472" s="4">
        <v>2</v>
      </c>
      <c r="I472" s="4">
        <v>2</v>
      </c>
      <c r="J472" s="4" t="s">
        <v>8</v>
      </c>
      <c r="K472" s="4" t="s">
        <v>7</v>
      </c>
      <c r="L472" s="11"/>
      <c r="M472" s="3"/>
      <c r="N472"/>
      <c r="O472" s="4"/>
      <c r="P472" s="1"/>
      <c r="Q472" s="22"/>
      <c r="R472"/>
      <c r="S472" s="11"/>
      <c r="T472" t="s">
        <v>70</v>
      </c>
      <c r="U472"/>
      <c r="V472" s="1"/>
      <c r="W472" s="1"/>
    </row>
    <row r="473" spans="2:23" x14ac:dyDescent="0.35">
      <c r="B473" s="4">
        <v>20021180</v>
      </c>
      <c r="C473" s="1" t="s">
        <v>329</v>
      </c>
      <c r="D473" s="4" t="s">
        <v>86</v>
      </c>
      <c r="E473" s="3"/>
      <c r="F473" s="3" t="s">
        <v>89</v>
      </c>
      <c r="G473">
        <v>5</v>
      </c>
      <c r="H473" s="4">
        <v>10</v>
      </c>
      <c r="I473" s="4">
        <v>11</v>
      </c>
      <c r="J473" s="4" t="s">
        <v>8</v>
      </c>
      <c r="K473" s="4" t="s">
        <v>7</v>
      </c>
      <c r="L473" s="11"/>
      <c r="M473" s="3"/>
      <c r="N473"/>
      <c r="O473" s="4"/>
      <c r="P473" s="1"/>
      <c r="Q473" s="22"/>
      <c r="R473"/>
      <c r="S473" s="11"/>
      <c r="T473" t="s">
        <v>66</v>
      </c>
      <c r="U473"/>
      <c r="V473" s="1"/>
      <c r="W473" s="1"/>
    </row>
    <row r="474" spans="2:23" x14ac:dyDescent="0.35">
      <c r="B474" s="4">
        <v>20021428</v>
      </c>
      <c r="C474" s="1" t="s">
        <v>330</v>
      </c>
      <c r="D474" s="4" t="s">
        <v>86</v>
      </c>
      <c r="E474" s="3"/>
      <c r="F474" s="3" t="s">
        <v>89</v>
      </c>
      <c r="G474">
        <v>4</v>
      </c>
      <c r="H474" s="4">
        <v>6</v>
      </c>
      <c r="I474" s="4">
        <v>10</v>
      </c>
      <c r="J474" s="4" t="s">
        <v>8</v>
      </c>
      <c r="K474" s="4" t="s">
        <v>7</v>
      </c>
      <c r="L474" s="11"/>
      <c r="M474" s="3"/>
      <c r="N474"/>
      <c r="O474" s="4"/>
      <c r="P474" s="1"/>
      <c r="Q474" s="22"/>
      <c r="R474"/>
      <c r="S474" s="11"/>
      <c r="T474" t="s">
        <v>66</v>
      </c>
      <c r="U474"/>
      <c r="V474" s="1"/>
      <c r="W474" s="1"/>
    </row>
    <row r="475" spans="2:23" x14ac:dyDescent="0.35">
      <c r="B475" s="4">
        <v>20021465</v>
      </c>
      <c r="C475" s="1" t="s">
        <v>331</v>
      </c>
      <c r="D475" s="4" t="s">
        <v>86</v>
      </c>
      <c r="E475" s="3" t="s">
        <v>87</v>
      </c>
      <c r="F475" s="3" t="s">
        <v>89</v>
      </c>
      <c r="G475">
        <v>1</v>
      </c>
      <c r="H475" s="4">
        <v>1</v>
      </c>
      <c r="I475" s="4">
        <v>8</v>
      </c>
      <c r="J475" s="4" t="s">
        <v>8</v>
      </c>
      <c r="K475" s="4" t="s">
        <v>14</v>
      </c>
      <c r="L475" s="11"/>
      <c r="M475" s="3"/>
      <c r="N475"/>
      <c r="O475" s="4"/>
      <c r="P475" s="1"/>
      <c r="Q475" s="22"/>
      <c r="R475" t="s">
        <v>88</v>
      </c>
      <c r="S475" s="11"/>
      <c r="T475" t="s">
        <v>1603</v>
      </c>
      <c r="U475"/>
      <c r="V475" s="1"/>
      <c r="W475" s="1"/>
    </row>
    <row r="476" spans="2:23" x14ac:dyDescent="0.35">
      <c r="B476" s="4">
        <v>20021581</v>
      </c>
      <c r="C476" s="1" t="s">
        <v>332</v>
      </c>
      <c r="D476" s="4" t="s">
        <v>86</v>
      </c>
      <c r="E476" s="3" t="s">
        <v>118</v>
      </c>
      <c r="F476" s="3" t="s">
        <v>89</v>
      </c>
      <c r="G476">
        <v>1</v>
      </c>
      <c r="H476" s="4">
        <v>1</v>
      </c>
      <c r="I476" s="4">
        <v>10</v>
      </c>
      <c r="J476" s="4" t="s">
        <v>8</v>
      </c>
      <c r="K476" s="4" t="s">
        <v>14</v>
      </c>
      <c r="L476" s="11"/>
      <c r="M476" s="3"/>
      <c r="N476"/>
      <c r="O476" s="4"/>
      <c r="P476" s="1"/>
      <c r="Q476" s="22"/>
      <c r="R476" t="s">
        <v>148</v>
      </c>
      <c r="S476" s="11"/>
      <c r="T476" t="s">
        <v>67</v>
      </c>
      <c r="U476"/>
      <c r="V476" s="1"/>
      <c r="W476" s="1"/>
    </row>
    <row r="477" spans="2:23" x14ac:dyDescent="0.35">
      <c r="B477" s="4">
        <v>20021582</v>
      </c>
      <c r="C477" s="1" t="s">
        <v>333</v>
      </c>
      <c r="D477" s="4" t="s">
        <v>86</v>
      </c>
      <c r="E477" s="3" t="s">
        <v>118</v>
      </c>
      <c r="F477" s="3" t="s">
        <v>89</v>
      </c>
      <c r="G477">
        <v>1</v>
      </c>
      <c r="H477" s="4">
        <v>1</v>
      </c>
      <c r="I477" s="4">
        <v>6</v>
      </c>
      <c r="J477" s="4" t="s">
        <v>8</v>
      </c>
      <c r="K477" s="4" t="s">
        <v>14</v>
      </c>
      <c r="L477" s="11"/>
      <c r="M477" s="3"/>
      <c r="N477"/>
      <c r="O477" s="4"/>
      <c r="P477" s="1"/>
      <c r="Q477" s="22"/>
      <c r="R477" t="s">
        <v>148</v>
      </c>
      <c r="S477" s="11"/>
      <c r="T477" t="s">
        <v>67</v>
      </c>
      <c r="U477"/>
      <c r="V477" s="1"/>
      <c r="W477" s="1"/>
    </row>
    <row r="478" spans="2:23" x14ac:dyDescent="0.35">
      <c r="B478" s="4">
        <v>20020781</v>
      </c>
      <c r="C478" s="1" t="s">
        <v>1284</v>
      </c>
      <c r="D478" s="4" t="s">
        <v>86</v>
      </c>
      <c r="E478" s="3"/>
      <c r="F478" s="3" t="s">
        <v>68</v>
      </c>
      <c r="G478">
        <v>20</v>
      </c>
      <c r="H478" s="4">
        <v>40</v>
      </c>
      <c r="I478" s="4">
        <v>140</v>
      </c>
      <c r="J478" s="4" t="s">
        <v>8</v>
      </c>
      <c r="K478" s="4" t="s">
        <v>14</v>
      </c>
      <c r="L478" s="11"/>
      <c r="M478" s="3"/>
      <c r="N478"/>
      <c r="O478" s="4"/>
      <c r="P478" s="1"/>
      <c r="Q478" s="22"/>
      <c r="R478"/>
      <c r="S478" s="11"/>
      <c r="T478" t="s">
        <v>67</v>
      </c>
      <c r="U478"/>
      <c r="V478" s="1"/>
      <c r="W478" s="1"/>
    </row>
    <row r="479" spans="2:23" x14ac:dyDescent="0.35">
      <c r="B479" s="4">
        <v>20021584</v>
      </c>
      <c r="C479" s="1" t="s">
        <v>334</v>
      </c>
      <c r="D479" s="4" t="s">
        <v>86</v>
      </c>
      <c r="E479" s="3" t="s">
        <v>118</v>
      </c>
      <c r="F479" s="3" t="s">
        <v>89</v>
      </c>
      <c r="G479">
        <v>3</v>
      </c>
      <c r="H479" s="4">
        <v>4</v>
      </c>
      <c r="I479" s="4">
        <v>3</v>
      </c>
      <c r="J479" s="4" t="s">
        <v>8</v>
      </c>
      <c r="K479" s="4" t="s">
        <v>7</v>
      </c>
      <c r="L479" s="11"/>
      <c r="M479" s="3"/>
      <c r="N479"/>
      <c r="O479" s="4"/>
      <c r="P479" s="1"/>
      <c r="Q479" s="22"/>
      <c r="R479" t="s">
        <v>148</v>
      </c>
      <c r="S479" s="11"/>
      <c r="T479" t="s">
        <v>67</v>
      </c>
      <c r="U479"/>
      <c r="V479" s="1"/>
      <c r="W479" s="1"/>
    </row>
    <row r="480" spans="2:23" x14ac:dyDescent="0.35">
      <c r="B480" s="4">
        <v>20021585</v>
      </c>
      <c r="C480" s="1" t="s">
        <v>335</v>
      </c>
      <c r="D480" s="4" t="s">
        <v>86</v>
      </c>
      <c r="E480" s="3" t="s">
        <v>118</v>
      </c>
      <c r="F480" s="3" t="s">
        <v>89</v>
      </c>
      <c r="G480">
        <v>5</v>
      </c>
      <c r="H480" s="4">
        <v>10</v>
      </c>
      <c r="I480" s="4">
        <v>0</v>
      </c>
      <c r="J480" s="4" t="s">
        <v>8</v>
      </c>
      <c r="K480" s="4" t="s">
        <v>13</v>
      </c>
      <c r="L480" s="11">
        <v>1002708382</v>
      </c>
      <c r="M480" s="3"/>
      <c r="N480">
        <v>4502714741</v>
      </c>
      <c r="O480" s="4">
        <v>10</v>
      </c>
      <c r="P480" s="1" t="s">
        <v>6900</v>
      </c>
      <c r="Q480" s="22">
        <v>46286</v>
      </c>
      <c r="R480" t="s">
        <v>148</v>
      </c>
      <c r="S480" s="11"/>
      <c r="T480" t="s">
        <v>67</v>
      </c>
      <c r="U480"/>
      <c r="V480" s="1"/>
      <c r="W480" s="1"/>
    </row>
    <row r="481" spans="2:23" x14ac:dyDescent="0.35">
      <c r="B481" s="4">
        <v>20021598</v>
      </c>
      <c r="C481" s="1" t="s">
        <v>336</v>
      </c>
      <c r="D481" s="4" t="s">
        <v>86</v>
      </c>
      <c r="E481" s="3" t="s">
        <v>118</v>
      </c>
      <c r="F481" s="3" t="s">
        <v>89</v>
      </c>
      <c r="G481">
        <v>10</v>
      </c>
      <c r="H481" s="4">
        <v>15</v>
      </c>
      <c r="I481" s="4">
        <v>10</v>
      </c>
      <c r="J481" s="4" t="s">
        <v>8</v>
      </c>
      <c r="K481" s="4" t="s">
        <v>7</v>
      </c>
      <c r="L481" s="11"/>
      <c r="M481" s="3"/>
      <c r="N481"/>
      <c r="O481" s="4"/>
      <c r="P481" s="1"/>
      <c r="Q481" s="22"/>
      <c r="R481" t="s">
        <v>156</v>
      </c>
      <c r="S481" s="11"/>
      <c r="T481" t="s">
        <v>70</v>
      </c>
      <c r="U481"/>
      <c r="V481" s="1"/>
      <c r="W481" s="1"/>
    </row>
    <row r="482" spans="2:23" x14ac:dyDescent="0.35">
      <c r="B482" s="4">
        <v>20021599</v>
      </c>
      <c r="C482" s="1" t="s">
        <v>337</v>
      </c>
      <c r="D482" s="4" t="s">
        <v>86</v>
      </c>
      <c r="E482" s="3" t="s">
        <v>118</v>
      </c>
      <c r="F482" s="3" t="s">
        <v>89</v>
      </c>
      <c r="G482">
        <v>8</v>
      </c>
      <c r="H482" s="4">
        <v>10</v>
      </c>
      <c r="I482" s="4">
        <v>6</v>
      </c>
      <c r="J482" s="4" t="s">
        <v>8</v>
      </c>
      <c r="K482" s="4" t="s">
        <v>9</v>
      </c>
      <c r="L482" s="11">
        <v>1002716999</v>
      </c>
      <c r="M482" s="3">
        <v>12</v>
      </c>
      <c r="N482"/>
      <c r="O482" s="4"/>
      <c r="P482" s="1"/>
      <c r="Q482" s="22"/>
      <c r="R482" t="s">
        <v>156</v>
      </c>
      <c r="S482" s="11"/>
      <c r="T482" t="s">
        <v>70</v>
      </c>
      <c r="U482"/>
      <c r="V482" s="1"/>
      <c r="W482" s="1"/>
    </row>
    <row r="483" spans="2:23" x14ac:dyDescent="0.35">
      <c r="B483" s="4">
        <v>20021810</v>
      </c>
      <c r="C483" s="1" t="s">
        <v>338</v>
      </c>
      <c r="D483" s="4" t="s">
        <v>86</v>
      </c>
      <c r="E483" s="3" t="s">
        <v>222</v>
      </c>
      <c r="F483" s="3" t="s">
        <v>89</v>
      </c>
      <c r="G483">
        <v>3</v>
      </c>
      <c r="H483" s="4">
        <v>3</v>
      </c>
      <c r="I483" s="4">
        <v>4</v>
      </c>
      <c r="J483" s="4" t="s">
        <v>8</v>
      </c>
      <c r="K483" s="4" t="s">
        <v>7</v>
      </c>
      <c r="L483" s="11"/>
      <c r="M483" s="3"/>
      <c r="N483"/>
      <c r="O483" s="4"/>
      <c r="P483" s="1"/>
      <c r="Q483" s="22"/>
      <c r="R483" t="s">
        <v>223</v>
      </c>
      <c r="S483" s="11" t="s">
        <v>6856</v>
      </c>
      <c r="T483" t="s">
        <v>1603</v>
      </c>
      <c r="U483"/>
      <c r="V483" s="1"/>
      <c r="W483" s="1"/>
    </row>
    <row r="484" spans="2:23" x14ac:dyDescent="0.35">
      <c r="B484" s="4">
        <v>20021816</v>
      </c>
      <c r="C484" s="1" t="s">
        <v>1428</v>
      </c>
      <c r="D484" s="4" t="s">
        <v>86</v>
      </c>
      <c r="E484" s="3"/>
      <c r="F484" s="3" t="s">
        <v>89</v>
      </c>
      <c r="G484">
        <v>50</v>
      </c>
      <c r="H484" s="4">
        <v>80</v>
      </c>
      <c r="I484" s="4">
        <v>115</v>
      </c>
      <c r="J484" s="4" t="s">
        <v>8</v>
      </c>
      <c r="K484" s="4" t="s">
        <v>7</v>
      </c>
      <c r="L484" s="11"/>
      <c r="M484" s="3"/>
      <c r="N484"/>
      <c r="O484" s="4"/>
      <c r="P484" s="1"/>
      <c r="Q484" s="22"/>
      <c r="R484" t="s">
        <v>113</v>
      </c>
      <c r="S484" s="11"/>
      <c r="T484" t="s">
        <v>66</v>
      </c>
      <c r="U484"/>
      <c r="V484" s="1"/>
      <c r="W484" s="1"/>
    </row>
    <row r="485" spans="2:23" x14ac:dyDescent="0.35">
      <c r="B485" s="4">
        <v>20021894</v>
      </c>
      <c r="C485" s="1" t="s">
        <v>339</v>
      </c>
      <c r="D485" s="4" t="s">
        <v>86</v>
      </c>
      <c r="E485" s="3"/>
      <c r="F485" s="3" t="s">
        <v>89</v>
      </c>
      <c r="G485">
        <v>9</v>
      </c>
      <c r="H485" s="4">
        <v>15</v>
      </c>
      <c r="I485" s="4">
        <v>52</v>
      </c>
      <c r="J485" s="4" t="s">
        <v>8</v>
      </c>
      <c r="K485" s="4" t="s">
        <v>14</v>
      </c>
      <c r="L485" s="11"/>
      <c r="M485" s="3"/>
      <c r="N485"/>
      <c r="O485" s="4"/>
      <c r="P485" s="1"/>
      <c r="Q485" s="22"/>
      <c r="R485" t="s">
        <v>113</v>
      </c>
      <c r="S485" s="11"/>
      <c r="T485" t="s">
        <v>1602</v>
      </c>
      <c r="U485"/>
      <c r="V485" s="1"/>
      <c r="W485" s="1"/>
    </row>
    <row r="486" spans="2:23" x14ac:dyDescent="0.35">
      <c r="B486" s="4">
        <v>20021153</v>
      </c>
      <c r="C486" s="1" t="s">
        <v>1221</v>
      </c>
      <c r="D486" s="4" t="s">
        <v>86</v>
      </c>
      <c r="E486" s="75"/>
      <c r="F486" s="3" t="s">
        <v>68</v>
      </c>
      <c r="G486">
        <v>26</v>
      </c>
      <c r="H486" s="4">
        <v>30</v>
      </c>
      <c r="I486" s="4">
        <v>30</v>
      </c>
      <c r="J486" s="4" t="s">
        <v>24</v>
      </c>
      <c r="K486" s="4" t="s">
        <v>7</v>
      </c>
      <c r="L486" s="11"/>
      <c r="M486" s="3"/>
      <c r="N486"/>
      <c r="O486" s="4"/>
      <c r="P486" s="1"/>
      <c r="Q486" s="22"/>
      <c r="R486"/>
      <c r="S486" s="11"/>
      <c r="T486" t="s">
        <v>1603</v>
      </c>
      <c r="U486"/>
      <c r="V486" s="1"/>
      <c r="W486" s="1"/>
    </row>
    <row r="487" spans="2:23" x14ac:dyDescent="0.35">
      <c r="B487" s="4">
        <v>20021919</v>
      </c>
      <c r="C487" s="1" t="s">
        <v>340</v>
      </c>
      <c r="D487" s="4" t="s">
        <v>86</v>
      </c>
      <c r="E487" s="3" t="s">
        <v>87</v>
      </c>
      <c r="F487" s="3" t="s">
        <v>89</v>
      </c>
      <c r="G487">
        <v>10</v>
      </c>
      <c r="H487" s="4">
        <v>10</v>
      </c>
      <c r="I487" s="4">
        <v>6</v>
      </c>
      <c r="J487" s="4" t="s">
        <v>24</v>
      </c>
      <c r="K487" s="4" t="s">
        <v>9</v>
      </c>
      <c r="L487" s="11">
        <v>1002703441</v>
      </c>
      <c r="M487" s="3"/>
      <c r="N487">
        <v>4502714756</v>
      </c>
      <c r="O487" s="4">
        <v>14</v>
      </c>
      <c r="P487" s="1" t="s">
        <v>1422</v>
      </c>
      <c r="Q487" s="22">
        <v>46286</v>
      </c>
      <c r="R487" t="s">
        <v>190</v>
      </c>
      <c r="S487" s="11"/>
      <c r="T487" t="s">
        <v>70</v>
      </c>
      <c r="U487"/>
      <c r="V487" s="1"/>
      <c r="W487" s="1"/>
    </row>
    <row r="488" spans="2:23" x14ac:dyDescent="0.35">
      <c r="B488" s="4">
        <v>20021920</v>
      </c>
      <c r="C488" s="1" t="s">
        <v>341</v>
      </c>
      <c r="D488" s="4" t="s">
        <v>86</v>
      </c>
      <c r="E488" s="3"/>
      <c r="F488" s="3" t="s">
        <v>89</v>
      </c>
      <c r="G488">
        <v>5</v>
      </c>
      <c r="H488" s="4">
        <v>10</v>
      </c>
      <c r="I488" s="4">
        <v>13</v>
      </c>
      <c r="J488" s="4" t="s">
        <v>8</v>
      </c>
      <c r="K488" s="4" t="s">
        <v>7</v>
      </c>
      <c r="L488" s="11"/>
      <c r="M488" s="3"/>
      <c r="N488"/>
      <c r="O488" s="4"/>
      <c r="P488" s="1"/>
      <c r="Q488" s="22"/>
      <c r="R488" t="s">
        <v>113</v>
      </c>
      <c r="S488" s="11"/>
      <c r="T488" t="s">
        <v>1603</v>
      </c>
      <c r="U488"/>
      <c r="V488" s="1"/>
      <c r="W488" s="1"/>
    </row>
    <row r="489" spans="2:23" x14ac:dyDescent="0.35">
      <c r="B489" s="4">
        <v>20022012</v>
      </c>
      <c r="C489" s="1" t="s">
        <v>342</v>
      </c>
      <c r="D489" s="4" t="s">
        <v>86</v>
      </c>
      <c r="E489" s="3" t="s">
        <v>115</v>
      </c>
      <c r="F489" s="3" t="s">
        <v>89</v>
      </c>
      <c r="G489">
        <v>3</v>
      </c>
      <c r="H489" s="4">
        <v>2</v>
      </c>
      <c r="I489" s="4">
        <v>3</v>
      </c>
      <c r="J489" s="4" t="s">
        <v>8</v>
      </c>
      <c r="K489" s="4" t="s">
        <v>7</v>
      </c>
      <c r="L489" s="11"/>
      <c r="M489" s="3"/>
      <c r="N489"/>
      <c r="O489" s="4"/>
      <c r="P489" s="1"/>
      <c r="Q489" s="22"/>
      <c r="R489" t="s">
        <v>116</v>
      </c>
      <c r="S489" s="11"/>
      <c r="T489" t="s">
        <v>69</v>
      </c>
      <c r="U489"/>
      <c r="V489" s="1"/>
      <c r="W489" s="1"/>
    </row>
    <row r="490" spans="2:23" x14ac:dyDescent="0.35">
      <c r="B490" s="4">
        <v>20022078</v>
      </c>
      <c r="C490" s="1" t="s">
        <v>343</v>
      </c>
      <c r="D490" s="4" t="s">
        <v>86</v>
      </c>
      <c r="E490" s="3"/>
      <c r="F490" s="3" t="s">
        <v>89</v>
      </c>
      <c r="G490">
        <v>5</v>
      </c>
      <c r="H490" s="4">
        <v>10</v>
      </c>
      <c r="I490" s="4">
        <v>10</v>
      </c>
      <c r="J490" s="4" t="s">
        <v>8</v>
      </c>
      <c r="K490" s="4" t="s">
        <v>7</v>
      </c>
      <c r="L490" s="11"/>
      <c r="M490" s="3"/>
      <c r="N490"/>
      <c r="O490" s="4"/>
      <c r="P490" s="1"/>
      <c r="Q490" s="22"/>
      <c r="R490" t="s">
        <v>113</v>
      </c>
      <c r="S490" s="11"/>
      <c r="T490" t="s">
        <v>1602</v>
      </c>
      <c r="U490"/>
      <c r="V490" s="1"/>
      <c r="W490" s="1"/>
    </row>
    <row r="491" spans="2:23" x14ac:dyDescent="0.35">
      <c r="B491" s="4">
        <v>20022079</v>
      </c>
      <c r="C491" s="1" t="s">
        <v>344</v>
      </c>
      <c r="D491" s="4" t="s">
        <v>86</v>
      </c>
      <c r="E491" s="3" t="s">
        <v>115</v>
      </c>
      <c r="F491" s="3" t="s">
        <v>89</v>
      </c>
      <c r="G491">
        <v>3</v>
      </c>
      <c r="H491" s="4">
        <v>8</v>
      </c>
      <c r="I491" s="4">
        <v>3</v>
      </c>
      <c r="J491" s="4" t="s">
        <v>8</v>
      </c>
      <c r="K491" s="4" t="s">
        <v>7</v>
      </c>
      <c r="L491" s="11"/>
      <c r="M491" s="3"/>
      <c r="N491"/>
      <c r="O491" s="4"/>
      <c r="P491" s="1"/>
      <c r="Q491" s="22"/>
      <c r="R491" t="s">
        <v>116</v>
      </c>
      <c r="S491" s="11"/>
      <c r="T491" t="s">
        <v>1602</v>
      </c>
      <c r="U491"/>
      <c r="V491" s="1"/>
      <c r="W491" s="1"/>
    </row>
    <row r="492" spans="2:23" x14ac:dyDescent="0.35">
      <c r="B492" s="4">
        <v>20022104</v>
      </c>
      <c r="C492" s="1" t="s">
        <v>345</v>
      </c>
      <c r="D492" s="4" t="s">
        <v>86</v>
      </c>
      <c r="E492" s="3" t="s">
        <v>115</v>
      </c>
      <c r="F492" s="3" t="s">
        <v>89</v>
      </c>
      <c r="G492">
        <v>5</v>
      </c>
      <c r="H492" s="4">
        <v>10</v>
      </c>
      <c r="I492" s="4">
        <v>8</v>
      </c>
      <c r="J492" s="4" t="s">
        <v>8</v>
      </c>
      <c r="K492" s="4" t="s">
        <v>7</v>
      </c>
      <c r="L492" s="11"/>
      <c r="M492" s="3"/>
      <c r="N492"/>
      <c r="O492" s="4"/>
      <c r="P492" s="1"/>
      <c r="Q492" s="22"/>
      <c r="R492" t="s">
        <v>116</v>
      </c>
      <c r="S492" s="11"/>
      <c r="T492" t="s">
        <v>1602</v>
      </c>
      <c r="U492"/>
      <c r="V492" s="1"/>
      <c r="W492" s="1"/>
    </row>
    <row r="493" spans="2:23" x14ac:dyDescent="0.35">
      <c r="B493" s="4">
        <v>20022141</v>
      </c>
      <c r="C493" s="1" t="s">
        <v>346</v>
      </c>
      <c r="D493" s="4" t="s">
        <v>86</v>
      </c>
      <c r="E493" s="3" t="s">
        <v>87</v>
      </c>
      <c r="F493" s="3" t="s">
        <v>89</v>
      </c>
      <c r="G493">
        <v>1</v>
      </c>
      <c r="H493" s="4">
        <v>1</v>
      </c>
      <c r="I493" s="4">
        <v>1</v>
      </c>
      <c r="J493" s="4" t="s">
        <v>8</v>
      </c>
      <c r="K493" s="4" t="s">
        <v>7</v>
      </c>
      <c r="L493" s="11"/>
      <c r="M493" s="3"/>
      <c r="N493"/>
      <c r="O493" s="4"/>
      <c r="P493" s="1"/>
      <c r="Q493" s="22"/>
      <c r="R493" t="s">
        <v>88</v>
      </c>
      <c r="S493" s="11"/>
      <c r="T493" t="s">
        <v>71</v>
      </c>
      <c r="U493"/>
      <c r="V493" s="1"/>
      <c r="W493" s="1"/>
    </row>
    <row r="494" spans="2:23" x14ac:dyDescent="0.35">
      <c r="B494" s="4">
        <v>20022150</v>
      </c>
      <c r="C494" s="1" t="s">
        <v>347</v>
      </c>
      <c r="D494" s="4" t="s">
        <v>86</v>
      </c>
      <c r="E494" s="3" t="s">
        <v>118</v>
      </c>
      <c r="F494" s="3" t="s">
        <v>89</v>
      </c>
      <c r="G494">
        <v>4</v>
      </c>
      <c r="H494" s="4">
        <v>6</v>
      </c>
      <c r="I494" s="4">
        <v>6</v>
      </c>
      <c r="J494" s="4" t="s">
        <v>8</v>
      </c>
      <c r="K494" s="4" t="s">
        <v>7</v>
      </c>
      <c r="L494" s="11"/>
      <c r="M494" s="3"/>
      <c r="N494"/>
      <c r="O494" s="4"/>
      <c r="P494" s="1"/>
      <c r="Q494" s="22"/>
      <c r="R494" t="s">
        <v>148</v>
      </c>
      <c r="S494" s="11"/>
      <c r="T494" t="s">
        <v>70</v>
      </c>
      <c r="U494"/>
      <c r="V494" s="1"/>
      <c r="W494" s="1"/>
    </row>
    <row r="495" spans="2:23" x14ac:dyDescent="0.35">
      <c r="B495" s="4">
        <v>20021665</v>
      </c>
      <c r="C495" s="1" t="s">
        <v>1491</v>
      </c>
      <c r="D495" s="4" t="s">
        <v>86</v>
      </c>
      <c r="E495" s="3"/>
      <c r="F495" s="3" t="s">
        <v>68</v>
      </c>
      <c r="G495">
        <v>2</v>
      </c>
      <c r="H495" s="4">
        <v>2</v>
      </c>
      <c r="I495" s="4">
        <v>5</v>
      </c>
      <c r="J495" s="4" t="s">
        <v>8</v>
      </c>
      <c r="K495" s="4" t="s">
        <v>14</v>
      </c>
      <c r="L495" s="11"/>
      <c r="M495" s="3"/>
      <c r="N495"/>
      <c r="O495" s="4"/>
      <c r="P495" s="1"/>
      <c r="Q495" s="22"/>
      <c r="R495"/>
      <c r="S495" s="11"/>
      <c r="T495" t="s">
        <v>70</v>
      </c>
      <c r="U495"/>
      <c r="V495" s="1"/>
      <c r="W495" s="1"/>
    </row>
    <row r="496" spans="2:23" x14ac:dyDescent="0.35">
      <c r="B496" s="4">
        <v>20022229</v>
      </c>
      <c r="C496" s="1" t="s">
        <v>348</v>
      </c>
      <c r="D496" s="4" t="s">
        <v>86</v>
      </c>
      <c r="E496" s="3" t="s">
        <v>118</v>
      </c>
      <c r="F496" s="3" t="s">
        <v>89</v>
      </c>
      <c r="G496">
        <v>1</v>
      </c>
      <c r="H496" s="4">
        <v>1</v>
      </c>
      <c r="I496" s="4">
        <v>1</v>
      </c>
      <c r="J496" s="4" t="s">
        <v>8</v>
      </c>
      <c r="K496" s="4" t="s">
        <v>7</v>
      </c>
      <c r="L496" s="11"/>
      <c r="M496" s="3"/>
      <c r="N496"/>
      <c r="O496" s="4"/>
      <c r="P496" s="1"/>
      <c r="Q496" s="22"/>
      <c r="R496" t="s">
        <v>148</v>
      </c>
      <c r="S496" s="11"/>
      <c r="T496" t="s">
        <v>67</v>
      </c>
      <c r="U496"/>
      <c r="V496" s="1"/>
      <c r="W496" s="1"/>
    </row>
    <row r="497" spans="2:23" x14ac:dyDescent="0.35">
      <c r="B497" s="4">
        <v>20022336</v>
      </c>
      <c r="C497" s="1" t="s">
        <v>349</v>
      </c>
      <c r="D497" s="4" t="s">
        <v>86</v>
      </c>
      <c r="E497" s="3"/>
      <c r="F497" s="3" t="s">
        <v>89</v>
      </c>
      <c r="G497">
        <v>10</v>
      </c>
      <c r="H497" s="4">
        <v>5</v>
      </c>
      <c r="I497" s="4">
        <v>11</v>
      </c>
      <c r="J497" s="4" t="s">
        <v>8</v>
      </c>
      <c r="K497" s="4" t="s">
        <v>7</v>
      </c>
      <c r="L497" s="11"/>
      <c r="M497" s="3"/>
      <c r="N497"/>
      <c r="O497" s="4"/>
      <c r="P497" s="1"/>
      <c r="Q497" s="22"/>
      <c r="R497" t="s">
        <v>116</v>
      </c>
      <c r="S497" s="11"/>
      <c r="T497" t="s">
        <v>69</v>
      </c>
      <c r="U497"/>
      <c r="V497" s="1"/>
      <c r="W497" s="1"/>
    </row>
    <row r="498" spans="2:23" x14ac:dyDescent="0.35">
      <c r="B498" s="4">
        <v>20022432</v>
      </c>
      <c r="C498" s="1" t="s">
        <v>350</v>
      </c>
      <c r="D498" s="4" t="s">
        <v>86</v>
      </c>
      <c r="E498" s="3" t="s">
        <v>115</v>
      </c>
      <c r="F498" s="3" t="s">
        <v>89</v>
      </c>
      <c r="G498">
        <v>1</v>
      </c>
      <c r="H498" s="4">
        <v>1</v>
      </c>
      <c r="I498" s="4">
        <v>17</v>
      </c>
      <c r="J498" s="4" t="s">
        <v>8</v>
      </c>
      <c r="K498" s="4" t="s">
        <v>14</v>
      </c>
      <c r="L498" s="11"/>
      <c r="M498" s="3"/>
      <c r="N498"/>
      <c r="O498" s="4"/>
      <c r="P498" s="1"/>
      <c r="Q498" s="22"/>
      <c r="R498" t="s">
        <v>116</v>
      </c>
      <c r="S498" s="11"/>
      <c r="T498" t="s">
        <v>69</v>
      </c>
      <c r="U498"/>
      <c r="V498" s="1"/>
      <c r="W498" s="1"/>
    </row>
    <row r="499" spans="2:23" x14ac:dyDescent="0.35">
      <c r="B499" s="4">
        <v>20021907</v>
      </c>
      <c r="C499" s="1" t="s">
        <v>1366</v>
      </c>
      <c r="D499" s="4" t="s">
        <v>86</v>
      </c>
      <c r="E499" s="3"/>
      <c r="F499" s="3" t="s">
        <v>68</v>
      </c>
      <c r="G499">
        <v>2</v>
      </c>
      <c r="H499" s="4">
        <v>2</v>
      </c>
      <c r="I499" s="4">
        <v>2</v>
      </c>
      <c r="J499" s="4" t="s">
        <v>8</v>
      </c>
      <c r="K499" s="4" t="s">
        <v>7</v>
      </c>
      <c r="L499" s="11"/>
      <c r="M499" s="3"/>
      <c r="N499"/>
      <c r="O499" s="4"/>
      <c r="P499" s="1"/>
      <c r="Q499" s="22"/>
      <c r="R499"/>
      <c r="S499" s="11"/>
      <c r="T499" t="s">
        <v>66</v>
      </c>
      <c r="U499"/>
      <c r="V499" s="1"/>
      <c r="W499" s="1"/>
    </row>
    <row r="500" spans="2:23" x14ac:dyDescent="0.35">
      <c r="B500" s="4">
        <v>20022436</v>
      </c>
      <c r="C500" s="1" t="s">
        <v>351</v>
      </c>
      <c r="D500" s="4" t="s">
        <v>86</v>
      </c>
      <c r="E500" s="3" t="s">
        <v>118</v>
      </c>
      <c r="F500" s="3" t="s">
        <v>89</v>
      </c>
      <c r="G500">
        <v>1</v>
      </c>
      <c r="H500" s="4">
        <v>1</v>
      </c>
      <c r="I500" s="4">
        <v>70</v>
      </c>
      <c r="J500" s="4" t="s">
        <v>8</v>
      </c>
      <c r="K500" s="4" t="s">
        <v>14</v>
      </c>
      <c r="L500" s="11"/>
      <c r="M500" s="3"/>
      <c r="N500"/>
      <c r="O500" s="4"/>
      <c r="P500" s="1"/>
      <c r="Q500" s="22"/>
      <c r="R500" t="s">
        <v>156</v>
      </c>
      <c r="S500" s="11"/>
      <c r="T500" t="s">
        <v>70</v>
      </c>
      <c r="U500"/>
      <c r="V500" s="1"/>
      <c r="W500" s="1"/>
    </row>
    <row r="501" spans="2:23" x14ac:dyDescent="0.35">
      <c r="B501" s="4">
        <v>20021909</v>
      </c>
      <c r="C501" s="1" t="s">
        <v>1347</v>
      </c>
      <c r="D501" s="4" t="s">
        <v>86</v>
      </c>
      <c r="E501" s="3"/>
      <c r="F501" s="3" t="s">
        <v>68</v>
      </c>
      <c r="G501">
        <v>2</v>
      </c>
      <c r="H501" s="4">
        <v>4</v>
      </c>
      <c r="I501" s="4">
        <v>4</v>
      </c>
      <c r="J501" s="4" t="s">
        <v>8</v>
      </c>
      <c r="K501" s="4" t="s">
        <v>7</v>
      </c>
      <c r="L501" s="11"/>
      <c r="M501" s="3"/>
      <c r="N501"/>
      <c r="O501" s="4"/>
      <c r="P501" s="1"/>
      <c r="Q501" s="22"/>
      <c r="R501"/>
      <c r="S501" s="11"/>
      <c r="T501" t="s">
        <v>70</v>
      </c>
      <c r="U501"/>
      <c r="V501" s="1"/>
      <c r="W501" s="1"/>
    </row>
    <row r="502" spans="2:23" x14ac:dyDescent="0.35">
      <c r="B502" s="4">
        <v>20022673</v>
      </c>
      <c r="C502" s="1" t="s">
        <v>352</v>
      </c>
      <c r="D502" s="4" t="s">
        <v>86</v>
      </c>
      <c r="E502" s="3" t="s">
        <v>97</v>
      </c>
      <c r="F502" s="3" t="s">
        <v>89</v>
      </c>
      <c r="G502">
        <v>3</v>
      </c>
      <c r="H502" s="4">
        <v>4</v>
      </c>
      <c r="I502" s="4">
        <v>10</v>
      </c>
      <c r="J502" s="4" t="s">
        <v>8</v>
      </c>
      <c r="K502" s="4" t="s">
        <v>14</v>
      </c>
      <c r="L502" s="11"/>
      <c r="M502" s="3"/>
      <c r="N502"/>
      <c r="O502" s="4"/>
      <c r="P502" s="1"/>
      <c r="Q502" s="22"/>
      <c r="R502" t="s">
        <v>98</v>
      </c>
      <c r="S502" s="11"/>
      <c r="T502" t="s">
        <v>1602</v>
      </c>
      <c r="U502"/>
      <c r="V502" s="1"/>
      <c r="W502" s="1"/>
    </row>
    <row r="503" spans="2:23" x14ac:dyDescent="0.35">
      <c r="B503" s="4">
        <v>20022011</v>
      </c>
      <c r="C503" s="1" t="s">
        <v>1388</v>
      </c>
      <c r="D503" s="4" t="s">
        <v>86</v>
      </c>
      <c r="E503" s="3"/>
      <c r="F503" s="3" t="s">
        <v>68</v>
      </c>
      <c r="G503">
        <v>5</v>
      </c>
      <c r="H503" s="4">
        <v>5</v>
      </c>
      <c r="I503" s="4">
        <v>7</v>
      </c>
      <c r="J503" s="4" t="s">
        <v>8</v>
      </c>
      <c r="K503" s="4" t="s">
        <v>7</v>
      </c>
      <c r="L503" s="11"/>
      <c r="M503" s="3"/>
      <c r="N503"/>
      <c r="O503" s="4"/>
      <c r="P503" s="1"/>
      <c r="Q503" s="22"/>
      <c r="R503"/>
      <c r="S503" s="11"/>
      <c r="T503" t="s">
        <v>69</v>
      </c>
      <c r="U503"/>
      <c r="V503" s="1"/>
      <c r="W503" s="1"/>
    </row>
    <row r="504" spans="2:23" x14ac:dyDescent="0.35">
      <c r="B504" s="4">
        <v>20022057</v>
      </c>
      <c r="C504" s="1" t="s">
        <v>1057</v>
      </c>
      <c r="D504" s="4" t="s">
        <v>86</v>
      </c>
      <c r="E504" s="3"/>
      <c r="F504" s="3" t="s">
        <v>68</v>
      </c>
      <c r="G504">
        <v>20</v>
      </c>
      <c r="H504" s="4">
        <v>20</v>
      </c>
      <c r="I504" s="4">
        <v>103</v>
      </c>
      <c r="J504" s="4" t="s">
        <v>8</v>
      </c>
      <c r="K504" s="4" t="s">
        <v>14</v>
      </c>
      <c r="L504" s="11"/>
      <c r="M504" s="3"/>
      <c r="N504"/>
      <c r="O504" s="4"/>
      <c r="P504" s="1"/>
      <c r="Q504" s="22"/>
      <c r="R504"/>
      <c r="S504" s="11"/>
      <c r="T504" t="s">
        <v>1603</v>
      </c>
      <c r="U504"/>
      <c r="V504" s="1"/>
      <c r="W504" s="1"/>
    </row>
    <row r="505" spans="2:23" x14ac:dyDescent="0.35">
      <c r="B505" s="4">
        <v>20022425</v>
      </c>
      <c r="C505" s="1" t="s">
        <v>871</v>
      </c>
      <c r="D505" s="4" t="s">
        <v>86</v>
      </c>
      <c r="E505" s="3"/>
      <c r="F505" s="3" t="s">
        <v>102</v>
      </c>
      <c r="G505">
        <v>20</v>
      </c>
      <c r="H505" s="4">
        <v>24</v>
      </c>
      <c r="I505" s="4">
        <v>42</v>
      </c>
      <c r="J505" s="4" t="s">
        <v>8</v>
      </c>
      <c r="K505" s="4" t="s">
        <v>7</v>
      </c>
      <c r="L505" s="11"/>
      <c r="M505" s="3"/>
      <c r="N505"/>
      <c r="O505" s="4"/>
      <c r="P505" s="1"/>
      <c r="Q505" s="22"/>
      <c r="R505"/>
      <c r="S505" s="11"/>
      <c r="T505" t="s">
        <v>66</v>
      </c>
      <c r="U505"/>
      <c r="V505" s="1"/>
      <c r="W505" s="1"/>
    </row>
    <row r="506" spans="2:23" x14ac:dyDescent="0.35">
      <c r="B506" s="4">
        <v>20022683</v>
      </c>
      <c r="C506" s="1" t="s">
        <v>1389</v>
      </c>
      <c r="D506" s="4" t="s">
        <v>86</v>
      </c>
      <c r="E506" s="3"/>
      <c r="F506" s="3" t="s">
        <v>68</v>
      </c>
      <c r="G506">
        <v>10</v>
      </c>
      <c r="H506" s="4">
        <v>20</v>
      </c>
      <c r="I506" s="4">
        <v>22</v>
      </c>
      <c r="J506" s="4" t="s">
        <v>8</v>
      </c>
      <c r="K506" s="4" t="s">
        <v>7</v>
      </c>
      <c r="L506" s="11"/>
      <c r="M506" s="3"/>
      <c r="N506"/>
      <c r="O506" s="4"/>
      <c r="P506" s="1"/>
      <c r="Q506" s="22"/>
      <c r="R506"/>
      <c r="S506" s="11"/>
      <c r="T506" t="s">
        <v>66</v>
      </c>
      <c r="U506"/>
      <c r="V506" s="1"/>
      <c r="W506" s="1"/>
    </row>
    <row r="507" spans="2:23" x14ac:dyDescent="0.35">
      <c r="B507" s="4">
        <v>20022697</v>
      </c>
      <c r="C507" s="1" t="s">
        <v>1249</v>
      </c>
      <c r="D507" s="4" t="s">
        <v>86</v>
      </c>
      <c r="E507" s="3"/>
      <c r="F507" s="3" t="s">
        <v>68</v>
      </c>
      <c r="G507">
        <v>2</v>
      </c>
      <c r="H507" s="4">
        <v>2</v>
      </c>
      <c r="I507" s="4">
        <v>3</v>
      </c>
      <c r="J507" s="4" t="s">
        <v>8</v>
      </c>
      <c r="K507" s="4" t="s">
        <v>7</v>
      </c>
      <c r="L507" s="11"/>
      <c r="M507" s="3"/>
      <c r="N507"/>
      <c r="O507" s="4"/>
      <c r="P507" s="1"/>
      <c r="Q507" s="22"/>
      <c r="R507"/>
      <c r="S507" s="11"/>
      <c r="T507" t="s">
        <v>1603</v>
      </c>
      <c r="U507"/>
      <c r="V507" s="1"/>
      <c r="W507" s="1"/>
    </row>
    <row r="508" spans="2:23" x14ac:dyDescent="0.35">
      <c r="B508" s="4">
        <v>20022698</v>
      </c>
      <c r="C508" s="1" t="s">
        <v>363</v>
      </c>
      <c r="D508" s="4" t="s">
        <v>86</v>
      </c>
      <c r="E508" s="3"/>
      <c r="F508" s="3" t="s">
        <v>68</v>
      </c>
      <c r="G508">
        <v>20</v>
      </c>
      <c r="H508" s="4">
        <v>20</v>
      </c>
      <c r="I508" s="4">
        <v>23</v>
      </c>
      <c r="J508" s="4" t="s">
        <v>8</v>
      </c>
      <c r="K508" s="4" t="s">
        <v>7</v>
      </c>
      <c r="L508" s="11"/>
      <c r="M508" s="3"/>
      <c r="N508"/>
      <c r="O508" s="4"/>
      <c r="P508" s="1"/>
      <c r="Q508" s="22"/>
      <c r="R508"/>
      <c r="S508" s="11"/>
      <c r="T508" t="s">
        <v>69</v>
      </c>
      <c r="U508"/>
      <c r="V508" s="1"/>
      <c r="W508" s="1"/>
    </row>
    <row r="509" spans="2:23" x14ac:dyDescent="0.35">
      <c r="B509" s="4">
        <v>20022707</v>
      </c>
      <c r="C509" s="1" t="s">
        <v>364</v>
      </c>
      <c r="D509" s="4" t="s">
        <v>86</v>
      </c>
      <c r="E509" s="3"/>
      <c r="F509" s="3" t="s">
        <v>68</v>
      </c>
      <c r="G509">
        <v>5</v>
      </c>
      <c r="H509" s="4">
        <v>10</v>
      </c>
      <c r="I509" s="4">
        <v>22</v>
      </c>
      <c r="J509" s="4" t="s">
        <v>8</v>
      </c>
      <c r="K509" s="4" t="s">
        <v>14</v>
      </c>
      <c r="L509" s="11"/>
      <c r="M509" s="3"/>
      <c r="N509"/>
      <c r="O509" s="4"/>
      <c r="P509" s="1"/>
      <c r="Q509" s="22"/>
      <c r="R509"/>
      <c r="S509" s="11"/>
      <c r="T509" t="s">
        <v>1603</v>
      </c>
      <c r="U509"/>
      <c r="V509" s="1"/>
      <c r="W509" s="1"/>
    </row>
    <row r="510" spans="2:23" x14ac:dyDescent="0.35">
      <c r="B510" s="4">
        <v>20022711</v>
      </c>
      <c r="C510" s="1" t="s">
        <v>1250</v>
      </c>
      <c r="D510" s="4" t="s">
        <v>86</v>
      </c>
      <c r="E510" s="3"/>
      <c r="F510" s="3" t="s">
        <v>68</v>
      </c>
      <c r="G510">
        <v>2</v>
      </c>
      <c r="H510" s="4">
        <v>2</v>
      </c>
      <c r="I510" s="4">
        <v>3</v>
      </c>
      <c r="J510" s="4" t="s">
        <v>8</v>
      </c>
      <c r="K510" s="4" t="s">
        <v>7</v>
      </c>
      <c r="L510" s="11"/>
      <c r="M510" s="3"/>
      <c r="N510"/>
      <c r="O510" s="4"/>
      <c r="P510" s="1"/>
      <c r="Q510" s="22"/>
      <c r="R510"/>
      <c r="S510" s="11"/>
      <c r="T510" t="s">
        <v>70</v>
      </c>
      <c r="U510"/>
      <c r="V510" s="1"/>
      <c r="W510" s="1"/>
    </row>
    <row r="511" spans="2:23" x14ac:dyDescent="0.35">
      <c r="B511" s="4">
        <v>20022877</v>
      </c>
      <c r="C511" s="1" t="s">
        <v>365</v>
      </c>
      <c r="D511" s="4" t="s">
        <v>86</v>
      </c>
      <c r="E511" s="3"/>
      <c r="F511" s="3" t="s">
        <v>68</v>
      </c>
      <c r="G511">
        <v>1</v>
      </c>
      <c r="H511" s="4">
        <v>1</v>
      </c>
      <c r="I511" s="4">
        <v>4</v>
      </c>
      <c r="J511" s="4" t="s">
        <v>8</v>
      </c>
      <c r="K511" s="4" t="s">
        <v>14</v>
      </c>
      <c r="L511" s="11"/>
      <c r="M511" s="3"/>
      <c r="N511"/>
      <c r="O511" s="4"/>
      <c r="P511" s="1"/>
      <c r="Q511" s="22"/>
      <c r="R511"/>
      <c r="S511" s="11"/>
      <c r="T511" t="s">
        <v>1603</v>
      </c>
      <c r="U511"/>
      <c r="V511" s="1"/>
      <c r="W511" s="1"/>
    </row>
    <row r="512" spans="2:23" x14ac:dyDescent="0.35">
      <c r="B512" s="4">
        <v>20022878</v>
      </c>
      <c r="C512" s="1" t="s">
        <v>366</v>
      </c>
      <c r="D512" s="4" t="s">
        <v>86</v>
      </c>
      <c r="E512" s="3"/>
      <c r="F512" s="3" t="s">
        <v>68</v>
      </c>
      <c r="G512">
        <v>1</v>
      </c>
      <c r="H512" s="4">
        <v>1</v>
      </c>
      <c r="I512" s="4">
        <v>9</v>
      </c>
      <c r="J512" s="4" t="s">
        <v>8</v>
      </c>
      <c r="K512" s="4" t="s">
        <v>14</v>
      </c>
      <c r="L512" s="11"/>
      <c r="M512" s="3"/>
      <c r="N512"/>
      <c r="O512" s="4"/>
      <c r="P512" s="1"/>
      <c r="Q512" s="22"/>
      <c r="R512"/>
      <c r="S512" s="11"/>
      <c r="T512" t="s">
        <v>1603</v>
      </c>
      <c r="U512"/>
      <c r="V512" s="1"/>
      <c r="W512" s="1"/>
    </row>
    <row r="513" spans="2:23" x14ac:dyDescent="0.35">
      <c r="B513" s="4">
        <v>20022888</v>
      </c>
      <c r="C513" s="1" t="s">
        <v>367</v>
      </c>
      <c r="D513" s="4" t="s">
        <v>86</v>
      </c>
      <c r="E513" s="3"/>
      <c r="F513" s="3" t="s">
        <v>68</v>
      </c>
      <c r="G513">
        <v>880</v>
      </c>
      <c r="H513" s="4">
        <v>1500</v>
      </c>
      <c r="I513" s="4">
        <v>700</v>
      </c>
      <c r="J513" s="4" t="s">
        <v>25</v>
      </c>
      <c r="K513" s="4" t="s">
        <v>9</v>
      </c>
      <c r="L513" s="11">
        <v>1002716958</v>
      </c>
      <c r="M513" s="3">
        <v>1500</v>
      </c>
      <c r="N513"/>
      <c r="O513" s="4"/>
      <c r="P513" s="1"/>
      <c r="Q513" s="22"/>
      <c r="R513"/>
      <c r="S513" s="11"/>
      <c r="T513" t="s">
        <v>66</v>
      </c>
      <c r="U513"/>
      <c r="V513" s="1"/>
      <c r="W513" s="1"/>
    </row>
    <row r="514" spans="2:23" x14ac:dyDescent="0.35">
      <c r="B514" s="4">
        <v>20022922</v>
      </c>
      <c r="C514" s="1" t="s">
        <v>368</v>
      </c>
      <c r="D514" s="4" t="s">
        <v>86</v>
      </c>
      <c r="E514" s="3"/>
      <c r="F514" s="3" t="s">
        <v>68</v>
      </c>
      <c r="G514">
        <v>3</v>
      </c>
      <c r="H514" s="4">
        <v>7</v>
      </c>
      <c r="I514" s="4">
        <v>4</v>
      </c>
      <c r="J514" s="4" t="s">
        <v>8</v>
      </c>
      <c r="K514" s="4" t="s">
        <v>7</v>
      </c>
      <c r="L514" s="11"/>
      <c r="M514" s="3"/>
      <c r="N514"/>
      <c r="O514" s="4"/>
      <c r="P514" s="1"/>
      <c r="Q514" s="22"/>
      <c r="R514"/>
      <c r="S514" s="11"/>
      <c r="T514" t="s">
        <v>67</v>
      </c>
      <c r="U514"/>
      <c r="V514" s="1"/>
      <c r="W514" s="1"/>
    </row>
    <row r="515" spans="2:23" x14ac:dyDescent="0.35">
      <c r="B515" s="4">
        <v>20022924</v>
      </c>
      <c r="C515" s="1" t="s">
        <v>369</v>
      </c>
      <c r="D515" s="4" t="s">
        <v>86</v>
      </c>
      <c r="E515" s="3"/>
      <c r="F515" s="3" t="s">
        <v>68</v>
      </c>
      <c r="G515">
        <v>3</v>
      </c>
      <c r="H515" s="4">
        <v>6</v>
      </c>
      <c r="I515" s="4">
        <v>16</v>
      </c>
      <c r="J515" s="4" t="s">
        <v>8</v>
      </c>
      <c r="K515" s="4" t="s">
        <v>14</v>
      </c>
      <c r="L515" s="11"/>
      <c r="M515" s="3"/>
      <c r="N515"/>
      <c r="O515" s="4"/>
      <c r="P515" s="1"/>
      <c r="Q515" s="22"/>
      <c r="R515"/>
      <c r="S515" s="11"/>
      <c r="T515" t="s">
        <v>67</v>
      </c>
      <c r="U515"/>
      <c r="V515" s="1"/>
      <c r="W515" s="1"/>
    </row>
    <row r="516" spans="2:23" x14ac:dyDescent="0.35">
      <c r="B516" s="4">
        <v>20022992</v>
      </c>
      <c r="C516" s="1" t="s">
        <v>370</v>
      </c>
      <c r="D516" s="4" t="s">
        <v>86</v>
      </c>
      <c r="E516" s="3"/>
      <c r="F516" s="3" t="s">
        <v>68</v>
      </c>
      <c r="G516">
        <v>4000</v>
      </c>
      <c r="H516" s="4">
        <v>6000</v>
      </c>
      <c r="I516" s="4">
        <v>4000</v>
      </c>
      <c r="J516" s="4" t="s">
        <v>8</v>
      </c>
      <c r="K516" s="4" t="s">
        <v>7</v>
      </c>
      <c r="L516" s="11"/>
      <c r="M516" s="3"/>
      <c r="N516"/>
      <c r="O516" s="4"/>
      <c r="P516" s="1"/>
      <c r="Q516" s="22"/>
      <c r="R516"/>
      <c r="S516" s="11"/>
      <c r="T516" t="s">
        <v>1603</v>
      </c>
      <c r="U516"/>
      <c r="V516" s="1"/>
      <c r="W516" s="1"/>
    </row>
    <row r="517" spans="2:23" x14ac:dyDescent="0.35">
      <c r="B517" s="4">
        <v>20023010</v>
      </c>
      <c r="C517" s="1" t="s">
        <v>371</v>
      </c>
      <c r="D517" s="4" t="s">
        <v>86</v>
      </c>
      <c r="E517" s="3"/>
      <c r="F517" s="3" t="s">
        <v>68</v>
      </c>
      <c r="G517">
        <v>3</v>
      </c>
      <c r="H517" s="4">
        <v>2</v>
      </c>
      <c r="I517" s="4">
        <v>3</v>
      </c>
      <c r="J517" s="4" t="s">
        <v>8</v>
      </c>
      <c r="K517" s="4" t="s">
        <v>7</v>
      </c>
      <c r="L517" s="11"/>
      <c r="M517" s="3"/>
      <c r="N517"/>
      <c r="O517" s="4"/>
      <c r="P517" s="1"/>
      <c r="Q517" s="22"/>
      <c r="R517"/>
      <c r="S517" s="11"/>
      <c r="T517" t="s">
        <v>67</v>
      </c>
      <c r="U517"/>
      <c r="V517" s="1"/>
      <c r="W517" s="1"/>
    </row>
    <row r="518" spans="2:23" x14ac:dyDescent="0.35">
      <c r="B518" s="4">
        <v>20023022</v>
      </c>
      <c r="C518" s="1" t="s">
        <v>372</v>
      </c>
      <c r="D518" s="4" t="s">
        <v>86</v>
      </c>
      <c r="E518" s="3"/>
      <c r="F518" s="3" t="s">
        <v>68</v>
      </c>
      <c r="G518">
        <v>5</v>
      </c>
      <c r="H518" s="4">
        <v>10</v>
      </c>
      <c r="I518" s="4">
        <v>9</v>
      </c>
      <c r="J518" s="4" t="s">
        <v>8</v>
      </c>
      <c r="K518" s="4" t="s">
        <v>7</v>
      </c>
      <c r="L518" s="11"/>
      <c r="M518" s="3"/>
      <c r="N518"/>
      <c r="O518" s="4"/>
      <c r="P518" s="1"/>
      <c r="Q518" s="22"/>
      <c r="R518"/>
      <c r="S518" s="11"/>
      <c r="T518" t="s">
        <v>1602</v>
      </c>
      <c r="U518"/>
      <c r="V518" s="1"/>
      <c r="W518" s="1"/>
    </row>
    <row r="519" spans="2:23" x14ac:dyDescent="0.35">
      <c r="B519" s="4">
        <v>20023087</v>
      </c>
      <c r="C519" s="1" t="s">
        <v>373</v>
      </c>
      <c r="D519" s="4" t="s">
        <v>86</v>
      </c>
      <c r="E519" s="3"/>
      <c r="F519" s="3" t="s">
        <v>68</v>
      </c>
      <c r="G519">
        <v>4</v>
      </c>
      <c r="H519" s="4">
        <v>6</v>
      </c>
      <c r="I519" s="4">
        <v>5</v>
      </c>
      <c r="J519" s="4" t="s">
        <v>8</v>
      </c>
      <c r="K519" s="4" t="s">
        <v>7</v>
      </c>
      <c r="L519" s="11"/>
      <c r="M519" s="3"/>
      <c r="N519"/>
      <c r="O519" s="4"/>
      <c r="P519" s="1"/>
      <c r="Q519" s="22"/>
      <c r="R519"/>
      <c r="S519" s="11"/>
      <c r="T519" t="s">
        <v>70</v>
      </c>
      <c r="U519"/>
      <c r="V519" s="1"/>
      <c r="W519" s="1"/>
    </row>
    <row r="520" spans="2:23" x14ac:dyDescent="0.35">
      <c r="B520" s="4">
        <v>20023178</v>
      </c>
      <c r="C520" s="1" t="s">
        <v>374</v>
      </c>
      <c r="D520" s="4" t="s">
        <v>86</v>
      </c>
      <c r="E520" s="3"/>
      <c r="F520" s="3" t="s">
        <v>68</v>
      </c>
      <c r="G520">
        <v>2</v>
      </c>
      <c r="H520" s="4">
        <v>3</v>
      </c>
      <c r="I520" s="4">
        <v>4</v>
      </c>
      <c r="J520" s="4" t="s">
        <v>8</v>
      </c>
      <c r="K520" s="4" t="s">
        <v>7</v>
      </c>
      <c r="L520" s="11"/>
      <c r="M520" s="3"/>
      <c r="N520"/>
      <c r="O520" s="4"/>
      <c r="P520" s="1"/>
      <c r="Q520" s="22"/>
      <c r="R520"/>
      <c r="S520" s="11"/>
      <c r="T520" t="s">
        <v>1603</v>
      </c>
      <c r="U520"/>
      <c r="V520" s="1"/>
      <c r="W520" s="1"/>
    </row>
    <row r="521" spans="2:23" x14ac:dyDescent="0.35">
      <c r="B521" s="4">
        <v>20023179</v>
      </c>
      <c r="C521" s="1" t="s">
        <v>375</v>
      </c>
      <c r="D521" s="4" t="s">
        <v>86</v>
      </c>
      <c r="E521" s="3"/>
      <c r="F521" s="3" t="s">
        <v>68</v>
      </c>
      <c r="G521">
        <v>20</v>
      </c>
      <c r="H521" s="4">
        <v>20</v>
      </c>
      <c r="I521" s="4">
        <v>29</v>
      </c>
      <c r="J521" s="4" t="s">
        <v>8</v>
      </c>
      <c r="K521" s="4" t="s">
        <v>7</v>
      </c>
      <c r="L521" s="11"/>
      <c r="M521" s="3"/>
      <c r="N521"/>
      <c r="O521" s="4"/>
      <c r="P521" s="1"/>
      <c r="Q521" s="22"/>
      <c r="R521"/>
      <c r="S521" s="11"/>
      <c r="T521" t="s">
        <v>1603</v>
      </c>
      <c r="U521"/>
      <c r="V521" s="1"/>
      <c r="W521" s="1"/>
    </row>
    <row r="522" spans="2:23" x14ac:dyDescent="0.35">
      <c r="B522" s="4">
        <v>20023241</v>
      </c>
      <c r="C522" s="1" t="s">
        <v>376</v>
      </c>
      <c r="D522" s="4" t="s">
        <v>86</v>
      </c>
      <c r="E522" s="3"/>
      <c r="F522" s="3" t="s">
        <v>68</v>
      </c>
      <c r="G522">
        <v>2</v>
      </c>
      <c r="H522" s="4">
        <v>1</v>
      </c>
      <c r="I522" s="4">
        <v>6</v>
      </c>
      <c r="J522" s="4" t="s">
        <v>8</v>
      </c>
      <c r="K522" s="4" t="s">
        <v>14</v>
      </c>
      <c r="L522" s="11"/>
      <c r="M522" s="3"/>
      <c r="N522"/>
      <c r="O522" s="4"/>
      <c r="P522" s="1"/>
      <c r="Q522" s="22"/>
      <c r="R522"/>
      <c r="S522" s="11"/>
      <c r="T522" t="s">
        <v>66</v>
      </c>
      <c r="U522"/>
      <c r="V522" s="1"/>
      <c r="W522" s="1"/>
    </row>
    <row r="523" spans="2:23" x14ac:dyDescent="0.35">
      <c r="B523" s="4">
        <v>20023269</v>
      </c>
      <c r="C523" s="1" t="s">
        <v>377</v>
      </c>
      <c r="D523" s="4" t="s">
        <v>86</v>
      </c>
      <c r="E523" s="3"/>
      <c r="F523" s="3" t="s">
        <v>68</v>
      </c>
      <c r="G523">
        <v>15</v>
      </c>
      <c r="H523" s="4">
        <v>20</v>
      </c>
      <c r="I523" s="4">
        <v>33</v>
      </c>
      <c r="J523" s="4" t="s">
        <v>8</v>
      </c>
      <c r="K523" s="4" t="s">
        <v>7</v>
      </c>
      <c r="L523" s="11"/>
      <c r="M523" s="3"/>
      <c r="N523"/>
      <c r="O523" s="4"/>
      <c r="P523" s="1"/>
      <c r="Q523" s="22"/>
      <c r="R523"/>
      <c r="S523" s="11"/>
      <c r="T523" t="s">
        <v>70</v>
      </c>
      <c r="U523"/>
      <c r="V523" s="1"/>
      <c r="W523" s="1"/>
    </row>
    <row r="524" spans="2:23" x14ac:dyDescent="0.35">
      <c r="B524" s="4">
        <v>20023350</v>
      </c>
      <c r="C524" s="1" t="s">
        <v>378</v>
      </c>
      <c r="D524" s="4" t="s">
        <v>86</v>
      </c>
      <c r="E524" s="3"/>
      <c r="F524" s="3" t="s">
        <v>68</v>
      </c>
      <c r="G524">
        <v>4</v>
      </c>
      <c r="H524" s="4">
        <v>4</v>
      </c>
      <c r="I524" s="4">
        <v>1</v>
      </c>
      <c r="J524" s="4" t="s">
        <v>8</v>
      </c>
      <c r="K524" s="4" t="s">
        <v>9</v>
      </c>
      <c r="L524" s="11">
        <v>1002703442</v>
      </c>
      <c r="M524" s="3">
        <v>6</v>
      </c>
      <c r="N524"/>
      <c r="O524" s="4"/>
      <c r="P524" s="1"/>
      <c r="Q524" s="22"/>
      <c r="R524"/>
      <c r="S524" s="11"/>
      <c r="T524" t="s">
        <v>1602</v>
      </c>
      <c r="U524"/>
      <c r="V524" s="1"/>
      <c r="W524" s="1"/>
    </row>
    <row r="525" spans="2:23" x14ac:dyDescent="0.35">
      <c r="B525" s="4">
        <v>20023401</v>
      </c>
      <c r="C525" s="1" t="s">
        <v>379</v>
      </c>
      <c r="D525" s="4" t="s">
        <v>86</v>
      </c>
      <c r="E525" s="3"/>
      <c r="F525" s="3" t="s">
        <v>68</v>
      </c>
      <c r="G525">
        <v>10</v>
      </c>
      <c r="H525" s="4">
        <v>10</v>
      </c>
      <c r="I525" s="4">
        <v>12</v>
      </c>
      <c r="J525" s="4" t="s">
        <v>8</v>
      </c>
      <c r="K525" s="4" t="s">
        <v>7</v>
      </c>
      <c r="L525" s="11"/>
      <c r="M525" s="3"/>
      <c r="N525"/>
      <c r="O525" s="4"/>
      <c r="P525" s="1"/>
      <c r="Q525" s="22"/>
      <c r="R525"/>
      <c r="S525" s="11"/>
      <c r="T525" t="s">
        <v>71</v>
      </c>
      <c r="U525"/>
      <c r="V525" s="1"/>
      <c r="W525" s="1"/>
    </row>
    <row r="526" spans="2:23" x14ac:dyDescent="0.35">
      <c r="B526" s="4">
        <v>20023429</v>
      </c>
      <c r="C526" s="1" t="s">
        <v>380</v>
      </c>
      <c r="D526" s="4" t="s">
        <v>86</v>
      </c>
      <c r="E526" s="3"/>
      <c r="F526" s="3" t="s">
        <v>68</v>
      </c>
      <c r="G526">
        <v>3</v>
      </c>
      <c r="H526" s="4">
        <v>2</v>
      </c>
      <c r="I526" s="4">
        <v>2</v>
      </c>
      <c r="J526" s="4" t="s">
        <v>8</v>
      </c>
      <c r="K526" s="4" t="s">
        <v>9</v>
      </c>
      <c r="L526" s="11" t="s">
        <v>6895</v>
      </c>
      <c r="M526" s="3"/>
      <c r="N526"/>
      <c r="O526" s="4"/>
      <c r="P526" s="1"/>
      <c r="Q526" s="22"/>
      <c r="R526"/>
      <c r="S526" s="11" t="s">
        <v>6856</v>
      </c>
      <c r="T526" t="s">
        <v>70</v>
      </c>
      <c r="U526"/>
      <c r="V526" s="1"/>
      <c r="W526" s="1"/>
    </row>
    <row r="527" spans="2:23" x14ac:dyDescent="0.35">
      <c r="B527" s="4">
        <v>20023458</v>
      </c>
      <c r="C527" s="1" t="s">
        <v>1348</v>
      </c>
      <c r="D527" s="4" t="s">
        <v>86</v>
      </c>
      <c r="E527" s="3"/>
      <c r="F527" s="3" t="s">
        <v>68</v>
      </c>
      <c r="G527">
        <v>10</v>
      </c>
      <c r="H527" s="4">
        <v>10</v>
      </c>
      <c r="I527" s="4">
        <v>16</v>
      </c>
      <c r="J527" s="4" t="s">
        <v>8</v>
      </c>
      <c r="K527" s="4" t="s">
        <v>7</v>
      </c>
      <c r="L527" s="11"/>
      <c r="M527" s="3"/>
      <c r="N527"/>
      <c r="O527" s="4"/>
      <c r="P527" s="1"/>
      <c r="Q527" s="22"/>
      <c r="R527"/>
      <c r="S527" s="11"/>
      <c r="T527" t="s">
        <v>70</v>
      </c>
      <c r="U527"/>
      <c r="V527" s="1"/>
      <c r="W527" s="1"/>
    </row>
    <row r="528" spans="2:23" x14ac:dyDescent="0.35">
      <c r="B528" s="4">
        <v>20023576</v>
      </c>
      <c r="C528" s="1" t="s">
        <v>381</v>
      </c>
      <c r="D528" s="4" t="s">
        <v>86</v>
      </c>
      <c r="E528" s="3"/>
      <c r="F528" s="3" t="s">
        <v>68</v>
      </c>
      <c r="G528">
        <v>1000</v>
      </c>
      <c r="H528" s="4">
        <v>2000</v>
      </c>
      <c r="I528" s="4">
        <v>2000</v>
      </c>
      <c r="J528" s="4" t="s">
        <v>8</v>
      </c>
      <c r="K528" s="4" t="s">
        <v>7</v>
      </c>
      <c r="L528" s="11"/>
      <c r="M528" s="3"/>
      <c r="N528"/>
      <c r="O528" s="4"/>
      <c r="P528" s="1"/>
      <c r="Q528" s="22"/>
      <c r="R528"/>
      <c r="S528" s="11"/>
      <c r="T528" t="s">
        <v>1603</v>
      </c>
      <c r="U528"/>
      <c r="V528" s="1"/>
      <c r="W528" s="1"/>
    </row>
    <row r="529" spans="2:23" x14ac:dyDescent="0.35">
      <c r="B529" s="4">
        <v>20023655</v>
      </c>
      <c r="C529" s="1" t="s">
        <v>1285</v>
      </c>
      <c r="D529" s="4" t="s">
        <v>86</v>
      </c>
      <c r="E529" s="3"/>
      <c r="F529" s="3" t="s">
        <v>68</v>
      </c>
      <c r="G529">
        <v>6</v>
      </c>
      <c r="H529" s="4">
        <v>4</v>
      </c>
      <c r="I529" s="4">
        <v>10</v>
      </c>
      <c r="J529" s="4" t="s">
        <v>8</v>
      </c>
      <c r="K529" s="4" t="s">
        <v>7</v>
      </c>
      <c r="L529" s="11"/>
      <c r="M529" s="3"/>
      <c r="N529"/>
      <c r="O529" s="4"/>
      <c r="P529" s="1"/>
      <c r="Q529" s="22"/>
      <c r="R529"/>
      <c r="S529" s="11" t="s">
        <v>6866</v>
      </c>
      <c r="T529" t="s">
        <v>70</v>
      </c>
      <c r="U529"/>
      <c r="V529" s="1"/>
      <c r="W529" s="1"/>
    </row>
    <row r="530" spans="2:23" x14ac:dyDescent="0.35">
      <c r="B530" s="4">
        <v>20023659</v>
      </c>
      <c r="C530" s="1" t="s">
        <v>382</v>
      </c>
      <c r="D530" s="4" t="s">
        <v>86</v>
      </c>
      <c r="E530" s="3"/>
      <c r="F530" s="3" t="s">
        <v>68</v>
      </c>
      <c r="G530">
        <v>1</v>
      </c>
      <c r="H530" s="4">
        <v>1</v>
      </c>
      <c r="I530" s="4">
        <v>6</v>
      </c>
      <c r="J530" s="4" t="s">
        <v>8</v>
      </c>
      <c r="K530" s="4" t="s">
        <v>14</v>
      </c>
      <c r="L530" s="11"/>
      <c r="M530" s="3"/>
      <c r="N530"/>
      <c r="O530" s="4"/>
      <c r="P530" s="1"/>
      <c r="Q530" s="22"/>
      <c r="R530"/>
      <c r="S530" s="11"/>
      <c r="T530" t="s">
        <v>67</v>
      </c>
      <c r="U530"/>
      <c r="V530" s="1"/>
      <c r="W530" s="1"/>
    </row>
    <row r="531" spans="2:23" x14ac:dyDescent="0.35">
      <c r="B531" s="4">
        <v>20023707</v>
      </c>
      <c r="C531" s="1" t="s">
        <v>383</v>
      </c>
      <c r="D531" s="4" t="s">
        <v>86</v>
      </c>
      <c r="E531" s="3"/>
      <c r="F531" s="3" t="s">
        <v>68</v>
      </c>
      <c r="G531">
        <v>4</v>
      </c>
      <c r="H531" s="4">
        <v>6</v>
      </c>
      <c r="I531" s="4">
        <v>6</v>
      </c>
      <c r="J531" s="4" t="s">
        <v>8</v>
      </c>
      <c r="K531" s="4" t="s">
        <v>7</v>
      </c>
      <c r="L531" s="11"/>
      <c r="M531" s="3"/>
      <c r="N531"/>
      <c r="O531" s="4"/>
      <c r="P531" s="1"/>
      <c r="Q531" s="22"/>
      <c r="R531"/>
      <c r="S531" s="11"/>
      <c r="T531" t="s">
        <v>1603</v>
      </c>
      <c r="U531"/>
      <c r="V531" s="1"/>
      <c r="W531" s="1"/>
    </row>
    <row r="532" spans="2:23" x14ac:dyDescent="0.35">
      <c r="B532" s="4">
        <v>20023885</v>
      </c>
      <c r="C532" s="1" t="s">
        <v>1444</v>
      </c>
      <c r="D532" s="4" t="s">
        <v>86</v>
      </c>
      <c r="E532" s="3"/>
      <c r="F532" s="3" t="s">
        <v>68</v>
      </c>
      <c r="G532">
        <v>40</v>
      </c>
      <c r="H532" s="4">
        <v>66</v>
      </c>
      <c r="I532" s="4">
        <v>28</v>
      </c>
      <c r="J532" s="4" t="s">
        <v>8</v>
      </c>
      <c r="K532" s="4" t="s">
        <v>9</v>
      </c>
      <c r="L532" s="11"/>
      <c r="M532" s="3"/>
      <c r="N532">
        <v>4502710811</v>
      </c>
      <c r="O532" s="4">
        <v>66</v>
      </c>
      <c r="P532" s="1" t="s">
        <v>1396</v>
      </c>
      <c r="Q532" s="22">
        <v>46279</v>
      </c>
      <c r="R532"/>
      <c r="S532" s="11"/>
      <c r="T532" t="s">
        <v>66</v>
      </c>
      <c r="U532"/>
      <c r="V532" s="1"/>
      <c r="W532" s="1"/>
    </row>
    <row r="533" spans="2:23" x14ac:dyDescent="0.35">
      <c r="B533" s="4">
        <v>20024029</v>
      </c>
      <c r="C533" s="1" t="s">
        <v>384</v>
      </c>
      <c r="D533" s="4" t="s">
        <v>86</v>
      </c>
      <c r="E533" s="3"/>
      <c r="F533" s="3" t="s">
        <v>102</v>
      </c>
      <c r="G533">
        <v>51</v>
      </c>
      <c r="H533" s="4">
        <v>50</v>
      </c>
      <c r="I533" s="4">
        <v>77</v>
      </c>
      <c r="J533" s="4" t="s">
        <v>8</v>
      </c>
      <c r="K533" s="4" t="s">
        <v>7</v>
      </c>
      <c r="L533" s="11"/>
      <c r="M533" s="3"/>
      <c r="N533"/>
      <c r="O533" s="4"/>
      <c r="P533" s="1"/>
      <c r="Q533" s="22"/>
      <c r="R533"/>
      <c r="S533" s="11"/>
      <c r="T533" t="s">
        <v>71</v>
      </c>
      <c r="U533"/>
      <c r="V533" s="1"/>
      <c r="W533" s="1"/>
    </row>
    <row r="534" spans="2:23" x14ac:dyDescent="0.35">
      <c r="B534" s="4">
        <v>20024068</v>
      </c>
      <c r="C534" s="1" t="s">
        <v>386</v>
      </c>
      <c r="D534" s="4" t="s">
        <v>86</v>
      </c>
      <c r="E534" s="3"/>
      <c r="F534" s="3" t="s">
        <v>68</v>
      </c>
      <c r="G534">
        <v>13</v>
      </c>
      <c r="H534" s="4">
        <v>21</v>
      </c>
      <c r="I534" s="4">
        <v>30</v>
      </c>
      <c r="J534" s="4" t="s">
        <v>8</v>
      </c>
      <c r="K534" s="4" t="s">
        <v>7</v>
      </c>
      <c r="L534" s="11"/>
      <c r="M534" s="3"/>
      <c r="N534"/>
      <c r="O534" s="4"/>
      <c r="P534" s="1"/>
      <c r="Q534" s="22"/>
      <c r="R534"/>
      <c r="S534" s="11"/>
      <c r="T534" t="s">
        <v>70</v>
      </c>
      <c r="U534"/>
      <c r="V534" s="1"/>
      <c r="W534" s="1"/>
    </row>
    <row r="535" spans="2:23" x14ac:dyDescent="0.35">
      <c r="B535" s="4">
        <v>20024086</v>
      </c>
      <c r="C535" s="1" t="s">
        <v>387</v>
      </c>
      <c r="D535" s="4" t="s">
        <v>86</v>
      </c>
      <c r="E535" s="3"/>
      <c r="F535" s="3" t="s">
        <v>68</v>
      </c>
      <c r="G535">
        <v>1</v>
      </c>
      <c r="H535" s="4">
        <v>1</v>
      </c>
      <c r="I535" s="4">
        <v>18</v>
      </c>
      <c r="J535" s="4" t="s">
        <v>8</v>
      </c>
      <c r="K535" s="4" t="s">
        <v>14</v>
      </c>
      <c r="L535" s="11"/>
      <c r="M535" s="3"/>
      <c r="N535"/>
      <c r="O535" s="4"/>
      <c r="P535" s="1"/>
      <c r="Q535" s="22"/>
      <c r="R535"/>
      <c r="S535" s="11"/>
      <c r="T535" t="s">
        <v>70</v>
      </c>
      <c r="U535"/>
      <c r="V535" s="1"/>
      <c r="W535" s="1"/>
    </row>
    <row r="536" spans="2:23" x14ac:dyDescent="0.35">
      <c r="B536" s="4">
        <v>20024123</v>
      </c>
      <c r="C536" s="1" t="s">
        <v>1367</v>
      </c>
      <c r="D536" s="4" t="s">
        <v>86</v>
      </c>
      <c r="E536" s="3"/>
      <c r="F536" s="3" t="s">
        <v>68</v>
      </c>
      <c r="G536">
        <v>2</v>
      </c>
      <c r="H536" s="4">
        <v>2</v>
      </c>
      <c r="I536" s="4">
        <v>4</v>
      </c>
      <c r="J536" s="4" t="s">
        <v>8</v>
      </c>
      <c r="K536" s="4" t="s">
        <v>7</v>
      </c>
      <c r="L536" s="11"/>
      <c r="M536" s="3"/>
      <c r="N536"/>
      <c r="O536" s="4"/>
      <c r="P536" s="1"/>
      <c r="Q536" s="22"/>
      <c r="R536"/>
      <c r="S536" s="11"/>
      <c r="T536" t="s">
        <v>66</v>
      </c>
      <c r="U536"/>
      <c r="V536" s="1"/>
      <c r="W536" s="1"/>
    </row>
    <row r="537" spans="2:23" x14ac:dyDescent="0.35">
      <c r="B537" s="4">
        <v>20024319</v>
      </c>
      <c r="C537" s="1" t="s">
        <v>388</v>
      </c>
      <c r="D537" s="4" t="s">
        <v>86</v>
      </c>
      <c r="E537" s="3"/>
      <c r="F537" s="3" t="s">
        <v>68</v>
      </c>
      <c r="G537">
        <v>100</v>
      </c>
      <c r="H537" s="4">
        <v>100</v>
      </c>
      <c r="I537" s="4">
        <v>83</v>
      </c>
      <c r="J537" s="4" t="s">
        <v>21</v>
      </c>
      <c r="K537" s="4" t="s">
        <v>9</v>
      </c>
      <c r="L537" s="11"/>
      <c r="M537" s="3"/>
      <c r="N537">
        <v>4502710524</v>
      </c>
      <c r="O537" s="4">
        <v>150</v>
      </c>
      <c r="P537" s="1" t="s">
        <v>22</v>
      </c>
      <c r="Q537" s="22">
        <v>46263</v>
      </c>
      <c r="R537"/>
      <c r="S537" s="11"/>
      <c r="T537" t="s">
        <v>69</v>
      </c>
      <c r="U537"/>
      <c r="V537" s="1"/>
      <c r="W537" s="1"/>
    </row>
    <row r="538" spans="2:23" x14ac:dyDescent="0.35">
      <c r="B538" s="4">
        <v>20024336</v>
      </c>
      <c r="C538" s="1" t="s">
        <v>389</v>
      </c>
      <c r="D538" s="4" t="s">
        <v>86</v>
      </c>
      <c r="E538" s="3"/>
      <c r="F538" s="3" t="s">
        <v>68</v>
      </c>
      <c r="G538">
        <v>6</v>
      </c>
      <c r="H538" s="4">
        <v>20</v>
      </c>
      <c r="I538" s="4">
        <v>6</v>
      </c>
      <c r="J538" s="4" t="s">
        <v>8</v>
      </c>
      <c r="K538" s="4" t="s">
        <v>7</v>
      </c>
      <c r="L538" s="11"/>
      <c r="M538" s="3"/>
      <c r="N538"/>
      <c r="O538" s="4"/>
      <c r="P538" s="1"/>
      <c r="Q538" s="22"/>
      <c r="R538"/>
      <c r="S538" s="11"/>
      <c r="T538" t="s">
        <v>70</v>
      </c>
      <c r="U538"/>
      <c r="V538" s="1"/>
      <c r="W538" s="1"/>
    </row>
    <row r="539" spans="2:23" x14ac:dyDescent="0.35">
      <c r="B539" s="4">
        <v>20024363</v>
      </c>
      <c r="C539" s="1" t="s">
        <v>390</v>
      </c>
      <c r="D539" s="4" t="s">
        <v>86</v>
      </c>
      <c r="E539" s="3"/>
      <c r="F539" s="3" t="s">
        <v>68</v>
      </c>
      <c r="G539">
        <v>6</v>
      </c>
      <c r="H539" s="4">
        <v>5</v>
      </c>
      <c r="I539" s="4">
        <v>6</v>
      </c>
      <c r="J539" s="4" t="s">
        <v>8</v>
      </c>
      <c r="K539" s="4" t="s">
        <v>7</v>
      </c>
      <c r="L539" s="11"/>
      <c r="M539" s="3"/>
      <c r="N539"/>
      <c r="O539" s="4"/>
      <c r="P539" s="1"/>
      <c r="Q539" s="22"/>
      <c r="R539"/>
      <c r="S539" s="11"/>
      <c r="T539" t="s">
        <v>69</v>
      </c>
      <c r="U539"/>
      <c r="V539" s="1"/>
      <c r="W539" s="1"/>
    </row>
    <row r="540" spans="2:23" x14ac:dyDescent="0.35">
      <c r="B540" s="4">
        <v>20024371</v>
      </c>
      <c r="C540" s="1" t="s">
        <v>391</v>
      </c>
      <c r="D540" s="4" t="s">
        <v>86</v>
      </c>
      <c r="E540" s="3"/>
      <c r="F540" s="3" t="s">
        <v>68</v>
      </c>
      <c r="G540">
        <v>1</v>
      </c>
      <c r="H540" s="4">
        <v>1</v>
      </c>
      <c r="I540" s="4">
        <v>10</v>
      </c>
      <c r="J540" s="4" t="s">
        <v>8</v>
      </c>
      <c r="K540" s="4" t="s">
        <v>14</v>
      </c>
      <c r="L540" s="11"/>
      <c r="M540" s="3"/>
      <c r="N540"/>
      <c r="O540" s="4"/>
      <c r="P540" s="1"/>
      <c r="Q540" s="22"/>
      <c r="R540"/>
      <c r="S540" s="11"/>
      <c r="T540" t="s">
        <v>70</v>
      </c>
      <c r="U540"/>
      <c r="V540" s="1"/>
      <c r="W540" s="1"/>
    </row>
    <row r="541" spans="2:23" x14ac:dyDescent="0.35">
      <c r="B541" s="4">
        <v>20024453</v>
      </c>
      <c r="C541" s="1" t="s">
        <v>392</v>
      </c>
      <c r="D541" s="4" t="s">
        <v>86</v>
      </c>
      <c r="E541" s="3"/>
      <c r="F541" s="3" t="s">
        <v>68</v>
      </c>
      <c r="G541">
        <v>2</v>
      </c>
      <c r="H541" s="4">
        <v>3</v>
      </c>
      <c r="I541" s="4">
        <v>6</v>
      </c>
      <c r="J541" s="4" t="s">
        <v>8</v>
      </c>
      <c r="K541" s="4" t="s">
        <v>14</v>
      </c>
      <c r="L541" s="11"/>
      <c r="M541" s="3"/>
      <c r="N541"/>
      <c r="O541" s="4"/>
      <c r="P541" s="1"/>
      <c r="Q541" s="22"/>
      <c r="R541"/>
      <c r="S541" s="11"/>
      <c r="T541" t="s">
        <v>70</v>
      </c>
      <c r="U541"/>
      <c r="V541" s="1"/>
      <c r="W541" s="1"/>
    </row>
    <row r="542" spans="2:23" x14ac:dyDescent="0.35">
      <c r="B542" s="4">
        <v>20024458</v>
      </c>
      <c r="C542" s="1" t="s">
        <v>393</v>
      </c>
      <c r="D542" s="4" t="s">
        <v>86</v>
      </c>
      <c r="E542" s="3"/>
      <c r="F542" s="3" t="s">
        <v>68</v>
      </c>
      <c r="G542">
        <v>12</v>
      </c>
      <c r="H542" s="4">
        <v>12</v>
      </c>
      <c r="I542" s="4">
        <v>24</v>
      </c>
      <c r="J542" s="4" t="s">
        <v>8</v>
      </c>
      <c r="K542" s="4" t="s">
        <v>7</v>
      </c>
      <c r="L542" s="11">
        <v>1002709586</v>
      </c>
      <c r="M542" s="3">
        <v>18</v>
      </c>
      <c r="N542"/>
      <c r="O542" s="4"/>
      <c r="P542" s="1"/>
      <c r="Q542" s="22"/>
      <c r="R542"/>
      <c r="S542" s="11"/>
      <c r="T542" t="s">
        <v>70</v>
      </c>
      <c r="U542"/>
      <c r="V542" s="1"/>
      <c r="W542" s="1"/>
    </row>
    <row r="543" spans="2:23" x14ac:dyDescent="0.35">
      <c r="B543" s="4">
        <v>20024469</v>
      </c>
      <c r="C543" s="1" t="s">
        <v>394</v>
      </c>
      <c r="D543" s="4" t="s">
        <v>86</v>
      </c>
      <c r="E543" s="3"/>
      <c r="F543" s="3" t="s">
        <v>68</v>
      </c>
      <c r="G543">
        <v>1</v>
      </c>
      <c r="H543" s="4">
        <v>1</v>
      </c>
      <c r="I543" s="4">
        <v>8</v>
      </c>
      <c r="J543" s="4" t="s">
        <v>8</v>
      </c>
      <c r="K543" s="4" t="s">
        <v>14</v>
      </c>
      <c r="L543" s="11"/>
      <c r="M543" s="3"/>
      <c r="N543"/>
      <c r="O543" s="4"/>
      <c r="P543" s="1"/>
      <c r="Q543" s="22"/>
      <c r="R543"/>
      <c r="S543" s="11"/>
      <c r="T543" t="s">
        <v>70</v>
      </c>
      <c r="U543"/>
      <c r="V543" s="1"/>
      <c r="W543" s="1"/>
    </row>
    <row r="544" spans="2:23" x14ac:dyDescent="0.35">
      <c r="B544" s="4">
        <v>20024538</v>
      </c>
      <c r="C544" s="1" t="s">
        <v>395</v>
      </c>
      <c r="D544" s="4" t="s">
        <v>86</v>
      </c>
      <c r="E544" s="3"/>
      <c r="F544" s="3" t="s">
        <v>68</v>
      </c>
      <c r="G544">
        <v>3</v>
      </c>
      <c r="H544" s="4">
        <v>4</v>
      </c>
      <c r="I544" s="4">
        <v>93</v>
      </c>
      <c r="J544" s="4" t="s">
        <v>8</v>
      </c>
      <c r="K544" s="4" t="s">
        <v>14</v>
      </c>
      <c r="L544" s="11"/>
      <c r="M544" s="3"/>
      <c r="N544"/>
      <c r="O544" s="4"/>
      <c r="P544" s="1"/>
      <c r="Q544" s="22"/>
      <c r="R544"/>
      <c r="S544" s="11"/>
      <c r="T544" t="s">
        <v>69</v>
      </c>
      <c r="U544"/>
      <c r="V544" s="1"/>
      <c r="W544" s="1"/>
    </row>
    <row r="545" spans="2:23" x14ac:dyDescent="0.35">
      <c r="B545" s="4">
        <v>20024539</v>
      </c>
      <c r="C545" s="1" t="s">
        <v>396</v>
      </c>
      <c r="D545" s="4" t="s">
        <v>86</v>
      </c>
      <c r="E545" s="3"/>
      <c r="F545" s="3" t="s">
        <v>68</v>
      </c>
      <c r="G545">
        <v>22</v>
      </c>
      <c r="H545" s="4">
        <v>44</v>
      </c>
      <c r="I545" s="4">
        <v>30</v>
      </c>
      <c r="J545" s="4" t="s">
        <v>8</v>
      </c>
      <c r="K545" s="4" t="s">
        <v>7</v>
      </c>
      <c r="L545" s="11"/>
      <c r="M545" s="3"/>
      <c r="N545"/>
      <c r="O545" s="4"/>
      <c r="P545" s="1"/>
      <c r="Q545" s="22"/>
      <c r="R545"/>
      <c r="S545" s="11"/>
      <c r="T545" t="s">
        <v>69</v>
      </c>
      <c r="U545"/>
      <c r="V545" s="1"/>
      <c r="W545" s="1"/>
    </row>
    <row r="546" spans="2:23" x14ac:dyDescent="0.35">
      <c r="B546" s="4">
        <v>20024542</v>
      </c>
      <c r="C546" s="1" t="s">
        <v>397</v>
      </c>
      <c r="D546" s="4" t="s">
        <v>86</v>
      </c>
      <c r="E546" s="3"/>
      <c r="F546" s="3" t="s">
        <v>68</v>
      </c>
      <c r="G546">
        <v>4</v>
      </c>
      <c r="H546" s="4">
        <v>20</v>
      </c>
      <c r="I546" s="4">
        <v>12</v>
      </c>
      <c r="J546" s="4" t="s">
        <v>8</v>
      </c>
      <c r="K546" s="4" t="s">
        <v>7</v>
      </c>
      <c r="L546" s="11"/>
      <c r="M546" s="3"/>
      <c r="N546"/>
      <c r="O546" s="4"/>
      <c r="P546" s="1"/>
      <c r="Q546" s="22"/>
      <c r="R546"/>
      <c r="S546" s="11"/>
      <c r="T546" t="s">
        <v>70</v>
      </c>
      <c r="U546"/>
      <c r="V546" s="1"/>
      <c r="W546" s="1"/>
    </row>
    <row r="547" spans="2:23" x14ac:dyDescent="0.35">
      <c r="B547" s="4">
        <v>20024544</v>
      </c>
      <c r="C547" s="1" t="s">
        <v>398</v>
      </c>
      <c r="D547" s="4" t="s">
        <v>86</v>
      </c>
      <c r="E547" s="3"/>
      <c r="F547" s="3" t="s">
        <v>68</v>
      </c>
      <c r="G547">
        <v>3</v>
      </c>
      <c r="H547" s="4">
        <v>4</v>
      </c>
      <c r="I547" s="4">
        <v>46</v>
      </c>
      <c r="J547" s="4" t="s">
        <v>8</v>
      </c>
      <c r="K547" s="4" t="s">
        <v>14</v>
      </c>
      <c r="L547" s="11"/>
      <c r="M547" s="3"/>
      <c r="N547"/>
      <c r="O547" s="4"/>
      <c r="P547" s="1"/>
      <c r="Q547" s="22"/>
      <c r="R547"/>
      <c r="S547" s="11"/>
      <c r="T547" t="s">
        <v>69</v>
      </c>
      <c r="U547"/>
      <c r="V547" s="1"/>
      <c r="W547" s="1"/>
    </row>
    <row r="548" spans="2:23" x14ac:dyDescent="0.35">
      <c r="B548" s="4">
        <v>20024595</v>
      </c>
      <c r="C548" s="1" t="s">
        <v>399</v>
      </c>
      <c r="D548" s="4" t="s">
        <v>86</v>
      </c>
      <c r="E548" s="3"/>
      <c r="F548" s="3" t="s">
        <v>68</v>
      </c>
      <c r="G548">
        <v>307</v>
      </c>
      <c r="H548" s="4">
        <v>511</v>
      </c>
      <c r="I548" s="4">
        <v>2300</v>
      </c>
      <c r="J548" s="4" t="s">
        <v>8</v>
      </c>
      <c r="K548" s="4" t="s">
        <v>14</v>
      </c>
      <c r="L548" s="11"/>
      <c r="M548" s="3"/>
      <c r="N548"/>
      <c r="O548" s="4"/>
      <c r="P548" s="1"/>
      <c r="Q548" s="22"/>
      <c r="R548"/>
      <c r="S548" s="11"/>
      <c r="T548" t="s">
        <v>70</v>
      </c>
      <c r="U548"/>
      <c r="V548" s="1"/>
      <c r="W548" s="1"/>
    </row>
    <row r="549" spans="2:23" x14ac:dyDescent="0.35">
      <c r="B549" s="4">
        <v>20024596</v>
      </c>
      <c r="C549" s="1" t="s">
        <v>400</v>
      </c>
      <c r="D549" s="4" t="s">
        <v>86</v>
      </c>
      <c r="E549" s="3"/>
      <c r="F549" s="3" t="s">
        <v>68</v>
      </c>
      <c r="G549">
        <v>8</v>
      </c>
      <c r="H549" s="4">
        <v>10</v>
      </c>
      <c r="I549" s="4">
        <v>18</v>
      </c>
      <c r="J549" s="4" t="s">
        <v>8</v>
      </c>
      <c r="K549" s="4" t="s">
        <v>7</v>
      </c>
      <c r="L549" s="11"/>
      <c r="M549" s="3"/>
      <c r="N549"/>
      <c r="O549" s="4"/>
      <c r="P549" s="1"/>
      <c r="Q549" s="22"/>
      <c r="R549"/>
      <c r="S549" s="11"/>
      <c r="T549" t="s">
        <v>1603</v>
      </c>
      <c r="U549"/>
      <c r="V549" s="1"/>
      <c r="W549" s="1"/>
    </row>
    <row r="550" spans="2:23" x14ac:dyDescent="0.35">
      <c r="B550" s="4">
        <v>20024618</v>
      </c>
      <c r="C550" s="1" t="s">
        <v>56</v>
      </c>
      <c r="D550" s="4" t="s">
        <v>86</v>
      </c>
      <c r="E550" s="3"/>
      <c r="F550" s="3" t="s">
        <v>68</v>
      </c>
      <c r="G550">
        <v>6</v>
      </c>
      <c r="H550" s="4">
        <v>6</v>
      </c>
      <c r="I550" s="4">
        <v>9</v>
      </c>
      <c r="J550" s="4" t="s">
        <v>8</v>
      </c>
      <c r="K550" s="4" t="s">
        <v>7</v>
      </c>
      <c r="L550" s="11"/>
      <c r="M550" s="3"/>
      <c r="N550"/>
      <c r="O550" s="4"/>
      <c r="P550" s="1"/>
      <c r="Q550" s="22"/>
      <c r="R550"/>
      <c r="S550" s="11"/>
      <c r="T550" t="s">
        <v>69</v>
      </c>
      <c r="U550"/>
      <c r="V550" s="1"/>
      <c r="W550" s="1"/>
    </row>
    <row r="551" spans="2:23" x14ac:dyDescent="0.35">
      <c r="B551" s="4">
        <v>20024619</v>
      </c>
      <c r="C551" s="1" t="s">
        <v>57</v>
      </c>
      <c r="D551" s="4" t="s">
        <v>86</v>
      </c>
      <c r="E551" s="3"/>
      <c r="F551" s="3" t="s">
        <v>68</v>
      </c>
      <c r="G551">
        <v>6</v>
      </c>
      <c r="H551" s="4">
        <v>6</v>
      </c>
      <c r="I551" s="4">
        <v>5</v>
      </c>
      <c r="J551" s="4" t="s">
        <v>8</v>
      </c>
      <c r="K551" s="4" t="s">
        <v>9</v>
      </c>
      <c r="L551" s="11">
        <v>1002716957</v>
      </c>
      <c r="M551" s="3">
        <v>6</v>
      </c>
      <c r="N551"/>
      <c r="O551" s="4"/>
      <c r="P551" s="1"/>
      <c r="Q551" s="22"/>
      <c r="R551"/>
      <c r="S551" s="11"/>
      <c r="T551" t="s">
        <v>69</v>
      </c>
      <c r="U551"/>
      <c r="V551" s="1"/>
      <c r="W551" s="1"/>
    </row>
    <row r="552" spans="2:23" x14ac:dyDescent="0.35">
      <c r="B552" s="4">
        <v>20024742</v>
      </c>
      <c r="C552" s="1" t="s">
        <v>401</v>
      </c>
      <c r="D552" s="4" t="s">
        <v>86</v>
      </c>
      <c r="E552" s="3"/>
      <c r="F552" s="3" t="s">
        <v>68</v>
      </c>
      <c r="G552">
        <v>1000</v>
      </c>
      <c r="H552" s="4">
        <v>1000</v>
      </c>
      <c r="I552" s="4">
        <v>1233</v>
      </c>
      <c r="J552" s="4" t="s">
        <v>8</v>
      </c>
      <c r="K552" s="4" t="s">
        <v>7</v>
      </c>
      <c r="L552" s="11"/>
      <c r="M552" s="3"/>
      <c r="N552"/>
      <c r="O552" s="4"/>
      <c r="P552" s="1"/>
      <c r="Q552" s="22"/>
      <c r="R552"/>
      <c r="S552" s="11"/>
      <c r="T552" t="s">
        <v>1603</v>
      </c>
      <c r="U552"/>
      <c r="V552" s="1"/>
      <c r="W552" s="1"/>
    </row>
    <row r="553" spans="2:23" x14ac:dyDescent="0.35">
      <c r="B553" s="4">
        <v>20024748</v>
      </c>
      <c r="C553" s="1" t="s">
        <v>402</v>
      </c>
      <c r="D553" s="4" t="s">
        <v>86</v>
      </c>
      <c r="E553" s="3"/>
      <c r="F553" s="3" t="s">
        <v>68</v>
      </c>
      <c r="G553">
        <v>1</v>
      </c>
      <c r="H553" s="4">
        <v>1</v>
      </c>
      <c r="I553" s="4">
        <v>1</v>
      </c>
      <c r="J553" s="4" t="s">
        <v>8</v>
      </c>
      <c r="K553" s="4" t="s">
        <v>7</v>
      </c>
      <c r="L553" s="11"/>
      <c r="M553" s="3"/>
      <c r="N553"/>
      <c r="O553" s="4"/>
      <c r="P553" s="1"/>
      <c r="Q553" s="22"/>
      <c r="R553"/>
      <c r="S553" s="11"/>
      <c r="T553" t="s">
        <v>70</v>
      </c>
      <c r="U553"/>
      <c r="V553" s="1"/>
      <c r="W553" s="1"/>
    </row>
    <row r="554" spans="2:23" x14ac:dyDescent="0.35">
      <c r="B554" s="4">
        <v>20024813</v>
      </c>
      <c r="C554" s="1" t="s">
        <v>403</v>
      </c>
      <c r="D554" s="4" t="s">
        <v>86</v>
      </c>
      <c r="E554" s="3"/>
      <c r="F554" s="3" t="s">
        <v>68</v>
      </c>
      <c r="G554">
        <v>2</v>
      </c>
      <c r="H554" s="4">
        <v>3</v>
      </c>
      <c r="I554" s="4">
        <v>4</v>
      </c>
      <c r="J554" s="4" t="s">
        <v>8</v>
      </c>
      <c r="K554" s="4" t="s">
        <v>7</v>
      </c>
      <c r="L554" s="11"/>
      <c r="M554" s="3"/>
      <c r="N554"/>
      <c r="O554" s="4"/>
      <c r="P554" s="1"/>
      <c r="Q554" s="22"/>
      <c r="R554"/>
      <c r="S554" s="11"/>
      <c r="T554" t="s">
        <v>70</v>
      </c>
      <c r="U554"/>
      <c r="V554" s="1"/>
      <c r="W554" s="1"/>
    </row>
    <row r="555" spans="2:23" x14ac:dyDescent="0.35">
      <c r="B555" s="4">
        <v>20024829</v>
      </c>
      <c r="C555" s="1" t="s">
        <v>404</v>
      </c>
      <c r="D555" s="4" t="s">
        <v>86</v>
      </c>
      <c r="E555" s="3"/>
      <c r="F555" s="3" t="s">
        <v>68</v>
      </c>
      <c r="G555">
        <v>50</v>
      </c>
      <c r="H555" s="4">
        <v>50</v>
      </c>
      <c r="I555" s="4">
        <v>50</v>
      </c>
      <c r="J555" s="4" t="s">
        <v>8</v>
      </c>
      <c r="K555" s="4" t="s">
        <v>7</v>
      </c>
      <c r="L555" s="11"/>
      <c r="M555" s="3"/>
      <c r="N555"/>
      <c r="O555" s="4"/>
      <c r="P555" s="1"/>
      <c r="Q555" s="22"/>
      <c r="R555"/>
      <c r="S555" s="11"/>
      <c r="T555" t="s">
        <v>1603</v>
      </c>
      <c r="U555"/>
      <c r="V555" s="1"/>
      <c r="W555" s="1"/>
    </row>
    <row r="556" spans="2:23" x14ac:dyDescent="0.35">
      <c r="B556" s="4">
        <v>20024831</v>
      </c>
      <c r="C556" s="1" t="s">
        <v>405</v>
      </c>
      <c r="D556" s="4" t="s">
        <v>86</v>
      </c>
      <c r="E556" s="3"/>
      <c r="F556" s="3" t="s">
        <v>68</v>
      </c>
      <c r="G556">
        <v>18</v>
      </c>
      <c r="H556" s="4">
        <v>29</v>
      </c>
      <c r="I556" s="4">
        <v>20</v>
      </c>
      <c r="J556" s="4" t="s">
        <v>8</v>
      </c>
      <c r="K556" s="4" t="s">
        <v>7</v>
      </c>
      <c r="L556" s="11"/>
      <c r="M556" s="3"/>
      <c r="N556"/>
      <c r="O556" s="4"/>
      <c r="P556" s="1"/>
      <c r="Q556" s="22"/>
      <c r="R556"/>
      <c r="S556" s="11"/>
      <c r="T556" t="s">
        <v>70</v>
      </c>
      <c r="U556"/>
      <c r="V556" s="1"/>
      <c r="W556" s="1"/>
    </row>
    <row r="557" spans="2:23" x14ac:dyDescent="0.35">
      <c r="B557" s="4">
        <v>20024832</v>
      </c>
      <c r="C557" s="1" t="s">
        <v>406</v>
      </c>
      <c r="D557" s="4" t="s">
        <v>86</v>
      </c>
      <c r="E557" s="3"/>
      <c r="F557" s="3" t="s">
        <v>68</v>
      </c>
      <c r="G557">
        <v>7</v>
      </c>
      <c r="H557" s="4">
        <v>11</v>
      </c>
      <c r="I557" s="4">
        <v>744</v>
      </c>
      <c r="J557" s="4" t="s">
        <v>8</v>
      </c>
      <c r="K557" s="4" t="s">
        <v>14</v>
      </c>
      <c r="L557" s="11"/>
      <c r="M557" s="3"/>
      <c r="N557"/>
      <c r="O557" s="4"/>
      <c r="P557" s="1"/>
      <c r="Q557" s="22"/>
      <c r="R557"/>
      <c r="S557" s="11"/>
      <c r="T557" t="s">
        <v>70</v>
      </c>
      <c r="U557"/>
      <c r="V557" s="1"/>
      <c r="W557" s="1"/>
    </row>
    <row r="558" spans="2:23" x14ac:dyDescent="0.35">
      <c r="B558" s="4">
        <v>20024838</v>
      </c>
      <c r="C558" s="1" t="s">
        <v>407</v>
      </c>
      <c r="D558" s="4" t="s">
        <v>86</v>
      </c>
      <c r="E558" s="3"/>
      <c r="F558" s="3" t="s">
        <v>68</v>
      </c>
      <c r="G558">
        <v>3</v>
      </c>
      <c r="H558" s="4">
        <v>2</v>
      </c>
      <c r="I558" s="4">
        <v>5</v>
      </c>
      <c r="J558" s="4" t="s">
        <v>8</v>
      </c>
      <c r="K558" s="4" t="s">
        <v>7</v>
      </c>
      <c r="L558" s="11"/>
      <c r="M558" s="3"/>
      <c r="N558"/>
      <c r="O558" s="4"/>
      <c r="P558" s="1"/>
      <c r="Q558" s="22"/>
      <c r="R558"/>
      <c r="S558" s="11"/>
      <c r="T558" t="s">
        <v>70</v>
      </c>
      <c r="U558"/>
      <c r="V558" s="1"/>
      <c r="W558" s="1"/>
    </row>
    <row r="559" spans="2:23" x14ac:dyDescent="0.35">
      <c r="B559" s="4">
        <v>20024847</v>
      </c>
      <c r="C559" s="1" t="s">
        <v>408</v>
      </c>
      <c r="D559" s="4" t="s">
        <v>86</v>
      </c>
      <c r="E559" s="3"/>
      <c r="F559" s="3" t="s">
        <v>68</v>
      </c>
      <c r="G559">
        <v>2</v>
      </c>
      <c r="H559" s="4">
        <v>2</v>
      </c>
      <c r="I559" s="4">
        <v>2</v>
      </c>
      <c r="J559" s="4" t="s">
        <v>21</v>
      </c>
      <c r="K559" s="4" t="s">
        <v>7</v>
      </c>
      <c r="L559" s="11"/>
      <c r="M559" s="3"/>
      <c r="N559"/>
      <c r="O559" s="4"/>
      <c r="P559" s="1"/>
      <c r="Q559" s="22"/>
      <c r="R559"/>
      <c r="S559" s="11"/>
      <c r="T559" t="s">
        <v>69</v>
      </c>
      <c r="U559"/>
      <c r="V559" s="1"/>
      <c r="W559" s="1"/>
    </row>
    <row r="560" spans="2:23" x14ac:dyDescent="0.35">
      <c r="B560" s="4">
        <v>20024848</v>
      </c>
      <c r="C560" s="1" t="s">
        <v>409</v>
      </c>
      <c r="D560" s="4" t="s">
        <v>86</v>
      </c>
      <c r="E560" s="3"/>
      <c r="F560" s="3" t="s">
        <v>68</v>
      </c>
      <c r="G560">
        <v>4</v>
      </c>
      <c r="H560" s="4">
        <v>7</v>
      </c>
      <c r="I560" s="4">
        <v>6</v>
      </c>
      <c r="J560" s="4" t="s">
        <v>21</v>
      </c>
      <c r="K560" s="4" t="s">
        <v>7</v>
      </c>
      <c r="L560" s="11"/>
      <c r="M560" s="3"/>
      <c r="N560"/>
      <c r="O560" s="4"/>
      <c r="P560" s="1"/>
      <c r="Q560" s="22"/>
      <c r="R560"/>
      <c r="S560" s="11"/>
      <c r="T560" t="s">
        <v>69</v>
      </c>
      <c r="U560"/>
      <c r="V560" s="1"/>
      <c r="W560" s="1"/>
    </row>
    <row r="561" spans="2:23" x14ac:dyDescent="0.35">
      <c r="B561" s="4">
        <v>20024849</v>
      </c>
      <c r="C561" s="1" t="s">
        <v>410</v>
      </c>
      <c r="D561" s="4" t="s">
        <v>86</v>
      </c>
      <c r="E561" s="3"/>
      <c r="F561" s="3" t="s">
        <v>68</v>
      </c>
      <c r="G561">
        <v>7</v>
      </c>
      <c r="H561" s="4">
        <v>12</v>
      </c>
      <c r="I561" s="4">
        <v>13</v>
      </c>
      <c r="J561" s="4" t="s">
        <v>21</v>
      </c>
      <c r="K561" s="4" t="s">
        <v>7</v>
      </c>
      <c r="L561" s="11"/>
      <c r="M561" s="3"/>
      <c r="N561"/>
      <c r="O561" s="4"/>
      <c r="P561" s="1"/>
      <c r="Q561" s="22"/>
      <c r="R561"/>
      <c r="S561" s="11"/>
      <c r="T561" t="s">
        <v>69</v>
      </c>
      <c r="U561"/>
      <c r="V561" s="1"/>
      <c r="W561" s="1"/>
    </row>
    <row r="562" spans="2:23" x14ac:dyDescent="0.35">
      <c r="B562" s="4">
        <v>20024850</v>
      </c>
      <c r="C562" s="1" t="s">
        <v>411</v>
      </c>
      <c r="D562" s="4" t="s">
        <v>86</v>
      </c>
      <c r="E562" s="3"/>
      <c r="F562" s="3" t="s">
        <v>68</v>
      </c>
      <c r="G562">
        <v>6</v>
      </c>
      <c r="H562" s="4">
        <v>10</v>
      </c>
      <c r="I562" s="4">
        <v>5</v>
      </c>
      <c r="J562" s="4" t="s">
        <v>21</v>
      </c>
      <c r="K562" s="4" t="s">
        <v>9</v>
      </c>
      <c r="L562" s="11">
        <v>1002716957</v>
      </c>
      <c r="M562" s="3">
        <v>10</v>
      </c>
      <c r="N562"/>
      <c r="O562" s="4"/>
      <c r="P562" s="1"/>
      <c r="Q562" s="22"/>
      <c r="R562"/>
      <c r="S562" s="11"/>
      <c r="T562" t="s">
        <v>69</v>
      </c>
      <c r="U562"/>
      <c r="V562" s="1"/>
      <c r="W562" s="1"/>
    </row>
    <row r="563" spans="2:23" x14ac:dyDescent="0.35">
      <c r="B563" s="4">
        <v>20024852</v>
      </c>
      <c r="C563" s="1" t="s">
        <v>413</v>
      </c>
      <c r="D563" s="4" t="s">
        <v>86</v>
      </c>
      <c r="E563" s="3"/>
      <c r="F563" s="3" t="s">
        <v>68</v>
      </c>
      <c r="G563">
        <v>3</v>
      </c>
      <c r="H563" s="4">
        <v>5</v>
      </c>
      <c r="I563" s="4">
        <v>8</v>
      </c>
      <c r="J563" s="4" t="s">
        <v>21</v>
      </c>
      <c r="K563" s="4" t="s">
        <v>7</v>
      </c>
      <c r="L563" s="11"/>
      <c r="M563" s="3"/>
      <c r="N563"/>
      <c r="O563" s="4"/>
      <c r="P563" s="1"/>
      <c r="Q563" s="22"/>
      <c r="R563"/>
      <c r="S563" s="11"/>
      <c r="T563" t="s">
        <v>69</v>
      </c>
      <c r="U563"/>
      <c r="V563" s="1"/>
      <c r="W563" s="1"/>
    </row>
    <row r="564" spans="2:23" x14ac:dyDescent="0.35">
      <c r="B564" s="4">
        <v>20024955</v>
      </c>
      <c r="C564" s="1" t="s">
        <v>414</v>
      </c>
      <c r="D564" s="4" t="s">
        <v>86</v>
      </c>
      <c r="E564" s="3"/>
      <c r="F564" s="3" t="s">
        <v>68</v>
      </c>
      <c r="G564">
        <v>1</v>
      </c>
      <c r="H564" s="4">
        <v>1</v>
      </c>
      <c r="I564" s="4">
        <v>3</v>
      </c>
      <c r="J564" s="4" t="s">
        <v>8</v>
      </c>
      <c r="K564" s="4" t="s">
        <v>14</v>
      </c>
      <c r="L564" s="11"/>
      <c r="M564" s="3"/>
      <c r="N564"/>
      <c r="O564" s="4"/>
      <c r="P564" s="1"/>
      <c r="Q564" s="22"/>
      <c r="R564"/>
      <c r="S564" s="11"/>
      <c r="T564" t="s">
        <v>70</v>
      </c>
      <c r="U564"/>
      <c r="V564" s="1"/>
      <c r="W564" s="1"/>
    </row>
    <row r="565" spans="2:23" x14ac:dyDescent="0.35">
      <c r="B565" s="4">
        <v>20024957</v>
      </c>
      <c r="C565" s="1" t="s">
        <v>415</v>
      </c>
      <c r="D565" s="4" t="s">
        <v>86</v>
      </c>
      <c r="E565" s="3"/>
      <c r="F565" s="3" t="s">
        <v>68</v>
      </c>
      <c r="G565">
        <v>7</v>
      </c>
      <c r="H565" s="4">
        <v>6</v>
      </c>
      <c r="I565" s="4">
        <v>7</v>
      </c>
      <c r="J565" s="4" t="s">
        <v>21</v>
      </c>
      <c r="K565" s="4" t="s">
        <v>7</v>
      </c>
      <c r="L565" s="11"/>
      <c r="M565" s="3"/>
      <c r="N565"/>
      <c r="O565" s="4"/>
      <c r="P565" s="1"/>
      <c r="Q565" s="22"/>
      <c r="R565"/>
      <c r="S565" s="11"/>
      <c r="T565" t="s">
        <v>69</v>
      </c>
      <c r="U565"/>
      <c r="V565" s="1"/>
      <c r="W565" s="1"/>
    </row>
    <row r="566" spans="2:23" x14ac:dyDescent="0.35">
      <c r="B566" s="4">
        <v>20025047</v>
      </c>
      <c r="C566" s="1" t="s">
        <v>1497</v>
      </c>
      <c r="D566" s="4" t="s">
        <v>86</v>
      </c>
      <c r="E566" s="3"/>
      <c r="F566" s="3" t="s">
        <v>68</v>
      </c>
      <c r="G566">
        <v>4</v>
      </c>
      <c r="H566" s="4">
        <v>6</v>
      </c>
      <c r="I566" s="4">
        <v>6</v>
      </c>
      <c r="J566" s="4" t="s">
        <v>8</v>
      </c>
      <c r="K566" s="4" t="s">
        <v>7</v>
      </c>
      <c r="L566" s="11"/>
      <c r="M566" s="3"/>
      <c r="N566"/>
      <c r="O566" s="4"/>
      <c r="P566" s="1"/>
      <c r="Q566" s="22"/>
      <c r="R566"/>
      <c r="S566" s="11"/>
      <c r="T566" t="s">
        <v>66</v>
      </c>
      <c r="U566"/>
      <c r="V566" s="1"/>
      <c r="W566" s="1"/>
    </row>
    <row r="567" spans="2:23" x14ac:dyDescent="0.35">
      <c r="B567" s="4">
        <v>20025112</v>
      </c>
      <c r="C567" s="1" t="s">
        <v>419</v>
      </c>
      <c r="D567" s="4" t="s">
        <v>86</v>
      </c>
      <c r="E567" s="3"/>
      <c r="F567" s="3" t="s">
        <v>68</v>
      </c>
      <c r="G567">
        <v>1</v>
      </c>
      <c r="H567" s="4">
        <v>1</v>
      </c>
      <c r="I567" s="4">
        <v>3</v>
      </c>
      <c r="J567" s="4" t="s">
        <v>8</v>
      </c>
      <c r="K567" s="4" t="s">
        <v>14</v>
      </c>
      <c r="L567" s="11"/>
      <c r="M567" s="3"/>
      <c r="N567"/>
      <c r="O567" s="4"/>
      <c r="P567" s="1"/>
      <c r="Q567" s="22"/>
      <c r="R567"/>
      <c r="S567" s="11"/>
      <c r="T567" t="s">
        <v>70</v>
      </c>
      <c r="U567"/>
      <c r="V567" s="1"/>
      <c r="W567" s="1"/>
    </row>
    <row r="568" spans="2:23" x14ac:dyDescent="0.35">
      <c r="B568" s="4">
        <v>20025184</v>
      </c>
      <c r="C568" s="1" t="s">
        <v>420</v>
      </c>
      <c r="D568" s="4" t="s">
        <v>86</v>
      </c>
      <c r="E568" s="3"/>
      <c r="F568" s="3" t="s">
        <v>68</v>
      </c>
      <c r="G568">
        <v>38</v>
      </c>
      <c r="H568" s="4">
        <v>63</v>
      </c>
      <c r="I568" s="4">
        <v>100</v>
      </c>
      <c r="J568" s="4" t="s">
        <v>8</v>
      </c>
      <c r="K568" s="4" t="s">
        <v>7</v>
      </c>
      <c r="L568" s="11"/>
      <c r="M568" s="3"/>
      <c r="N568"/>
      <c r="O568" s="4"/>
      <c r="P568" s="1"/>
      <c r="Q568" s="22"/>
      <c r="R568"/>
      <c r="S568" s="11"/>
      <c r="T568" t="s">
        <v>70</v>
      </c>
      <c r="U568"/>
      <c r="V568" s="1"/>
      <c r="W568" s="1"/>
    </row>
    <row r="569" spans="2:23" x14ac:dyDescent="0.35">
      <c r="B569" s="4">
        <v>20025287</v>
      </c>
      <c r="C569" s="1" t="s">
        <v>1492</v>
      </c>
      <c r="D569" s="4" t="s">
        <v>86</v>
      </c>
      <c r="E569" s="3"/>
      <c r="F569" s="3" t="s">
        <v>68</v>
      </c>
      <c r="G569">
        <v>2</v>
      </c>
      <c r="H569" s="4">
        <v>2</v>
      </c>
      <c r="I569" s="4">
        <v>3</v>
      </c>
      <c r="J569" s="4" t="s">
        <v>8</v>
      </c>
      <c r="K569" s="4" t="s">
        <v>7</v>
      </c>
      <c r="L569" s="11"/>
      <c r="M569" s="3"/>
      <c r="N569"/>
      <c r="O569" s="4"/>
      <c r="P569" s="1"/>
      <c r="Q569" s="22"/>
      <c r="R569"/>
      <c r="S569" s="11"/>
      <c r="T569" t="s">
        <v>70</v>
      </c>
      <c r="U569"/>
      <c r="V569" s="1"/>
      <c r="W569" s="1"/>
    </row>
    <row r="570" spans="2:23" x14ac:dyDescent="0.35">
      <c r="B570" s="4">
        <v>20025289</v>
      </c>
      <c r="C570" s="1" t="s">
        <v>421</v>
      </c>
      <c r="D570" s="4" t="s">
        <v>86</v>
      </c>
      <c r="E570" s="3"/>
      <c r="F570" s="3" t="s">
        <v>68</v>
      </c>
      <c r="G570">
        <v>10</v>
      </c>
      <c r="H570" s="4">
        <v>10</v>
      </c>
      <c r="I570" s="4">
        <v>31</v>
      </c>
      <c r="J570" s="4" t="s">
        <v>8</v>
      </c>
      <c r="K570" s="4" t="s">
        <v>14</v>
      </c>
      <c r="L570" s="11"/>
      <c r="M570" s="3"/>
      <c r="N570"/>
      <c r="O570" s="4"/>
      <c r="P570" s="1"/>
      <c r="Q570" s="22"/>
      <c r="R570"/>
      <c r="S570" s="11"/>
      <c r="T570" t="s">
        <v>1603</v>
      </c>
      <c r="U570"/>
      <c r="V570" s="1"/>
      <c r="W570" s="1"/>
    </row>
    <row r="571" spans="2:23" x14ac:dyDescent="0.35">
      <c r="B571" s="4">
        <v>20025290</v>
      </c>
      <c r="C571" s="1" t="s">
        <v>422</v>
      </c>
      <c r="D571" s="4" t="s">
        <v>86</v>
      </c>
      <c r="E571" s="3"/>
      <c r="F571" s="3" t="s">
        <v>68</v>
      </c>
      <c r="G571">
        <v>5</v>
      </c>
      <c r="H571" s="4">
        <v>5</v>
      </c>
      <c r="I571" s="4">
        <v>8</v>
      </c>
      <c r="J571" s="4" t="s">
        <v>8</v>
      </c>
      <c r="K571" s="4" t="s">
        <v>7</v>
      </c>
      <c r="L571" s="11"/>
      <c r="M571" s="3"/>
      <c r="N571"/>
      <c r="O571" s="4"/>
      <c r="P571" s="1"/>
      <c r="Q571" s="22"/>
      <c r="R571"/>
      <c r="S571" s="11"/>
      <c r="T571" t="s">
        <v>1603</v>
      </c>
      <c r="U571"/>
      <c r="V571" s="1"/>
      <c r="W571" s="1"/>
    </row>
    <row r="572" spans="2:23" x14ac:dyDescent="0.35">
      <c r="B572" s="4">
        <v>20025291</v>
      </c>
      <c r="C572" s="1" t="s">
        <v>423</v>
      </c>
      <c r="D572" s="4" t="s">
        <v>86</v>
      </c>
      <c r="E572" s="3"/>
      <c r="F572" s="3" t="s">
        <v>68</v>
      </c>
      <c r="G572">
        <v>1</v>
      </c>
      <c r="H572" s="4">
        <v>1</v>
      </c>
      <c r="I572" s="4">
        <v>10</v>
      </c>
      <c r="J572" s="4" t="s">
        <v>8</v>
      </c>
      <c r="K572" s="4" t="s">
        <v>14</v>
      </c>
      <c r="L572" s="11"/>
      <c r="M572" s="3"/>
      <c r="N572"/>
      <c r="O572" s="4"/>
      <c r="P572" s="1"/>
      <c r="Q572" s="22"/>
      <c r="R572"/>
      <c r="S572" s="11"/>
      <c r="T572" t="s">
        <v>70</v>
      </c>
      <c r="U572"/>
      <c r="V572" s="1"/>
      <c r="W572" s="1"/>
    </row>
    <row r="573" spans="2:23" x14ac:dyDescent="0.35">
      <c r="B573" s="4">
        <v>20025461</v>
      </c>
      <c r="C573" s="1" t="s">
        <v>1399</v>
      </c>
      <c r="D573" s="4" t="s">
        <v>86</v>
      </c>
      <c r="E573" s="3"/>
      <c r="F573" s="3" t="s">
        <v>102</v>
      </c>
      <c r="G573">
        <v>4</v>
      </c>
      <c r="H573" s="4">
        <v>4</v>
      </c>
      <c r="I573" s="4">
        <v>2</v>
      </c>
      <c r="J573" s="4" t="s">
        <v>8</v>
      </c>
      <c r="K573" s="4" t="s">
        <v>9</v>
      </c>
      <c r="L573" s="11">
        <v>1002703441</v>
      </c>
      <c r="M573" s="3"/>
      <c r="N573"/>
      <c r="O573" s="4"/>
      <c r="P573" s="1"/>
      <c r="Q573" s="22"/>
      <c r="R573"/>
      <c r="S573" s="11"/>
      <c r="T573" t="s">
        <v>70</v>
      </c>
      <c r="U573"/>
      <c r="V573" s="1"/>
      <c r="W573" s="1"/>
    </row>
    <row r="574" spans="2:23" x14ac:dyDescent="0.35">
      <c r="B574" s="4">
        <v>20025463</v>
      </c>
      <c r="C574" s="1" t="s">
        <v>424</v>
      </c>
      <c r="D574" s="4" t="s">
        <v>86</v>
      </c>
      <c r="E574" s="3"/>
      <c r="F574" s="3" t="s">
        <v>68</v>
      </c>
      <c r="G574">
        <v>1</v>
      </c>
      <c r="H574" s="4">
        <v>1</v>
      </c>
      <c r="I574" s="4">
        <v>1</v>
      </c>
      <c r="J574" s="4" t="s">
        <v>8</v>
      </c>
      <c r="K574" s="4" t="s">
        <v>7</v>
      </c>
      <c r="L574" s="11"/>
      <c r="M574" s="3"/>
      <c r="N574"/>
      <c r="O574" s="4"/>
      <c r="P574" s="1"/>
      <c r="Q574" s="22"/>
      <c r="R574"/>
      <c r="S574" s="11"/>
      <c r="T574" t="s">
        <v>70</v>
      </c>
      <c r="U574"/>
      <c r="V574" s="1"/>
      <c r="W574" s="1"/>
    </row>
    <row r="575" spans="2:23" x14ac:dyDescent="0.35">
      <c r="B575" s="4">
        <v>20025466</v>
      </c>
      <c r="C575" s="1" t="s">
        <v>1485</v>
      </c>
      <c r="D575" s="4" t="s">
        <v>86</v>
      </c>
      <c r="E575" s="3"/>
      <c r="F575" s="3" t="s">
        <v>68</v>
      </c>
      <c r="G575">
        <v>19</v>
      </c>
      <c r="H575" s="4">
        <v>31</v>
      </c>
      <c r="I575" s="4">
        <v>37</v>
      </c>
      <c r="J575" s="4" t="s">
        <v>8</v>
      </c>
      <c r="K575" s="4" t="s">
        <v>7</v>
      </c>
      <c r="L575" s="11"/>
      <c r="M575" s="3"/>
      <c r="N575"/>
      <c r="O575" s="4"/>
      <c r="P575" s="1"/>
      <c r="Q575" s="22"/>
      <c r="R575"/>
      <c r="S575" s="11"/>
      <c r="T575" t="s">
        <v>67</v>
      </c>
      <c r="U575"/>
      <c r="V575" s="1"/>
      <c r="W575" s="1"/>
    </row>
    <row r="576" spans="2:23" x14ac:dyDescent="0.35">
      <c r="B576" s="4">
        <v>20025553</v>
      </c>
      <c r="C576" s="1" t="s">
        <v>1481</v>
      </c>
      <c r="D576" s="4" t="s">
        <v>86</v>
      </c>
      <c r="E576" s="3"/>
      <c r="F576" s="3" t="s">
        <v>68</v>
      </c>
      <c r="G576">
        <v>20</v>
      </c>
      <c r="H576" s="4">
        <v>20</v>
      </c>
      <c r="I576" s="4">
        <v>29</v>
      </c>
      <c r="J576" s="4" t="s">
        <v>8</v>
      </c>
      <c r="K576" s="4" t="s">
        <v>7</v>
      </c>
      <c r="L576" s="11"/>
      <c r="M576" s="3"/>
      <c r="N576"/>
      <c r="O576" s="4"/>
      <c r="P576" s="1"/>
      <c r="Q576" s="22"/>
      <c r="R576"/>
      <c r="S576" s="11"/>
      <c r="T576" t="s">
        <v>66</v>
      </c>
      <c r="U576"/>
      <c r="V576" s="1"/>
      <c r="W576" s="1"/>
    </row>
    <row r="577" spans="2:23" x14ac:dyDescent="0.35">
      <c r="B577" s="4">
        <v>20025554</v>
      </c>
      <c r="C577" s="1" t="s">
        <v>425</v>
      </c>
      <c r="D577" s="4" t="s">
        <v>86</v>
      </c>
      <c r="E577" s="3"/>
      <c r="F577" s="3" t="s">
        <v>68</v>
      </c>
      <c r="G577">
        <v>3</v>
      </c>
      <c r="H577" s="4">
        <v>4</v>
      </c>
      <c r="I577" s="4">
        <v>3</v>
      </c>
      <c r="J577" s="4" t="s">
        <v>8</v>
      </c>
      <c r="K577" s="4" t="s">
        <v>7</v>
      </c>
      <c r="L577" s="11"/>
      <c r="M577" s="3"/>
      <c r="N577"/>
      <c r="O577" s="4"/>
      <c r="P577" s="1"/>
      <c r="Q577" s="22"/>
      <c r="R577"/>
      <c r="S577" s="11"/>
      <c r="T577" t="s">
        <v>67</v>
      </c>
      <c r="U577"/>
      <c r="V577" s="1"/>
      <c r="W577" s="1"/>
    </row>
    <row r="578" spans="2:23" x14ac:dyDescent="0.35">
      <c r="B578" s="4">
        <v>20025559</v>
      </c>
      <c r="C578" s="1" t="s">
        <v>426</v>
      </c>
      <c r="D578" s="4" t="s">
        <v>86</v>
      </c>
      <c r="E578" s="3"/>
      <c r="F578" s="3" t="s">
        <v>68</v>
      </c>
      <c r="G578">
        <v>20</v>
      </c>
      <c r="H578" s="4">
        <v>20</v>
      </c>
      <c r="I578" s="4">
        <v>29</v>
      </c>
      <c r="J578" s="4" t="s">
        <v>8</v>
      </c>
      <c r="K578" s="4" t="s">
        <v>7</v>
      </c>
      <c r="L578" s="11"/>
      <c r="M578" s="3"/>
      <c r="N578"/>
      <c r="O578" s="4"/>
      <c r="P578" s="1"/>
      <c r="Q578" s="22"/>
      <c r="R578"/>
      <c r="S578" s="11"/>
      <c r="T578" t="s">
        <v>66</v>
      </c>
      <c r="U578"/>
      <c r="V578" s="1"/>
      <c r="W578" s="1"/>
    </row>
    <row r="579" spans="2:23" x14ac:dyDescent="0.35">
      <c r="B579" s="4">
        <v>20025560</v>
      </c>
      <c r="C579" s="1" t="s">
        <v>1342</v>
      </c>
      <c r="D579" s="4" t="s">
        <v>86</v>
      </c>
      <c r="E579" s="3"/>
      <c r="F579" s="3" t="s">
        <v>68</v>
      </c>
      <c r="G579">
        <v>20</v>
      </c>
      <c r="H579" s="4">
        <v>20</v>
      </c>
      <c r="I579" s="4">
        <v>27</v>
      </c>
      <c r="J579" s="4" t="s">
        <v>8</v>
      </c>
      <c r="K579" s="4" t="s">
        <v>7</v>
      </c>
      <c r="L579" s="11"/>
      <c r="M579" s="3"/>
      <c r="N579"/>
      <c r="O579" s="4"/>
      <c r="P579" s="1"/>
      <c r="Q579" s="22"/>
      <c r="R579"/>
      <c r="S579" s="11"/>
      <c r="T579" t="s">
        <v>66</v>
      </c>
      <c r="U579"/>
      <c r="V579" s="1"/>
      <c r="W579" s="1"/>
    </row>
    <row r="580" spans="2:23" x14ac:dyDescent="0.35">
      <c r="B580" s="4">
        <v>20025561</v>
      </c>
      <c r="C580" s="1" t="s">
        <v>427</v>
      </c>
      <c r="D580" s="4" t="s">
        <v>86</v>
      </c>
      <c r="E580" s="3"/>
      <c r="F580" s="3" t="s">
        <v>68</v>
      </c>
      <c r="G580">
        <v>6</v>
      </c>
      <c r="H580" s="4">
        <v>8</v>
      </c>
      <c r="I580" s="4">
        <v>13</v>
      </c>
      <c r="J580" s="4" t="s">
        <v>8</v>
      </c>
      <c r="K580" s="4" t="s">
        <v>7</v>
      </c>
      <c r="L580" s="11"/>
      <c r="M580" s="3"/>
      <c r="N580"/>
      <c r="O580" s="4"/>
      <c r="P580" s="1"/>
      <c r="Q580" s="22"/>
      <c r="R580"/>
      <c r="S580" s="11"/>
      <c r="T580" t="s">
        <v>66</v>
      </c>
      <c r="U580"/>
      <c r="V580" s="1"/>
      <c r="W580" s="1"/>
    </row>
    <row r="581" spans="2:23" x14ac:dyDescent="0.35">
      <c r="B581" s="4">
        <v>20025566</v>
      </c>
      <c r="C581" s="1" t="s">
        <v>428</v>
      </c>
      <c r="D581" s="4" t="s">
        <v>86</v>
      </c>
      <c r="E581" s="3"/>
      <c r="F581" s="3" t="s">
        <v>68</v>
      </c>
      <c r="G581">
        <v>100</v>
      </c>
      <c r="H581" s="4">
        <v>200</v>
      </c>
      <c r="I581" s="4">
        <v>136</v>
      </c>
      <c r="J581" s="4" t="s">
        <v>8</v>
      </c>
      <c r="K581" s="4" t="s">
        <v>7</v>
      </c>
      <c r="L581" s="11"/>
      <c r="M581" s="3"/>
      <c r="N581"/>
      <c r="O581" s="4"/>
      <c r="P581" s="1"/>
      <c r="Q581" s="22"/>
      <c r="R581"/>
      <c r="S581" s="11"/>
      <c r="T581" t="s">
        <v>69</v>
      </c>
      <c r="U581"/>
      <c r="V581" s="1"/>
      <c r="W581" s="1"/>
    </row>
    <row r="582" spans="2:23" x14ac:dyDescent="0.35">
      <c r="B582" s="4">
        <v>20025587</v>
      </c>
      <c r="C582" s="1" t="s">
        <v>429</v>
      </c>
      <c r="D582" s="4" t="s">
        <v>86</v>
      </c>
      <c r="E582" s="3"/>
      <c r="F582" s="3" t="s">
        <v>68</v>
      </c>
      <c r="G582">
        <v>8</v>
      </c>
      <c r="H582" s="4">
        <v>6</v>
      </c>
      <c r="I582" s="4">
        <v>11</v>
      </c>
      <c r="J582" s="4" t="s">
        <v>8</v>
      </c>
      <c r="K582" s="4" t="s">
        <v>7</v>
      </c>
      <c r="L582" s="11"/>
      <c r="M582" s="3"/>
      <c r="N582"/>
      <c r="O582" s="4"/>
      <c r="P582" s="1"/>
      <c r="Q582" s="22"/>
      <c r="R582"/>
      <c r="S582" s="11"/>
      <c r="T582" t="s">
        <v>1603</v>
      </c>
      <c r="U582"/>
      <c r="V582" s="1"/>
      <c r="W582" s="1"/>
    </row>
    <row r="583" spans="2:23" x14ac:dyDescent="0.35">
      <c r="B583" s="4">
        <v>20025677</v>
      </c>
      <c r="C583" s="1" t="s">
        <v>430</v>
      </c>
      <c r="D583" s="4" t="s">
        <v>86</v>
      </c>
      <c r="E583" s="3"/>
      <c r="F583" s="3" t="s">
        <v>68</v>
      </c>
      <c r="G583">
        <v>2</v>
      </c>
      <c r="H583" s="4">
        <v>3</v>
      </c>
      <c r="I583" s="4">
        <v>5</v>
      </c>
      <c r="J583" s="4" t="s">
        <v>8</v>
      </c>
      <c r="K583" s="4" t="s">
        <v>7</v>
      </c>
      <c r="L583" s="11"/>
      <c r="M583" s="3"/>
      <c r="N583"/>
      <c r="O583" s="4"/>
      <c r="P583" s="1"/>
      <c r="Q583" s="22"/>
      <c r="R583"/>
      <c r="S583" s="11"/>
      <c r="T583" t="s">
        <v>69</v>
      </c>
      <c r="U583"/>
      <c r="V583" s="1"/>
      <c r="W583" s="1"/>
    </row>
    <row r="584" spans="2:23" x14ac:dyDescent="0.35">
      <c r="B584" s="4">
        <v>20025678</v>
      </c>
      <c r="C584" s="1" t="s">
        <v>431</v>
      </c>
      <c r="D584" s="4" t="s">
        <v>86</v>
      </c>
      <c r="E584" s="3"/>
      <c r="F584" s="3" t="s">
        <v>68</v>
      </c>
      <c r="G584">
        <v>6</v>
      </c>
      <c r="H584" s="4">
        <v>12</v>
      </c>
      <c r="I584" s="4">
        <v>12</v>
      </c>
      <c r="J584" s="4" t="s">
        <v>8</v>
      </c>
      <c r="K584" s="4" t="s">
        <v>7</v>
      </c>
      <c r="L584" s="11"/>
      <c r="M584" s="3"/>
      <c r="N584"/>
      <c r="O584" s="4"/>
      <c r="P584" s="1"/>
      <c r="Q584" s="22"/>
      <c r="R584"/>
      <c r="S584" s="11"/>
      <c r="T584" t="s">
        <v>1602</v>
      </c>
      <c r="U584"/>
      <c r="V584" s="1"/>
      <c r="W584" s="1"/>
    </row>
    <row r="585" spans="2:23" x14ac:dyDescent="0.35">
      <c r="B585" s="4">
        <v>20025729</v>
      </c>
      <c r="C585" s="1" t="s">
        <v>432</v>
      </c>
      <c r="D585" s="4" t="s">
        <v>86</v>
      </c>
      <c r="E585" s="3"/>
      <c r="F585" s="3" t="s">
        <v>68</v>
      </c>
      <c r="G585">
        <v>10</v>
      </c>
      <c r="H585" s="4">
        <v>10</v>
      </c>
      <c r="I585" s="4">
        <v>10</v>
      </c>
      <c r="J585" s="4" t="s">
        <v>8</v>
      </c>
      <c r="K585" s="4" t="s">
        <v>7</v>
      </c>
      <c r="L585" s="11"/>
      <c r="M585" s="3"/>
      <c r="N585"/>
      <c r="O585" s="4"/>
      <c r="P585" s="1"/>
      <c r="Q585" s="22"/>
      <c r="R585"/>
      <c r="S585" s="11"/>
      <c r="T585" t="s">
        <v>1603</v>
      </c>
      <c r="U585"/>
      <c r="V585" s="1"/>
      <c r="W585" s="1"/>
    </row>
    <row r="586" spans="2:23" x14ac:dyDescent="0.35">
      <c r="B586" s="4">
        <v>20025731</v>
      </c>
      <c r="C586" s="1" t="s">
        <v>433</v>
      </c>
      <c r="D586" s="4" t="s">
        <v>86</v>
      </c>
      <c r="E586" s="3"/>
      <c r="F586" s="3" t="s">
        <v>68</v>
      </c>
      <c r="G586">
        <v>5</v>
      </c>
      <c r="H586" s="4">
        <v>5</v>
      </c>
      <c r="I586" s="4">
        <v>5</v>
      </c>
      <c r="J586" s="4" t="s">
        <v>8</v>
      </c>
      <c r="K586" s="4" t="s">
        <v>7</v>
      </c>
      <c r="L586" s="11"/>
      <c r="M586" s="3"/>
      <c r="N586"/>
      <c r="O586" s="4"/>
      <c r="P586" s="1"/>
      <c r="Q586" s="22"/>
      <c r="R586"/>
      <c r="S586" s="11"/>
      <c r="T586" t="s">
        <v>1603</v>
      </c>
      <c r="U586"/>
      <c r="V586" s="1"/>
      <c r="W586" s="1"/>
    </row>
    <row r="587" spans="2:23" x14ac:dyDescent="0.35">
      <c r="B587" s="4">
        <v>20025732</v>
      </c>
      <c r="C587" s="1" t="s">
        <v>434</v>
      </c>
      <c r="D587" s="4" t="s">
        <v>86</v>
      </c>
      <c r="E587" s="3"/>
      <c r="F587" s="3" t="s">
        <v>68</v>
      </c>
      <c r="G587">
        <v>1</v>
      </c>
      <c r="H587" s="4">
        <v>1</v>
      </c>
      <c r="I587" s="4">
        <v>10</v>
      </c>
      <c r="J587" s="4" t="s">
        <v>8</v>
      </c>
      <c r="K587" s="4" t="s">
        <v>14</v>
      </c>
      <c r="L587" s="11"/>
      <c r="M587" s="3"/>
      <c r="N587"/>
      <c r="O587" s="4"/>
      <c r="P587" s="1"/>
      <c r="Q587" s="22"/>
      <c r="R587"/>
      <c r="S587" s="11"/>
      <c r="T587" t="s">
        <v>70</v>
      </c>
      <c r="U587"/>
      <c r="V587" s="1"/>
      <c r="W587" s="1"/>
    </row>
    <row r="588" spans="2:23" x14ac:dyDescent="0.35">
      <c r="B588" s="4">
        <v>20025733</v>
      </c>
      <c r="C588" s="1" t="s">
        <v>435</v>
      </c>
      <c r="D588" s="4" t="s">
        <v>86</v>
      </c>
      <c r="E588" s="3"/>
      <c r="F588" s="3" t="s">
        <v>68</v>
      </c>
      <c r="G588">
        <v>5</v>
      </c>
      <c r="H588" s="4">
        <v>5</v>
      </c>
      <c r="I588" s="4">
        <v>7</v>
      </c>
      <c r="J588" s="4" t="s">
        <v>8</v>
      </c>
      <c r="K588" s="4" t="s">
        <v>7</v>
      </c>
      <c r="L588" s="11"/>
      <c r="M588" s="3"/>
      <c r="N588"/>
      <c r="O588" s="4"/>
      <c r="P588" s="1"/>
      <c r="Q588" s="22"/>
      <c r="R588"/>
      <c r="S588" s="11"/>
      <c r="T588" t="s">
        <v>1603</v>
      </c>
      <c r="U588"/>
      <c r="V588" s="1"/>
      <c r="W588" s="1"/>
    </row>
    <row r="589" spans="2:23" x14ac:dyDescent="0.35">
      <c r="B589" s="4">
        <v>20025734</v>
      </c>
      <c r="C589" s="1" t="s">
        <v>436</v>
      </c>
      <c r="D589" s="4" t="s">
        <v>86</v>
      </c>
      <c r="E589" s="3"/>
      <c r="F589" s="3" t="s">
        <v>68</v>
      </c>
      <c r="G589">
        <v>20</v>
      </c>
      <c r="H589" s="4">
        <v>30</v>
      </c>
      <c r="I589" s="4">
        <v>49</v>
      </c>
      <c r="J589" s="4" t="s">
        <v>8</v>
      </c>
      <c r="K589" s="4" t="s">
        <v>7</v>
      </c>
      <c r="L589" s="11"/>
      <c r="M589" s="3"/>
      <c r="N589"/>
      <c r="O589" s="4"/>
      <c r="P589" s="1"/>
      <c r="Q589" s="22"/>
      <c r="R589"/>
      <c r="S589" s="11"/>
      <c r="T589" t="s">
        <v>1603</v>
      </c>
      <c r="U589"/>
      <c r="V589" s="1"/>
      <c r="W589" s="1"/>
    </row>
    <row r="590" spans="2:23" x14ac:dyDescent="0.35">
      <c r="B590" s="4">
        <v>20025736</v>
      </c>
      <c r="C590" s="1" t="s">
        <v>437</v>
      </c>
      <c r="D590" s="4" t="s">
        <v>86</v>
      </c>
      <c r="E590" s="3"/>
      <c r="F590" s="3" t="s">
        <v>68</v>
      </c>
      <c r="G590">
        <v>1</v>
      </c>
      <c r="H590" s="4">
        <v>1</v>
      </c>
      <c r="I590" s="4">
        <v>6</v>
      </c>
      <c r="J590" s="4" t="s">
        <v>8</v>
      </c>
      <c r="K590" s="4" t="s">
        <v>14</v>
      </c>
      <c r="L590" s="11"/>
      <c r="M590" s="3"/>
      <c r="N590"/>
      <c r="O590" s="4"/>
      <c r="P590" s="1"/>
      <c r="Q590" s="22"/>
      <c r="R590"/>
      <c r="S590" s="11"/>
      <c r="T590" t="s">
        <v>70</v>
      </c>
      <c r="U590"/>
      <c r="V590" s="1"/>
      <c r="W590" s="1"/>
    </row>
    <row r="591" spans="2:23" x14ac:dyDescent="0.35">
      <c r="B591" s="4">
        <v>20025747</v>
      </c>
      <c r="C591" s="1" t="s">
        <v>438</v>
      </c>
      <c r="D591" s="4" t="s">
        <v>86</v>
      </c>
      <c r="E591" s="3"/>
      <c r="F591" s="3" t="s">
        <v>68</v>
      </c>
      <c r="G591">
        <v>1</v>
      </c>
      <c r="H591" s="4">
        <v>1</v>
      </c>
      <c r="I591" s="4">
        <v>8</v>
      </c>
      <c r="J591" s="4" t="s">
        <v>8</v>
      </c>
      <c r="K591" s="4" t="s">
        <v>14</v>
      </c>
      <c r="L591" s="11"/>
      <c r="M591" s="3"/>
      <c r="N591"/>
      <c r="O591" s="4"/>
      <c r="P591" s="1"/>
      <c r="Q591" s="22"/>
      <c r="R591"/>
      <c r="S591" s="11"/>
      <c r="T591" t="s">
        <v>70</v>
      </c>
      <c r="U591"/>
      <c r="V591" s="1"/>
      <c r="W591" s="1"/>
    </row>
    <row r="592" spans="2:23" x14ac:dyDescent="0.35">
      <c r="B592" s="4">
        <v>20025795</v>
      </c>
      <c r="C592" s="1" t="s">
        <v>439</v>
      </c>
      <c r="D592" s="4" t="s">
        <v>86</v>
      </c>
      <c r="E592" s="3"/>
      <c r="F592" s="3" t="s">
        <v>68</v>
      </c>
      <c r="G592">
        <v>5</v>
      </c>
      <c r="H592" s="4">
        <v>9</v>
      </c>
      <c r="I592" s="4">
        <v>9</v>
      </c>
      <c r="J592" s="4" t="s">
        <v>8</v>
      </c>
      <c r="K592" s="4" t="s">
        <v>7</v>
      </c>
      <c r="L592" s="11"/>
      <c r="M592" s="3"/>
      <c r="N592"/>
      <c r="O592" s="4"/>
      <c r="P592" s="1"/>
      <c r="Q592" s="22"/>
      <c r="R592"/>
      <c r="S592" s="11"/>
      <c r="T592" t="s">
        <v>1603</v>
      </c>
      <c r="U592"/>
      <c r="V592" s="1"/>
      <c r="W592" s="1"/>
    </row>
    <row r="593" spans="2:23" x14ac:dyDescent="0.35">
      <c r="B593" s="4">
        <v>20025796</v>
      </c>
      <c r="C593" s="1" t="s">
        <v>1060</v>
      </c>
      <c r="D593" s="4" t="s">
        <v>86</v>
      </c>
      <c r="E593" s="3"/>
      <c r="F593" s="3" t="s">
        <v>68</v>
      </c>
      <c r="G593">
        <v>5</v>
      </c>
      <c r="H593" s="4">
        <v>5</v>
      </c>
      <c r="I593" s="4">
        <v>9</v>
      </c>
      <c r="J593" s="4" t="s">
        <v>8</v>
      </c>
      <c r="K593" s="4" t="s">
        <v>7</v>
      </c>
      <c r="L593" s="11"/>
      <c r="M593" s="3"/>
      <c r="N593"/>
      <c r="O593" s="4"/>
      <c r="P593" s="1"/>
      <c r="Q593" s="22"/>
      <c r="R593"/>
      <c r="S593" s="11"/>
      <c r="T593" t="s">
        <v>69</v>
      </c>
      <c r="U593"/>
      <c r="V593" s="1"/>
      <c r="W593" s="1"/>
    </row>
    <row r="594" spans="2:23" x14ac:dyDescent="0.35">
      <c r="B594" s="4">
        <v>20025799</v>
      </c>
      <c r="C594" s="1" t="s">
        <v>440</v>
      </c>
      <c r="D594" s="4" t="s">
        <v>86</v>
      </c>
      <c r="E594" s="3"/>
      <c r="F594" s="3" t="s">
        <v>68</v>
      </c>
      <c r="G594">
        <v>20</v>
      </c>
      <c r="H594" s="4">
        <v>30</v>
      </c>
      <c r="I594" s="4">
        <v>30</v>
      </c>
      <c r="J594" s="4" t="s">
        <v>8</v>
      </c>
      <c r="K594" s="4" t="s">
        <v>7</v>
      </c>
      <c r="L594" s="11"/>
      <c r="M594" s="3"/>
      <c r="N594"/>
      <c r="O594" s="4"/>
      <c r="P594" s="1"/>
      <c r="Q594" s="22"/>
      <c r="R594"/>
      <c r="S594" s="11"/>
      <c r="T594" t="s">
        <v>66</v>
      </c>
      <c r="U594"/>
      <c r="V594" s="1"/>
      <c r="W594" s="1"/>
    </row>
    <row r="595" spans="2:23" x14ac:dyDescent="0.35">
      <c r="B595" s="4">
        <v>20025815</v>
      </c>
      <c r="C595" s="1" t="s">
        <v>441</v>
      </c>
      <c r="D595" s="4" t="s">
        <v>86</v>
      </c>
      <c r="E595" s="3"/>
      <c r="F595" s="3" t="s">
        <v>68</v>
      </c>
      <c r="G595">
        <v>10</v>
      </c>
      <c r="H595" s="4">
        <v>10</v>
      </c>
      <c r="I595" s="4">
        <v>14</v>
      </c>
      <c r="J595" s="4" t="s">
        <v>8</v>
      </c>
      <c r="K595" s="4" t="s">
        <v>7</v>
      </c>
      <c r="L595" s="11"/>
      <c r="M595" s="3"/>
      <c r="N595"/>
      <c r="O595" s="4"/>
      <c r="P595" s="1"/>
      <c r="Q595" s="22"/>
      <c r="R595"/>
      <c r="S595" s="11" t="s">
        <v>6877</v>
      </c>
      <c r="T595" t="s">
        <v>69</v>
      </c>
      <c r="U595"/>
      <c r="V595" s="1"/>
      <c r="W595" s="1"/>
    </row>
    <row r="596" spans="2:23" x14ac:dyDescent="0.35">
      <c r="B596" s="4">
        <v>20025842</v>
      </c>
      <c r="C596" s="1" t="s">
        <v>1274</v>
      </c>
      <c r="D596" s="4" t="s">
        <v>86</v>
      </c>
      <c r="E596" s="3"/>
      <c r="F596" s="3" t="s">
        <v>68</v>
      </c>
      <c r="G596">
        <v>17</v>
      </c>
      <c r="H596" s="4">
        <v>27</v>
      </c>
      <c r="I596" s="4">
        <v>47</v>
      </c>
      <c r="J596" s="4" t="s">
        <v>8</v>
      </c>
      <c r="K596" s="4" t="s">
        <v>14</v>
      </c>
      <c r="L596" s="11"/>
      <c r="M596" s="3"/>
      <c r="N596"/>
      <c r="O596" s="4"/>
      <c r="P596" s="1"/>
      <c r="Q596" s="22"/>
      <c r="R596"/>
      <c r="S596" s="11"/>
      <c r="T596" t="s">
        <v>66</v>
      </c>
      <c r="U596"/>
      <c r="V596" s="1"/>
      <c r="W596" s="1"/>
    </row>
    <row r="597" spans="2:23" x14ac:dyDescent="0.35">
      <c r="B597" s="4">
        <v>20025867</v>
      </c>
      <c r="C597" s="1" t="s">
        <v>442</v>
      </c>
      <c r="D597" s="4" t="s">
        <v>86</v>
      </c>
      <c r="E597" s="3"/>
      <c r="F597" s="3" t="s">
        <v>68</v>
      </c>
      <c r="G597">
        <v>90</v>
      </c>
      <c r="H597" s="4">
        <v>108</v>
      </c>
      <c r="I597" s="4">
        <v>360</v>
      </c>
      <c r="J597" s="4" t="s">
        <v>24</v>
      </c>
      <c r="K597" s="4" t="s">
        <v>14</v>
      </c>
      <c r="L597" s="11"/>
      <c r="M597" s="3"/>
      <c r="N597"/>
      <c r="O597" s="4"/>
      <c r="P597" s="1"/>
      <c r="Q597" s="22"/>
      <c r="R597"/>
      <c r="S597" s="11"/>
      <c r="T597" t="s">
        <v>70</v>
      </c>
      <c r="U597"/>
      <c r="V597" s="1"/>
      <c r="W597" s="1"/>
    </row>
    <row r="598" spans="2:23" x14ac:dyDescent="0.35">
      <c r="B598" s="4">
        <v>20025912</v>
      </c>
      <c r="C598" s="1" t="s">
        <v>443</v>
      </c>
      <c r="D598" s="4" t="s">
        <v>86</v>
      </c>
      <c r="E598" s="3"/>
      <c r="F598" s="3" t="s">
        <v>68</v>
      </c>
      <c r="G598">
        <v>5</v>
      </c>
      <c r="H598" s="4">
        <v>8</v>
      </c>
      <c r="I598" s="4">
        <v>6</v>
      </c>
      <c r="J598" s="4" t="s">
        <v>8</v>
      </c>
      <c r="K598" s="4" t="s">
        <v>7</v>
      </c>
      <c r="L598" s="11"/>
      <c r="M598" s="3"/>
      <c r="N598"/>
      <c r="O598" s="4"/>
      <c r="P598" s="1"/>
      <c r="Q598" s="22"/>
      <c r="R598"/>
      <c r="S598" s="11"/>
      <c r="T598" t="s">
        <v>70</v>
      </c>
      <c r="U598"/>
      <c r="V598" s="1"/>
      <c r="W598" s="1"/>
    </row>
    <row r="599" spans="2:23" x14ac:dyDescent="0.35">
      <c r="B599" s="4">
        <v>20025916</v>
      </c>
      <c r="C599" s="1" t="s">
        <v>444</v>
      </c>
      <c r="D599" s="4" t="s">
        <v>86</v>
      </c>
      <c r="E599" s="3"/>
      <c r="F599" s="3" t="s">
        <v>68</v>
      </c>
      <c r="G599">
        <v>3</v>
      </c>
      <c r="H599" s="4">
        <v>3</v>
      </c>
      <c r="I599" s="4">
        <v>0</v>
      </c>
      <c r="J599" s="4" t="s">
        <v>8</v>
      </c>
      <c r="K599" s="5" t="s">
        <v>13</v>
      </c>
      <c r="L599" s="11" t="s">
        <v>6895</v>
      </c>
      <c r="M599" s="3"/>
      <c r="N599"/>
      <c r="O599" s="4"/>
      <c r="P599" s="1"/>
      <c r="Q599" s="22"/>
      <c r="R599"/>
      <c r="S599" s="11" t="s">
        <v>6878</v>
      </c>
      <c r="T599" t="s">
        <v>1603</v>
      </c>
      <c r="U599"/>
      <c r="V599" s="1"/>
      <c r="W599" s="1"/>
    </row>
    <row r="600" spans="2:23" x14ac:dyDescent="0.35">
      <c r="B600" s="4">
        <v>20025973</v>
      </c>
      <c r="C600" s="1" t="s">
        <v>445</v>
      </c>
      <c r="D600" s="4" t="s">
        <v>86</v>
      </c>
      <c r="E600" s="3"/>
      <c r="F600" s="3" t="s">
        <v>68</v>
      </c>
      <c r="G600">
        <v>47</v>
      </c>
      <c r="H600" s="4">
        <v>78</v>
      </c>
      <c r="I600" s="4">
        <v>56</v>
      </c>
      <c r="J600" s="4" t="s">
        <v>8</v>
      </c>
      <c r="K600" s="5" t="s">
        <v>7</v>
      </c>
      <c r="L600" s="11"/>
      <c r="M600" s="3"/>
      <c r="N600"/>
      <c r="O600" s="4"/>
      <c r="P600" s="1"/>
      <c r="Q600" s="22"/>
      <c r="R600"/>
      <c r="S600" s="11"/>
      <c r="T600" t="s">
        <v>69</v>
      </c>
      <c r="U600"/>
      <c r="V600" s="1"/>
      <c r="W600" s="1"/>
    </row>
    <row r="601" spans="2:23" x14ac:dyDescent="0.35">
      <c r="B601" s="4">
        <v>20025975</v>
      </c>
      <c r="C601" s="1" t="s">
        <v>446</v>
      </c>
      <c r="D601" s="4" t="s">
        <v>86</v>
      </c>
      <c r="E601" s="3"/>
      <c r="F601" s="3" t="s">
        <v>68</v>
      </c>
      <c r="G601">
        <v>20</v>
      </c>
      <c r="H601" s="4">
        <v>20</v>
      </c>
      <c r="I601" s="4">
        <v>20</v>
      </c>
      <c r="J601" s="4" t="s">
        <v>8</v>
      </c>
      <c r="K601" s="5" t="s">
        <v>7</v>
      </c>
      <c r="L601" s="11"/>
      <c r="M601" s="3"/>
      <c r="N601"/>
      <c r="O601" s="4"/>
      <c r="P601" s="1"/>
      <c r="Q601" s="22"/>
      <c r="R601"/>
      <c r="S601" s="11"/>
      <c r="T601" t="s">
        <v>1603</v>
      </c>
      <c r="U601"/>
      <c r="V601" s="1"/>
      <c r="W601" s="1"/>
    </row>
    <row r="602" spans="2:23" x14ac:dyDescent="0.35">
      <c r="B602" s="4">
        <v>20026017</v>
      </c>
      <c r="C602" s="1" t="s">
        <v>1251</v>
      </c>
      <c r="D602" s="4" t="s">
        <v>86</v>
      </c>
      <c r="E602" s="3"/>
      <c r="F602" s="3" t="s">
        <v>68</v>
      </c>
      <c r="G602">
        <v>2</v>
      </c>
      <c r="H602" s="4">
        <v>2</v>
      </c>
      <c r="I602" s="4">
        <v>2</v>
      </c>
      <c r="J602" s="4" t="s">
        <v>8</v>
      </c>
      <c r="K602" s="4" t="s">
        <v>7</v>
      </c>
      <c r="L602" s="11"/>
      <c r="M602" s="3"/>
      <c r="N602"/>
      <c r="O602" s="4"/>
      <c r="P602" s="1"/>
      <c r="Q602" s="22"/>
      <c r="R602"/>
      <c r="S602" s="11"/>
      <c r="T602" t="s">
        <v>1602</v>
      </c>
      <c r="U602"/>
      <c r="V602" s="1"/>
      <c r="W602" s="1"/>
    </row>
    <row r="603" spans="2:23" x14ac:dyDescent="0.35">
      <c r="B603" s="4">
        <v>20026030</v>
      </c>
      <c r="C603" s="1" t="s">
        <v>1551</v>
      </c>
      <c r="D603" s="4" t="s">
        <v>86</v>
      </c>
      <c r="E603" s="3"/>
      <c r="F603" s="3" t="s">
        <v>68</v>
      </c>
      <c r="G603">
        <v>3</v>
      </c>
      <c r="H603" s="4">
        <v>2</v>
      </c>
      <c r="I603" s="4">
        <v>10</v>
      </c>
      <c r="J603" s="4" t="s">
        <v>8</v>
      </c>
      <c r="K603" s="4" t="s">
        <v>14</v>
      </c>
      <c r="L603" s="11"/>
      <c r="M603" s="3"/>
      <c r="N603"/>
      <c r="O603" s="4"/>
      <c r="P603" s="1"/>
      <c r="Q603" s="22"/>
      <c r="R603"/>
      <c r="S603" s="11"/>
      <c r="T603" t="s">
        <v>70</v>
      </c>
      <c r="U603"/>
      <c r="V603" s="1"/>
      <c r="W603" s="1"/>
    </row>
    <row r="604" spans="2:23" x14ac:dyDescent="0.35">
      <c r="B604" s="4">
        <v>20026037</v>
      </c>
      <c r="C604" s="1" t="s">
        <v>447</v>
      </c>
      <c r="D604" s="4" t="s">
        <v>86</v>
      </c>
      <c r="E604" s="3"/>
      <c r="F604" s="3" t="s">
        <v>68</v>
      </c>
      <c r="G604">
        <v>2</v>
      </c>
      <c r="H604" s="4">
        <v>3</v>
      </c>
      <c r="I604" s="4">
        <v>5</v>
      </c>
      <c r="J604" s="4" t="s">
        <v>8</v>
      </c>
      <c r="K604" s="4" t="s">
        <v>7</v>
      </c>
      <c r="L604" s="11"/>
      <c r="M604" s="3"/>
      <c r="N604"/>
      <c r="O604" s="4"/>
      <c r="P604" s="1"/>
      <c r="Q604" s="22"/>
      <c r="R604"/>
      <c r="S604" s="11"/>
      <c r="T604" t="s">
        <v>70</v>
      </c>
      <c r="U604"/>
      <c r="V604" s="1"/>
      <c r="W604" s="1"/>
    </row>
    <row r="605" spans="2:23" x14ac:dyDescent="0.35">
      <c r="B605" s="4">
        <v>20026038</v>
      </c>
      <c r="C605" s="1" t="s">
        <v>448</v>
      </c>
      <c r="D605" s="4" t="s">
        <v>86</v>
      </c>
      <c r="E605" s="3"/>
      <c r="F605" s="3" t="s">
        <v>68</v>
      </c>
      <c r="G605">
        <v>3</v>
      </c>
      <c r="H605" s="4">
        <v>4</v>
      </c>
      <c r="I605" s="4">
        <v>3</v>
      </c>
      <c r="J605" s="4" t="s">
        <v>8</v>
      </c>
      <c r="K605" s="5" t="s">
        <v>7</v>
      </c>
      <c r="L605" s="11"/>
      <c r="M605" s="3"/>
      <c r="N605"/>
      <c r="O605" s="4"/>
      <c r="P605" s="1"/>
      <c r="Q605" s="22"/>
      <c r="R605"/>
      <c r="S605" s="11"/>
      <c r="T605" t="s">
        <v>70</v>
      </c>
      <c r="U605"/>
      <c r="V605" s="1"/>
      <c r="W605" s="1"/>
    </row>
    <row r="606" spans="2:23" x14ac:dyDescent="0.35">
      <c r="B606" s="4">
        <v>20026040</v>
      </c>
      <c r="C606" s="1" t="s">
        <v>449</v>
      </c>
      <c r="D606" s="4" t="s">
        <v>86</v>
      </c>
      <c r="E606" s="3"/>
      <c r="F606" s="3" t="s">
        <v>68</v>
      </c>
      <c r="G606">
        <v>2</v>
      </c>
      <c r="H606" s="4">
        <v>2</v>
      </c>
      <c r="I606" s="4">
        <v>3</v>
      </c>
      <c r="J606" s="4" t="s">
        <v>8</v>
      </c>
      <c r="K606" s="4" t="s">
        <v>7</v>
      </c>
      <c r="L606" s="11"/>
      <c r="M606" s="3"/>
      <c r="N606"/>
      <c r="O606" s="4"/>
      <c r="P606" s="1"/>
      <c r="Q606" s="22"/>
      <c r="R606"/>
      <c r="S606" s="11"/>
      <c r="T606" t="s">
        <v>70</v>
      </c>
      <c r="U606"/>
      <c r="V606" s="1"/>
      <c r="W606" s="1"/>
    </row>
    <row r="607" spans="2:23" x14ac:dyDescent="0.35">
      <c r="B607" s="4">
        <v>20026046</v>
      </c>
      <c r="C607" s="1" t="s">
        <v>450</v>
      </c>
      <c r="D607" s="4" t="s">
        <v>86</v>
      </c>
      <c r="E607" s="3"/>
      <c r="F607" s="3" t="s">
        <v>68</v>
      </c>
      <c r="G607">
        <v>1</v>
      </c>
      <c r="H607" s="4">
        <v>1</v>
      </c>
      <c r="I607" s="4">
        <v>5</v>
      </c>
      <c r="J607" s="4" t="s">
        <v>8</v>
      </c>
      <c r="K607" s="4" t="s">
        <v>14</v>
      </c>
      <c r="L607" s="11"/>
      <c r="M607" s="3"/>
      <c r="N607"/>
      <c r="O607" s="4"/>
      <c r="P607" s="1"/>
      <c r="Q607" s="22"/>
      <c r="R607"/>
      <c r="S607" s="11"/>
      <c r="T607" t="s">
        <v>70</v>
      </c>
      <c r="U607"/>
      <c r="V607" s="1"/>
      <c r="W607" s="1"/>
    </row>
    <row r="608" spans="2:23" x14ac:dyDescent="0.35">
      <c r="B608" s="4">
        <v>20026108</v>
      </c>
      <c r="C608" s="1" t="s">
        <v>451</v>
      </c>
      <c r="D608" s="4" t="s">
        <v>86</v>
      </c>
      <c r="E608" s="3"/>
      <c r="F608" s="3" t="s">
        <v>68</v>
      </c>
      <c r="G608">
        <v>1</v>
      </c>
      <c r="H608" s="4">
        <v>1</v>
      </c>
      <c r="I608" s="4">
        <v>3</v>
      </c>
      <c r="J608" s="4" t="s">
        <v>8</v>
      </c>
      <c r="K608" s="4" t="s">
        <v>14</v>
      </c>
      <c r="L608" s="11"/>
      <c r="M608" s="3"/>
      <c r="N608"/>
      <c r="O608" s="4"/>
      <c r="P608" s="1"/>
      <c r="Q608" s="22"/>
      <c r="R608"/>
      <c r="S608" s="11"/>
      <c r="T608" t="s">
        <v>70</v>
      </c>
      <c r="U608"/>
      <c r="V608" s="1"/>
      <c r="W608" s="1"/>
    </row>
    <row r="609" spans="2:23" x14ac:dyDescent="0.35">
      <c r="B609" s="4">
        <v>20026114</v>
      </c>
      <c r="C609" s="1" t="s">
        <v>452</v>
      </c>
      <c r="D609" s="4" t="s">
        <v>86</v>
      </c>
      <c r="E609" s="3"/>
      <c r="F609" s="3" t="s">
        <v>68</v>
      </c>
      <c r="G609">
        <v>5</v>
      </c>
      <c r="H609" s="4">
        <v>8</v>
      </c>
      <c r="I609" s="4">
        <v>8</v>
      </c>
      <c r="J609" s="4" t="s">
        <v>8</v>
      </c>
      <c r="K609" s="4" t="s">
        <v>7</v>
      </c>
      <c r="L609" s="11"/>
      <c r="M609" s="3"/>
      <c r="N609"/>
      <c r="O609" s="4"/>
      <c r="P609" s="1"/>
      <c r="Q609" s="22"/>
      <c r="R609"/>
      <c r="S609" s="11"/>
      <c r="T609" t="s">
        <v>67</v>
      </c>
      <c r="U609"/>
      <c r="V609" s="1"/>
      <c r="W609" s="1"/>
    </row>
    <row r="610" spans="2:23" x14ac:dyDescent="0.35">
      <c r="B610" s="4">
        <v>20026187</v>
      </c>
      <c r="C610" s="1" t="s">
        <v>453</v>
      </c>
      <c r="D610" s="4" t="s">
        <v>86</v>
      </c>
      <c r="E610" s="3"/>
      <c r="F610" s="3" t="s">
        <v>68</v>
      </c>
      <c r="G610">
        <v>3</v>
      </c>
      <c r="H610" s="4">
        <v>4</v>
      </c>
      <c r="I610" s="4">
        <v>18</v>
      </c>
      <c r="J610" s="4" t="s">
        <v>8</v>
      </c>
      <c r="K610" s="4" t="s">
        <v>14</v>
      </c>
      <c r="L610" s="11"/>
      <c r="M610" s="3"/>
      <c r="N610"/>
      <c r="O610" s="4"/>
      <c r="P610" s="1"/>
      <c r="Q610" s="22"/>
      <c r="R610"/>
      <c r="S610" s="11"/>
      <c r="T610" t="s">
        <v>70</v>
      </c>
      <c r="U610"/>
      <c r="V610" s="1"/>
      <c r="W610" s="1"/>
    </row>
    <row r="611" spans="2:23" x14ac:dyDescent="0.35">
      <c r="B611" s="4">
        <v>20026188</v>
      </c>
      <c r="C611" s="1" t="s">
        <v>454</v>
      </c>
      <c r="D611" s="4" t="s">
        <v>86</v>
      </c>
      <c r="E611" s="3"/>
      <c r="F611" s="3" t="s">
        <v>68</v>
      </c>
      <c r="G611">
        <v>363</v>
      </c>
      <c r="H611" s="4">
        <v>663</v>
      </c>
      <c r="I611" s="4">
        <v>568</v>
      </c>
      <c r="J611" s="4" t="s">
        <v>8</v>
      </c>
      <c r="K611" s="4" t="s">
        <v>7</v>
      </c>
      <c r="L611" s="11"/>
      <c r="M611" s="3"/>
      <c r="N611"/>
      <c r="O611" s="4"/>
      <c r="P611" s="1"/>
      <c r="Q611" s="22"/>
      <c r="R611"/>
      <c r="S611" s="11"/>
      <c r="T611" t="s">
        <v>70</v>
      </c>
      <c r="U611"/>
      <c r="V611" s="1"/>
      <c r="W611" s="1"/>
    </row>
    <row r="612" spans="2:23" x14ac:dyDescent="0.35">
      <c r="B612" s="4">
        <v>20026192</v>
      </c>
      <c r="C612" s="1" t="s">
        <v>455</v>
      </c>
      <c r="D612" s="4" t="s">
        <v>86</v>
      </c>
      <c r="E612" s="3"/>
      <c r="F612" s="3" t="s">
        <v>68</v>
      </c>
      <c r="G612">
        <v>600</v>
      </c>
      <c r="H612" s="4">
        <v>1000</v>
      </c>
      <c r="I612" s="4">
        <v>2500</v>
      </c>
      <c r="J612" s="4" t="s">
        <v>8</v>
      </c>
      <c r="K612" s="4" t="s">
        <v>14</v>
      </c>
      <c r="L612" s="11"/>
      <c r="M612" s="3"/>
      <c r="N612"/>
      <c r="O612" s="4"/>
      <c r="P612" s="1"/>
      <c r="Q612" s="22"/>
      <c r="R612"/>
      <c r="S612" s="11"/>
      <c r="T612" t="s">
        <v>69</v>
      </c>
      <c r="U612"/>
      <c r="V612" s="1"/>
      <c r="W612" s="1"/>
    </row>
    <row r="613" spans="2:23" x14ac:dyDescent="0.35">
      <c r="B613" s="4">
        <v>20026193</v>
      </c>
      <c r="C613" s="1" t="s">
        <v>456</v>
      </c>
      <c r="D613" s="4" t="s">
        <v>86</v>
      </c>
      <c r="E613" s="3"/>
      <c r="F613" s="3" t="s">
        <v>68</v>
      </c>
      <c r="G613">
        <v>1200</v>
      </c>
      <c r="H613" s="4">
        <v>2000</v>
      </c>
      <c r="I613" s="4">
        <v>700</v>
      </c>
      <c r="J613" s="4" t="s">
        <v>8</v>
      </c>
      <c r="K613" s="4" t="s">
        <v>9</v>
      </c>
      <c r="L613" s="11">
        <v>1002711004</v>
      </c>
      <c r="M613" s="3"/>
      <c r="N613">
        <v>4502715425</v>
      </c>
      <c r="O613" s="4">
        <v>500</v>
      </c>
      <c r="P613" s="1" t="s">
        <v>1609</v>
      </c>
      <c r="Q613" s="22">
        <v>46273</v>
      </c>
      <c r="R613"/>
      <c r="S613" s="11"/>
      <c r="T613" t="s">
        <v>69</v>
      </c>
      <c r="U613"/>
      <c r="V613" s="1"/>
      <c r="W613" s="1"/>
    </row>
    <row r="614" spans="2:23" x14ac:dyDescent="0.35">
      <c r="B614" s="4">
        <v>20026194</v>
      </c>
      <c r="C614" s="1" t="s">
        <v>457</v>
      </c>
      <c r="D614" s="4" t="s">
        <v>86</v>
      </c>
      <c r="E614" s="3"/>
      <c r="F614" s="3" t="s">
        <v>68</v>
      </c>
      <c r="G614">
        <v>1000</v>
      </c>
      <c r="H614" s="4">
        <v>1600</v>
      </c>
      <c r="I614" s="4">
        <v>2000</v>
      </c>
      <c r="J614" s="4" t="s">
        <v>8</v>
      </c>
      <c r="K614" s="4" t="s">
        <v>7</v>
      </c>
      <c r="L614" s="11"/>
      <c r="M614" s="3"/>
      <c r="N614"/>
      <c r="O614" s="4"/>
      <c r="P614" s="1"/>
      <c r="Q614" s="22"/>
      <c r="R614"/>
      <c r="S614" s="11"/>
      <c r="T614" t="s">
        <v>69</v>
      </c>
      <c r="U614"/>
      <c r="V614" s="1"/>
      <c r="W614" s="1"/>
    </row>
    <row r="615" spans="2:23" x14ac:dyDescent="0.35">
      <c r="B615" s="4">
        <v>20026200</v>
      </c>
      <c r="C615" s="1" t="s">
        <v>458</v>
      </c>
      <c r="D615" s="4" t="s">
        <v>86</v>
      </c>
      <c r="E615" s="3"/>
      <c r="F615" s="3" t="s">
        <v>68</v>
      </c>
      <c r="G615">
        <v>10</v>
      </c>
      <c r="H615" s="4">
        <v>10</v>
      </c>
      <c r="I615" s="4">
        <v>30</v>
      </c>
      <c r="J615" s="4" t="s">
        <v>8</v>
      </c>
      <c r="K615" s="4" t="s">
        <v>14</v>
      </c>
      <c r="L615" s="11"/>
      <c r="M615" s="3"/>
      <c r="N615"/>
      <c r="O615" s="4"/>
      <c r="P615" s="1"/>
      <c r="Q615" s="22"/>
      <c r="R615"/>
      <c r="S615" s="11"/>
      <c r="T615" t="s">
        <v>1603</v>
      </c>
      <c r="U615"/>
      <c r="V615" s="1"/>
      <c r="W615" s="1"/>
    </row>
    <row r="616" spans="2:23" x14ac:dyDescent="0.35">
      <c r="B616" s="4">
        <v>20026202</v>
      </c>
      <c r="C616" s="1" t="s">
        <v>1213</v>
      </c>
      <c r="D616" s="4" t="s">
        <v>86</v>
      </c>
      <c r="E616" s="3"/>
      <c r="F616" s="3" t="s">
        <v>102</v>
      </c>
      <c r="G616">
        <v>25000</v>
      </c>
      <c r="H616" s="4">
        <v>20000</v>
      </c>
      <c r="I616" s="4">
        <v>38000</v>
      </c>
      <c r="J616" s="4" t="s">
        <v>10</v>
      </c>
      <c r="K616" s="4" t="s">
        <v>7</v>
      </c>
      <c r="L616" s="11"/>
      <c r="M616" s="3"/>
      <c r="N616"/>
      <c r="O616" s="4"/>
      <c r="P616" s="1"/>
      <c r="Q616" s="22"/>
      <c r="R616"/>
      <c r="S616" s="11"/>
      <c r="T616" t="s">
        <v>1603</v>
      </c>
      <c r="U616"/>
      <c r="V616" s="1"/>
      <c r="W616" s="1"/>
    </row>
    <row r="617" spans="2:23" x14ac:dyDescent="0.35">
      <c r="B617" s="4">
        <v>20026390</v>
      </c>
      <c r="C617" s="1" t="s">
        <v>6901</v>
      </c>
      <c r="D617" s="4" t="s">
        <v>86</v>
      </c>
      <c r="E617" s="3"/>
      <c r="F617" s="3" t="s">
        <v>68</v>
      </c>
      <c r="G617">
        <v>200</v>
      </c>
      <c r="H617" s="4">
        <v>100</v>
      </c>
      <c r="I617" s="4">
        <v>100</v>
      </c>
      <c r="J617" s="4" t="s">
        <v>25</v>
      </c>
      <c r="K617" s="4" t="s">
        <v>9</v>
      </c>
      <c r="L617" s="11">
        <v>1002711006</v>
      </c>
      <c r="M617" s="3"/>
      <c r="N617">
        <v>4502715904</v>
      </c>
      <c r="O617" s="4">
        <v>200</v>
      </c>
      <c r="P617" s="1" t="s">
        <v>1422</v>
      </c>
      <c r="Q617" s="22">
        <v>46276</v>
      </c>
      <c r="R617"/>
      <c r="S617" s="11"/>
      <c r="T617" t="s">
        <v>70</v>
      </c>
      <c r="U617"/>
      <c r="V617" s="1"/>
      <c r="W617" s="1"/>
    </row>
    <row r="618" spans="2:23" x14ac:dyDescent="0.35">
      <c r="B618" s="4">
        <v>20026392</v>
      </c>
      <c r="C618" s="1" t="s">
        <v>461</v>
      </c>
      <c r="D618" s="4" t="s">
        <v>86</v>
      </c>
      <c r="E618" s="3"/>
      <c r="F618" s="3" t="s">
        <v>68</v>
      </c>
      <c r="G618">
        <v>2</v>
      </c>
      <c r="H618" s="4">
        <v>2</v>
      </c>
      <c r="I618" s="4">
        <v>2</v>
      </c>
      <c r="J618" s="4" t="s">
        <v>8</v>
      </c>
      <c r="K618" s="4" t="s">
        <v>7</v>
      </c>
      <c r="L618" s="11"/>
      <c r="M618" s="3"/>
      <c r="N618"/>
      <c r="O618" s="4"/>
      <c r="P618" s="1"/>
      <c r="Q618" s="22"/>
      <c r="R618"/>
      <c r="S618" s="11" t="s">
        <v>6866</v>
      </c>
      <c r="T618" t="s">
        <v>70</v>
      </c>
      <c r="U618"/>
      <c r="V618" s="1"/>
      <c r="W618" s="1"/>
    </row>
    <row r="619" spans="2:23" x14ac:dyDescent="0.35">
      <c r="B619" s="4">
        <v>20026431</v>
      </c>
      <c r="C619" s="1" t="s">
        <v>58</v>
      </c>
      <c r="D619" s="4" t="s">
        <v>86</v>
      </c>
      <c r="E619" s="3"/>
      <c r="F619" s="3" t="s">
        <v>68</v>
      </c>
      <c r="G619">
        <v>1</v>
      </c>
      <c r="H619" s="4">
        <v>1</v>
      </c>
      <c r="I619" s="4">
        <v>6</v>
      </c>
      <c r="J619" s="4" t="s">
        <v>8</v>
      </c>
      <c r="K619" s="4" t="s">
        <v>14</v>
      </c>
      <c r="L619" s="11"/>
      <c r="M619" s="3"/>
      <c r="N619"/>
      <c r="O619" s="4"/>
      <c r="P619" s="1"/>
      <c r="Q619" s="22"/>
      <c r="R619"/>
      <c r="S619" s="11"/>
      <c r="T619" t="s">
        <v>70</v>
      </c>
      <c r="U619"/>
      <c r="V619" s="1"/>
      <c r="W619" s="1"/>
    </row>
    <row r="620" spans="2:23" x14ac:dyDescent="0.35">
      <c r="B620" s="4">
        <v>20026432</v>
      </c>
      <c r="C620" s="1" t="s">
        <v>462</v>
      </c>
      <c r="D620" s="4" t="s">
        <v>86</v>
      </c>
      <c r="E620" s="3"/>
      <c r="F620" s="3" t="s">
        <v>68</v>
      </c>
      <c r="G620">
        <v>1</v>
      </c>
      <c r="H620" s="4">
        <v>1</v>
      </c>
      <c r="I620" s="4">
        <v>9</v>
      </c>
      <c r="J620" s="4" t="s">
        <v>8</v>
      </c>
      <c r="K620" s="4" t="s">
        <v>14</v>
      </c>
      <c r="L620" s="11"/>
      <c r="M620" s="3"/>
      <c r="N620"/>
      <c r="O620" s="4"/>
      <c r="P620" s="1"/>
      <c r="Q620" s="22"/>
      <c r="R620"/>
      <c r="S620" s="11"/>
      <c r="T620" t="s">
        <v>70</v>
      </c>
      <c r="U620"/>
      <c r="V620" s="1"/>
      <c r="W620" s="1"/>
    </row>
    <row r="621" spans="2:23" x14ac:dyDescent="0.35">
      <c r="B621" s="4">
        <v>20026433</v>
      </c>
      <c r="C621" s="1" t="s">
        <v>463</v>
      </c>
      <c r="D621" s="4" t="s">
        <v>86</v>
      </c>
      <c r="E621" s="3"/>
      <c r="F621" s="3" t="s">
        <v>68</v>
      </c>
      <c r="G621">
        <v>1</v>
      </c>
      <c r="H621" s="4">
        <v>1</v>
      </c>
      <c r="I621" s="4">
        <v>7</v>
      </c>
      <c r="J621" s="4" t="s">
        <v>8</v>
      </c>
      <c r="K621" s="4" t="s">
        <v>14</v>
      </c>
      <c r="L621" s="11"/>
      <c r="M621" s="3"/>
      <c r="N621"/>
      <c r="O621" s="4"/>
      <c r="P621" s="1"/>
      <c r="Q621" s="22"/>
      <c r="R621"/>
      <c r="S621" s="11"/>
      <c r="T621" t="s">
        <v>70</v>
      </c>
      <c r="U621"/>
      <c r="V621" s="1"/>
      <c r="W621" s="1"/>
    </row>
    <row r="622" spans="2:23" x14ac:dyDescent="0.35">
      <c r="B622" s="4">
        <v>20026501</v>
      </c>
      <c r="C622" s="1" t="s">
        <v>464</v>
      </c>
      <c r="D622" s="4" t="s">
        <v>86</v>
      </c>
      <c r="E622" s="3"/>
      <c r="F622" s="3" t="s">
        <v>68</v>
      </c>
      <c r="G622">
        <v>2</v>
      </c>
      <c r="H622" s="4">
        <v>2</v>
      </c>
      <c r="I622" s="4">
        <v>2</v>
      </c>
      <c r="J622" s="4" t="s">
        <v>8</v>
      </c>
      <c r="K622" s="4" t="s">
        <v>7</v>
      </c>
      <c r="L622" s="11"/>
      <c r="M622" s="3"/>
      <c r="N622"/>
      <c r="O622" s="4"/>
      <c r="P622" s="1"/>
      <c r="Q622" s="22"/>
      <c r="R622"/>
      <c r="S622" s="11"/>
      <c r="T622" t="s">
        <v>70</v>
      </c>
      <c r="U622"/>
      <c r="V622" s="1"/>
      <c r="W622" s="1"/>
    </row>
    <row r="623" spans="2:23" x14ac:dyDescent="0.35">
      <c r="B623" s="4">
        <v>20026502</v>
      </c>
      <c r="C623" s="1" t="s">
        <v>1390</v>
      </c>
      <c r="D623" s="4" t="s">
        <v>86</v>
      </c>
      <c r="E623" s="3"/>
      <c r="F623" s="3" t="s">
        <v>68</v>
      </c>
      <c r="G623">
        <v>3</v>
      </c>
      <c r="H623" s="4">
        <v>3</v>
      </c>
      <c r="I623" s="4">
        <v>2</v>
      </c>
      <c r="J623" s="4" t="s">
        <v>8</v>
      </c>
      <c r="K623" s="4" t="s">
        <v>9</v>
      </c>
      <c r="L623" s="11"/>
      <c r="M623" s="3"/>
      <c r="N623">
        <v>4502710781</v>
      </c>
      <c r="O623" s="4">
        <v>3</v>
      </c>
      <c r="P623" s="1" t="s">
        <v>6848</v>
      </c>
      <c r="Q623" s="22">
        <v>46275</v>
      </c>
      <c r="R623"/>
      <c r="S623" s="11"/>
      <c r="T623" t="s">
        <v>70</v>
      </c>
      <c r="U623"/>
      <c r="V623" s="1"/>
      <c r="W623" s="1"/>
    </row>
    <row r="624" spans="2:23" x14ac:dyDescent="0.35">
      <c r="B624" s="4">
        <v>20026503</v>
      </c>
      <c r="C624" s="1" t="s">
        <v>465</v>
      </c>
      <c r="D624" s="4" t="s">
        <v>86</v>
      </c>
      <c r="E624" s="3"/>
      <c r="F624" s="3" t="s">
        <v>68</v>
      </c>
      <c r="G624">
        <v>2</v>
      </c>
      <c r="H624" s="4">
        <v>2</v>
      </c>
      <c r="I624" s="4">
        <v>0</v>
      </c>
      <c r="J624" s="4" t="s">
        <v>8</v>
      </c>
      <c r="K624" s="4" t="s">
        <v>13</v>
      </c>
      <c r="L624" s="11"/>
      <c r="M624" s="3"/>
      <c r="N624">
        <v>4502710781</v>
      </c>
      <c r="O624" s="4">
        <v>4</v>
      </c>
      <c r="P624" s="1" t="s">
        <v>6848</v>
      </c>
      <c r="Q624" s="22">
        <v>46275</v>
      </c>
      <c r="R624"/>
      <c r="S624" s="11"/>
      <c r="T624" t="s">
        <v>70</v>
      </c>
      <c r="U624"/>
      <c r="V624" s="1"/>
      <c r="W624" s="1"/>
    </row>
    <row r="625" spans="2:23" x14ac:dyDescent="0.35">
      <c r="B625" s="4">
        <v>20026504</v>
      </c>
      <c r="C625" s="1" t="s">
        <v>1391</v>
      </c>
      <c r="D625" s="4" t="s">
        <v>86</v>
      </c>
      <c r="E625" s="3"/>
      <c r="F625" s="3" t="s">
        <v>68</v>
      </c>
      <c r="G625">
        <v>3</v>
      </c>
      <c r="H625" s="4">
        <v>3</v>
      </c>
      <c r="I625" s="4">
        <v>1</v>
      </c>
      <c r="J625" s="4" t="s">
        <v>8</v>
      </c>
      <c r="K625" s="4" t="s">
        <v>9</v>
      </c>
      <c r="L625" s="11"/>
      <c r="M625" s="3"/>
      <c r="N625">
        <v>4502710781</v>
      </c>
      <c r="O625" s="4">
        <v>3</v>
      </c>
      <c r="P625" s="1" t="s">
        <v>6848</v>
      </c>
      <c r="Q625" s="22">
        <v>46275</v>
      </c>
      <c r="R625"/>
      <c r="S625" s="11"/>
      <c r="T625" t="s">
        <v>70</v>
      </c>
      <c r="U625"/>
      <c r="V625" s="1"/>
      <c r="W625" s="1"/>
    </row>
    <row r="626" spans="2:23" x14ac:dyDescent="0.35">
      <c r="B626" s="4">
        <v>20026506</v>
      </c>
      <c r="C626" s="1" t="s">
        <v>1392</v>
      </c>
      <c r="D626" s="4" t="s">
        <v>86</v>
      </c>
      <c r="E626" s="3"/>
      <c r="F626" s="3" t="s">
        <v>68</v>
      </c>
      <c r="G626">
        <v>3</v>
      </c>
      <c r="H626" s="4">
        <v>3</v>
      </c>
      <c r="I626" s="4">
        <v>3</v>
      </c>
      <c r="J626" s="4" t="s">
        <v>8</v>
      </c>
      <c r="K626" s="4" t="s">
        <v>7</v>
      </c>
      <c r="L626" s="11"/>
      <c r="M626" s="3"/>
      <c r="N626"/>
      <c r="O626" s="4"/>
      <c r="P626" s="1"/>
      <c r="Q626" s="22"/>
      <c r="R626"/>
      <c r="S626" s="11"/>
      <c r="T626" t="s">
        <v>70</v>
      </c>
      <c r="U626"/>
      <c r="V626" s="1"/>
      <c r="W626" s="1"/>
    </row>
    <row r="627" spans="2:23" x14ac:dyDescent="0.35">
      <c r="B627" s="4">
        <v>20026517</v>
      </c>
      <c r="C627" s="1" t="s">
        <v>1393</v>
      </c>
      <c r="D627" s="4" t="s">
        <v>86</v>
      </c>
      <c r="E627" s="3"/>
      <c r="F627" s="3" t="s">
        <v>68</v>
      </c>
      <c r="G627">
        <v>3</v>
      </c>
      <c r="H627" s="4">
        <v>3</v>
      </c>
      <c r="I627" s="4">
        <v>1</v>
      </c>
      <c r="J627" s="4" t="s">
        <v>8</v>
      </c>
      <c r="K627" s="4" t="s">
        <v>9</v>
      </c>
      <c r="L627" s="11"/>
      <c r="M627" s="3"/>
      <c r="N627">
        <v>4502710781</v>
      </c>
      <c r="O627" s="4">
        <v>3</v>
      </c>
      <c r="P627" s="1" t="s">
        <v>6848</v>
      </c>
      <c r="Q627" s="22">
        <v>46275</v>
      </c>
      <c r="R627"/>
      <c r="S627" s="11"/>
      <c r="T627" t="s">
        <v>70</v>
      </c>
      <c r="U627"/>
      <c r="V627" s="1"/>
      <c r="W627" s="1"/>
    </row>
    <row r="628" spans="2:23" x14ac:dyDescent="0.35">
      <c r="B628" s="4">
        <v>20026518</v>
      </c>
      <c r="C628" s="1" t="s">
        <v>1394</v>
      </c>
      <c r="D628" s="4" t="s">
        <v>86</v>
      </c>
      <c r="E628" s="3"/>
      <c r="F628" s="3" t="s">
        <v>68</v>
      </c>
      <c r="G628">
        <v>3</v>
      </c>
      <c r="H628" s="4">
        <v>3</v>
      </c>
      <c r="I628" s="4">
        <v>1</v>
      </c>
      <c r="J628" s="4" t="s">
        <v>8</v>
      </c>
      <c r="K628" s="4" t="s">
        <v>9</v>
      </c>
      <c r="L628" s="11"/>
      <c r="M628" s="3"/>
      <c r="N628">
        <v>4502710781</v>
      </c>
      <c r="O628" s="4">
        <v>3</v>
      </c>
      <c r="P628" s="1" t="s">
        <v>6848</v>
      </c>
      <c r="Q628" s="22">
        <v>46275</v>
      </c>
      <c r="R628"/>
      <c r="S628" s="11"/>
      <c r="T628" t="s">
        <v>70</v>
      </c>
      <c r="U628"/>
      <c r="V628" s="1"/>
      <c r="W628" s="1"/>
    </row>
    <row r="629" spans="2:23" x14ac:dyDescent="0.35">
      <c r="B629" s="4">
        <v>20026520</v>
      </c>
      <c r="C629" s="1" t="s">
        <v>466</v>
      </c>
      <c r="D629" s="4" t="s">
        <v>86</v>
      </c>
      <c r="E629" s="3"/>
      <c r="F629" s="3" t="s">
        <v>68</v>
      </c>
      <c r="G629">
        <v>12</v>
      </c>
      <c r="H629" s="4">
        <v>12</v>
      </c>
      <c r="I629" s="4">
        <v>31</v>
      </c>
      <c r="J629" s="4" t="s">
        <v>8</v>
      </c>
      <c r="K629" s="4" t="s">
        <v>14</v>
      </c>
      <c r="L629" s="11"/>
      <c r="M629" s="3"/>
      <c r="N629"/>
      <c r="O629" s="4"/>
      <c r="P629" s="1"/>
      <c r="Q629" s="22"/>
      <c r="R629"/>
      <c r="S629" s="11"/>
      <c r="T629" t="s">
        <v>70</v>
      </c>
      <c r="U629"/>
      <c r="V629" s="1"/>
      <c r="W629" s="1"/>
    </row>
    <row r="630" spans="2:23" x14ac:dyDescent="0.35">
      <c r="B630" s="4">
        <v>20026590</v>
      </c>
      <c r="C630" s="1" t="s">
        <v>469</v>
      </c>
      <c r="D630" s="4" t="s">
        <v>86</v>
      </c>
      <c r="E630" s="3"/>
      <c r="F630" s="3" t="s">
        <v>68</v>
      </c>
      <c r="G630">
        <v>1</v>
      </c>
      <c r="H630" s="4">
        <v>1</v>
      </c>
      <c r="I630" s="4">
        <v>5</v>
      </c>
      <c r="J630" s="4" t="s">
        <v>8</v>
      </c>
      <c r="K630" s="4" t="s">
        <v>14</v>
      </c>
      <c r="L630" s="11"/>
      <c r="M630" s="3"/>
      <c r="N630"/>
      <c r="O630" s="4"/>
      <c r="P630" s="1"/>
      <c r="Q630" s="22"/>
      <c r="R630"/>
      <c r="S630" s="11"/>
      <c r="T630" t="s">
        <v>66</v>
      </c>
      <c r="U630"/>
      <c r="V630" s="1"/>
      <c r="W630" s="1"/>
    </row>
    <row r="631" spans="2:23" x14ac:dyDescent="0.35">
      <c r="B631" s="4">
        <v>20026591</v>
      </c>
      <c r="C631" s="1" t="s">
        <v>470</v>
      </c>
      <c r="D631" s="4" t="s">
        <v>86</v>
      </c>
      <c r="E631" s="3"/>
      <c r="F631" s="3" t="s">
        <v>68</v>
      </c>
      <c r="G631">
        <v>4</v>
      </c>
      <c r="H631" s="4">
        <v>7</v>
      </c>
      <c r="I631" s="4">
        <v>5</v>
      </c>
      <c r="J631" s="4" t="s">
        <v>8</v>
      </c>
      <c r="K631" s="4" t="s">
        <v>7</v>
      </c>
      <c r="L631" s="11"/>
      <c r="M631" s="3"/>
      <c r="N631"/>
      <c r="O631" s="4"/>
      <c r="P631" s="1"/>
      <c r="Q631" s="22"/>
      <c r="R631"/>
      <c r="S631" s="11"/>
      <c r="T631" t="s">
        <v>66</v>
      </c>
      <c r="U631"/>
      <c r="V631" s="1"/>
      <c r="W631" s="1"/>
    </row>
    <row r="632" spans="2:23" x14ac:dyDescent="0.35">
      <c r="B632" s="4">
        <v>20026663</v>
      </c>
      <c r="C632" s="1" t="s">
        <v>471</v>
      </c>
      <c r="D632" s="4" t="s">
        <v>86</v>
      </c>
      <c r="E632" s="3"/>
      <c r="F632" s="3" t="s">
        <v>68</v>
      </c>
      <c r="G632">
        <v>141</v>
      </c>
      <c r="H632" s="4">
        <v>250</v>
      </c>
      <c r="I632" s="4">
        <v>0</v>
      </c>
      <c r="J632" s="4" t="s">
        <v>24</v>
      </c>
      <c r="K632" s="4" t="s">
        <v>13</v>
      </c>
      <c r="L632" s="11">
        <v>1002703442</v>
      </c>
      <c r="M632" s="3">
        <v>350</v>
      </c>
      <c r="N632"/>
      <c r="O632" s="4"/>
      <c r="P632" s="1"/>
      <c r="Q632" s="22"/>
      <c r="R632"/>
      <c r="S632" s="11"/>
      <c r="T632" t="s">
        <v>1602</v>
      </c>
      <c r="U632"/>
      <c r="V632" s="1"/>
      <c r="W632" s="1"/>
    </row>
    <row r="633" spans="2:23" x14ac:dyDescent="0.35">
      <c r="B633" s="4">
        <v>20026691</v>
      </c>
      <c r="C633" s="1" t="s">
        <v>472</v>
      </c>
      <c r="D633" s="4" t="s">
        <v>86</v>
      </c>
      <c r="E633" s="3"/>
      <c r="F633" s="3" t="s">
        <v>68</v>
      </c>
      <c r="G633">
        <v>2</v>
      </c>
      <c r="H633" s="4">
        <v>2</v>
      </c>
      <c r="I633" s="4">
        <v>2</v>
      </c>
      <c r="J633" s="4" t="s">
        <v>8</v>
      </c>
      <c r="K633" s="4" t="s">
        <v>7</v>
      </c>
      <c r="L633" s="11"/>
      <c r="M633" s="3"/>
      <c r="N633"/>
      <c r="O633" s="4"/>
      <c r="P633" s="1"/>
      <c r="Q633" s="22"/>
      <c r="R633"/>
      <c r="S633" s="11"/>
      <c r="T633" t="s">
        <v>70</v>
      </c>
      <c r="U633"/>
      <c r="V633" s="1"/>
      <c r="W633" s="1"/>
    </row>
    <row r="634" spans="2:23" x14ac:dyDescent="0.35">
      <c r="B634" s="4">
        <v>20026700</v>
      </c>
      <c r="C634" s="1" t="s">
        <v>474</v>
      </c>
      <c r="D634" s="4" t="s">
        <v>86</v>
      </c>
      <c r="E634" s="3"/>
      <c r="F634" s="3" t="s">
        <v>68</v>
      </c>
      <c r="G634">
        <v>1</v>
      </c>
      <c r="H634" s="4">
        <v>1</v>
      </c>
      <c r="I634" s="4">
        <v>1</v>
      </c>
      <c r="J634" s="4" t="s">
        <v>8</v>
      </c>
      <c r="K634" s="4" t="s">
        <v>7</v>
      </c>
      <c r="L634" s="11"/>
      <c r="M634" s="3"/>
      <c r="N634"/>
      <c r="O634" s="4"/>
      <c r="P634" s="1"/>
      <c r="Q634" s="22"/>
      <c r="R634"/>
      <c r="S634" s="11"/>
      <c r="T634" t="s">
        <v>70</v>
      </c>
      <c r="U634"/>
      <c r="V634" s="1"/>
      <c r="W634" s="1"/>
    </row>
    <row r="635" spans="2:23" x14ac:dyDescent="0.35">
      <c r="B635" s="4">
        <v>20026815</v>
      </c>
      <c r="C635" s="1" t="s">
        <v>475</v>
      </c>
      <c r="D635" s="4" t="s">
        <v>86</v>
      </c>
      <c r="E635" s="3"/>
      <c r="F635" s="3" t="s">
        <v>68</v>
      </c>
      <c r="G635">
        <v>1</v>
      </c>
      <c r="H635" s="4">
        <v>1</v>
      </c>
      <c r="I635" s="4">
        <v>5</v>
      </c>
      <c r="J635" s="4" t="s">
        <v>8</v>
      </c>
      <c r="K635" s="4" t="s">
        <v>14</v>
      </c>
      <c r="L635" s="11"/>
      <c r="M635" s="3"/>
      <c r="N635"/>
      <c r="O635" s="4"/>
      <c r="P635" s="1"/>
      <c r="Q635" s="22"/>
      <c r="R635"/>
      <c r="S635" s="11"/>
      <c r="T635" t="s">
        <v>70</v>
      </c>
      <c r="U635"/>
      <c r="V635" s="1"/>
      <c r="W635" s="1"/>
    </row>
    <row r="636" spans="2:23" x14ac:dyDescent="0.35">
      <c r="B636" s="4">
        <v>20026847</v>
      </c>
      <c r="C636" s="1" t="s">
        <v>477</v>
      </c>
      <c r="D636" s="4" t="s">
        <v>86</v>
      </c>
      <c r="E636" s="3"/>
      <c r="F636" s="3" t="s">
        <v>68</v>
      </c>
      <c r="G636">
        <v>2</v>
      </c>
      <c r="H636" s="4">
        <v>2</v>
      </c>
      <c r="I636" s="4">
        <v>10</v>
      </c>
      <c r="J636" s="4" t="s">
        <v>8</v>
      </c>
      <c r="K636" s="4" t="s">
        <v>14</v>
      </c>
      <c r="L636" s="11"/>
      <c r="M636" s="3"/>
      <c r="N636"/>
      <c r="O636" s="4"/>
      <c r="P636" s="1"/>
      <c r="Q636" s="22"/>
      <c r="R636"/>
      <c r="S636" s="11"/>
      <c r="T636" t="s">
        <v>67</v>
      </c>
      <c r="U636"/>
      <c r="V636" s="1"/>
      <c r="W636" s="1"/>
    </row>
    <row r="637" spans="2:23" x14ac:dyDescent="0.35">
      <c r="B637" s="4">
        <v>20026892</v>
      </c>
      <c r="C637" s="1" t="s">
        <v>1529</v>
      </c>
      <c r="D637" s="4" t="s">
        <v>86</v>
      </c>
      <c r="E637" s="3"/>
      <c r="F637" s="3" t="s">
        <v>68</v>
      </c>
      <c r="G637">
        <v>5</v>
      </c>
      <c r="H637" s="4">
        <v>5</v>
      </c>
      <c r="I637" s="4">
        <v>9</v>
      </c>
      <c r="J637" s="4" t="s">
        <v>8</v>
      </c>
      <c r="K637" s="4" t="s">
        <v>7</v>
      </c>
      <c r="L637" s="11"/>
      <c r="M637" s="3"/>
      <c r="N637"/>
      <c r="O637" s="4"/>
      <c r="P637" s="1"/>
      <c r="Q637" s="22"/>
      <c r="R637"/>
      <c r="S637" s="11"/>
      <c r="T637" t="s">
        <v>70</v>
      </c>
      <c r="U637"/>
      <c r="V637" s="1"/>
      <c r="W637" s="1"/>
    </row>
    <row r="638" spans="2:23" x14ac:dyDescent="0.35">
      <c r="B638" s="4">
        <v>20026910</v>
      </c>
      <c r="C638" s="1" t="s">
        <v>478</v>
      </c>
      <c r="D638" s="4" t="s">
        <v>86</v>
      </c>
      <c r="E638" s="3"/>
      <c r="F638" s="3" t="s">
        <v>68</v>
      </c>
      <c r="G638">
        <v>3</v>
      </c>
      <c r="H638" s="4">
        <v>2</v>
      </c>
      <c r="I638" s="4">
        <v>2</v>
      </c>
      <c r="J638" s="4" t="s">
        <v>8</v>
      </c>
      <c r="K638" s="4" t="s">
        <v>9</v>
      </c>
      <c r="L638" s="11">
        <v>1002706194</v>
      </c>
      <c r="M638" s="3">
        <v>3</v>
      </c>
      <c r="N638"/>
      <c r="O638" s="4"/>
      <c r="P638" s="1"/>
      <c r="Q638" s="22"/>
      <c r="R638"/>
      <c r="S638" s="11"/>
      <c r="T638" t="s">
        <v>70</v>
      </c>
      <c r="U638"/>
      <c r="V638" s="1"/>
      <c r="W638" s="1"/>
    </row>
    <row r="639" spans="2:23" x14ac:dyDescent="0.35">
      <c r="B639" s="4">
        <v>20026914</v>
      </c>
      <c r="C639" s="1" t="s">
        <v>479</v>
      </c>
      <c r="D639" s="4" t="s">
        <v>86</v>
      </c>
      <c r="E639" s="3"/>
      <c r="F639" s="3" t="s">
        <v>68</v>
      </c>
      <c r="G639">
        <v>1</v>
      </c>
      <c r="H639" s="4">
        <v>1</v>
      </c>
      <c r="I639" s="4">
        <v>14</v>
      </c>
      <c r="J639" s="4" t="s">
        <v>8</v>
      </c>
      <c r="K639" s="4" t="s">
        <v>14</v>
      </c>
      <c r="L639" s="11"/>
      <c r="M639" s="3"/>
      <c r="N639"/>
      <c r="O639" s="4"/>
      <c r="P639" s="1"/>
      <c r="Q639" s="22"/>
      <c r="R639"/>
      <c r="S639" s="11"/>
      <c r="T639" t="s">
        <v>70</v>
      </c>
      <c r="U639"/>
      <c r="V639" s="1"/>
      <c r="W639" s="1"/>
    </row>
    <row r="640" spans="2:23" x14ac:dyDescent="0.35">
      <c r="B640" s="4">
        <v>20026977</v>
      </c>
      <c r="C640" s="1" t="s">
        <v>480</v>
      </c>
      <c r="D640" s="4" t="s">
        <v>86</v>
      </c>
      <c r="E640" s="3"/>
      <c r="F640" s="3" t="s">
        <v>68</v>
      </c>
      <c r="G640">
        <v>7</v>
      </c>
      <c r="H640" s="4">
        <v>11</v>
      </c>
      <c r="I640" s="4">
        <v>55</v>
      </c>
      <c r="J640" s="4" t="s">
        <v>8</v>
      </c>
      <c r="K640" s="4" t="s">
        <v>14</v>
      </c>
      <c r="L640" s="11"/>
      <c r="M640" s="3"/>
      <c r="N640"/>
      <c r="O640" s="4"/>
      <c r="P640" s="1"/>
      <c r="Q640" s="22"/>
      <c r="R640"/>
      <c r="S640" s="11"/>
      <c r="T640" t="s">
        <v>66</v>
      </c>
      <c r="U640"/>
      <c r="V640" s="1"/>
      <c r="W640" s="1"/>
    </row>
    <row r="641" spans="2:23" x14ac:dyDescent="0.35">
      <c r="B641" s="4">
        <v>20026980</v>
      </c>
      <c r="C641" s="1" t="s">
        <v>481</v>
      </c>
      <c r="D641" s="4" t="s">
        <v>86</v>
      </c>
      <c r="E641" s="3"/>
      <c r="F641" s="3" t="s">
        <v>68</v>
      </c>
      <c r="G641">
        <v>7</v>
      </c>
      <c r="H641" s="4">
        <v>11</v>
      </c>
      <c r="I641" s="4">
        <v>117</v>
      </c>
      <c r="J641" s="4" t="s">
        <v>8</v>
      </c>
      <c r="K641" s="4" t="s">
        <v>14</v>
      </c>
      <c r="L641" s="11"/>
      <c r="M641" s="3"/>
      <c r="N641"/>
      <c r="O641" s="4"/>
      <c r="P641" s="1"/>
      <c r="Q641" s="22"/>
      <c r="R641"/>
      <c r="S641" s="11"/>
      <c r="T641" t="s">
        <v>70</v>
      </c>
      <c r="U641"/>
      <c r="V641" s="1"/>
      <c r="W641" s="1"/>
    </row>
    <row r="642" spans="2:23" x14ac:dyDescent="0.35">
      <c r="B642" s="4">
        <v>20026981</v>
      </c>
      <c r="C642" s="1" t="s">
        <v>482</v>
      </c>
      <c r="D642" s="4" t="s">
        <v>86</v>
      </c>
      <c r="E642" s="3"/>
      <c r="F642" s="3" t="s">
        <v>68</v>
      </c>
      <c r="G642">
        <v>2</v>
      </c>
      <c r="H642" s="4">
        <v>2</v>
      </c>
      <c r="I642" s="4">
        <v>153</v>
      </c>
      <c r="J642" s="4" t="s">
        <v>8</v>
      </c>
      <c r="K642" s="4" t="s">
        <v>14</v>
      </c>
      <c r="L642" s="11"/>
      <c r="M642" s="3"/>
      <c r="N642"/>
      <c r="O642" s="4"/>
      <c r="P642" s="1"/>
      <c r="Q642" s="22"/>
      <c r="R642"/>
      <c r="S642" s="11"/>
      <c r="T642" t="s">
        <v>70</v>
      </c>
      <c r="U642"/>
      <c r="V642" s="1"/>
      <c r="W642" s="1"/>
    </row>
    <row r="643" spans="2:23" x14ac:dyDescent="0.35">
      <c r="B643" s="4">
        <v>20026982</v>
      </c>
      <c r="C643" s="1" t="s">
        <v>483</v>
      </c>
      <c r="D643" s="4" t="s">
        <v>86</v>
      </c>
      <c r="E643" s="3"/>
      <c r="F643" s="3" t="s">
        <v>68</v>
      </c>
      <c r="G643">
        <v>7</v>
      </c>
      <c r="H643" s="4">
        <v>11</v>
      </c>
      <c r="I643" s="4">
        <v>73</v>
      </c>
      <c r="J643" s="4" t="s">
        <v>8</v>
      </c>
      <c r="K643" s="4" t="s">
        <v>14</v>
      </c>
      <c r="L643" s="11"/>
      <c r="M643" s="3"/>
      <c r="N643"/>
      <c r="O643" s="4"/>
      <c r="P643" s="1"/>
      <c r="Q643" s="22"/>
      <c r="R643"/>
      <c r="S643" s="11"/>
      <c r="T643" t="s">
        <v>70</v>
      </c>
      <c r="U643"/>
      <c r="V643" s="1"/>
      <c r="W643" s="1"/>
    </row>
    <row r="644" spans="2:23" x14ac:dyDescent="0.35">
      <c r="B644" s="4">
        <v>20027011</v>
      </c>
      <c r="C644" s="1" t="s">
        <v>1482</v>
      </c>
      <c r="D644" s="4" t="s">
        <v>86</v>
      </c>
      <c r="E644" s="3"/>
      <c r="F644" s="3" t="s">
        <v>68</v>
      </c>
      <c r="G644">
        <v>2</v>
      </c>
      <c r="H644" s="4">
        <v>1</v>
      </c>
      <c r="I644" s="4">
        <v>2</v>
      </c>
      <c r="J644" s="4" t="s">
        <v>8</v>
      </c>
      <c r="K644" s="4" t="s">
        <v>7</v>
      </c>
      <c r="L644" s="11"/>
      <c r="M644" s="3"/>
      <c r="N644"/>
      <c r="O644" s="4"/>
      <c r="P644" s="1"/>
      <c r="Q644" s="22"/>
      <c r="R644"/>
      <c r="S644" s="11"/>
      <c r="T644" t="s">
        <v>70</v>
      </c>
      <c r="U644"/>
      <c r="V644" s="1"/>
      <c r="W644" s="1"/>
    </row>
    <row r="645" spans="2:23" x14ac:dyDescent="0.35">
      <c r="B645" s="4">
        <v>20027254</v>
      </c>
      <c r="C645" s="1" t="s">
        <v>484</v>
      </c>
      <c r="D645" s="4" t="s">
        <v>86</v>
      </c>
      <c r="E645" s="3"/>
      <c r="F645" s="3" t="s">
        <v>68</v>
      </c>
      <c r="G645">
        <v>20</v>
      </c>
      <c r="H645" s="4">
        <v>20</v>
      </c>
      <c r="I645" s="4">
        <v>39</v>
      </c>
      <c r="J645" s="4" t="s">
        <v>8</v>
      </c>
      <c r="K645" s="4" t="s">
        <v>7</v>
      </c>
      <c r="L645" s="11"/>
      <c r="M645" s="3"/>
      <c r="N645"/>
      <c r="O645" s="4"/>
      <c r="P645" s="1"/>
      <c r="Q645" s="22"/>
      <c r="R645"/>
      <c r="S645" s="11"/>
      <c r="T645" t="s">
        <v>1603</v>
      </c>
      <c r="U645"/>
      <c r="V645" s="1"/>
      <c r="W645" s="1"/>
    </row>
    <row r="646" spans="2:23" x14ac:dyDescent="0.35">
      <c r="B646" s="4">
        <v>20027267</v>
      </c>
      <c r="C646" s="1" t="s">
        <v>485</v>
      </c>
      <c r="D646" s="4" t="s">
        <v>86</v>
      </c>
      <c r="E646" s="3"/>
      <c r="F646" s="3" t="s">
        <v>68</v>
      </c>
      <c r="G646">
        <v>2</v>
      </c>
      <c r="H646" s="4">
        <v>2</v>
      </c>
      <c r="I646" s="4">
        <v>56</v>
      </c>
      <c r="J646" s="4" t="s">
        <v>8</v>
      </c>
      <c r="K646" s="4" t="s">
        <v>14</v>
      </c>
      <c r="L646" s="11"/>
      <c r="M646" s="3"/>
      <c r="N646"/>
      <c r="O646" s="4"/>
      <c r="P646" s="1"/>
      <c r="Q646" s="22"/>
      <c r="R646"/>
      <c r="S646" s="11"/>
      <c r="T646" t="s">
        <v>70</v>
      </c>
      <c r="U646"/>
      <c r="V646" s="1"/>
      <c r="W646" s="1"/>
    </row>
    <row r="647" spans="2:23" x14ac:dyDescent="0.35">
      <c r="B647" s="4">
        <v>20027268</v>
      </c>
      <c r="C647" s="1" t="s">
        <v>486</v>
      </c>
      <c r="D647" s="4" t="s">
        <v>86</v>
      </c>
      <c r="E647" s="3"/>
      <c r="F647" s="3" t="s">
        <v>68</v>
      </c>
      <c r="G647">
        <v>2</v>
      </c>
      <c r="H647" s="4">
        <v>2</v>
      </c>
      <c r="I647" s="4">
        <v>73</v>
      </c>
      <c r="J647" s="4" t="s">
        <v>8</v>
      </c>
      <c r="K647" s="4" t="s">
        <v>14</v>
      </c>
      <c r="L647" s="11"/>
      <c r="M647" s="3"/>
      <c r="N647"/>
      <c r="O647" s="4"/>
      <c r="P647" s="1"/>
      <c r="Q647" s="22"/>
      <c r="R647"/>
      <c r="S647" s="11"/>
      <c r="T647" t="s">
        <v>70</v>
      </c>
      <c r="U647"/>
      <c r="V647" s="1"/>
      <c r="W647" s="1"/>
    </row>
    <row r="648" spans="2:23" x14ac:dyDescent="0.35">
      <c r="B648" s="4">
        <v>20027269</v>
      </c>
      <c r="C648" s="1" t="s">
        <v>487</v>
      </c>
      <c r="D648" s="4" t="s">
        <v>86</v>
      </c>
      <c r="E648" s="3"/>
      <c r="F648" s="3" t="s">
        <v>68</v>
      </c>
      <c r="G648">
        <v>2</v>
      </c>
      <c r="H648" s="4">
        <v>2</v>
      </c>
      <c r="I648" s="4">
        <v>113</v>
      </c>
      <c r="J648" s="4" t="s">
        <v>8</v>
      </c>
      <c r="K648" s="4" t="s">
        <v>14</v>
      </c>
      <c r="L648" s="11"/>
      <c r="M648" s="3"/>
      <c r="N648"/>
      <c r="O648" s="4"/>
      <c r="P648" s="1"/>
      <c r="Q648" s="22"/>
      <c r="R648"/>
      <c r="S648" s="11"/>
      <c r="T648" t="s">
        <v>70</v>
      </c>
      <c r="U648"/>
      <c r="V648" s="1"/>
      <c r="W648" s="1"/>
    </row>
    <row r="649" spans="2:23" x14ac:dyDescent="0.35">
      <c r="B649" s="4">
        <v>20027270</v>
      </c>
      <c r="C649" s="1" t="s">
        <v>488</v>
      </c>
      <c r="D649" s="4" t="s">
        <v>86</v>
      </c>
      <c r="E649" s="3"/>
      <c r="F649" s="3" t="s">
        <v>68</v>
      </c>
      <c r="G649">
        <v>2</v>
      </c>
      <c r="H649" s="4">
        <v>2</v>
      </c>
      <c r="I649" s="4">
        <v>61</v>
      </c>
      <c r="J649" s="4" t="s">
        <v>8</v>
      </c>
      <c r="K649" s="4" t="s">
        <v>14</v>
      </c>
      <c r="L649" s="11"/>
      <c r="M649" s="3"/>
      <c r="N649"/>
      <c r="O649" s="4"/>
      <c r="P649" s="1"/>
      <c r="Q649" s="22"/>
      <c r="R649"/>
      <c r="S649" s="11"/>
      <c r="T649" t="s">
        <v>70</v>
      </c>
      <c r="U649"/>
      <c r="V649" s="1"/>
      <c r="W649" s="1"/>
    </row>
    <row r="650" spans="2:23" x14ac:dyDescent="0.35">
      <c r="B650" s="4">
        <v>20027271</v>
      </c>
      <c r="C650" s="1" t="s">
        <v>489</v>
      </c>
      <c r="D650" s="4" t="s">
        <v>86</v>
      </c>
      <c r="E650" s="3"/>
      <c r="F650" s="3" t="s">
        <v>68</v>
      </c>
      <c r="G650">
        <v>2</v>
      </c>
      <c r="H650" s="4">
        <v>2</v>
      </c>
      <c r="I650" s="4">
        <v>69</v>
      </c>
      <c r="J650" s="4" t="s">
        <v>8</v>
      </c>
      <c r="K650" s="4" t="s">
        <v>14</v>
      </c>
      <c r="L650" s="11"/>
      <c r="M650" s="3"/>
      <c r="N650"/>
      <c r="O650" s="4"/>
      <c r="P650" s="1"/>
      <c r="Q650" s="22"/>
      <c r="R650"/>
      <c r="S650" s="11"/>
      <c r="T650" t="s">
        <v>70</v>
      </c>
      <c r="U650"/>
      <c r="V650" s="1"/>
      <c r="W650" s="1"/>
    </row>
    <row r="651" spans="2:23" x14ac:dyDescent="0.35">
      <c r="B651" s="4">
        <v>20027272</v>
      </c>
      <c r="C651" s="1" t="s">
        <v>490</v>
      </c>
      <c r="D651" s="4" t="s">
        <v>86</v>
      </c>
      <c r="E651" s="3"/>
      <c r="F651" s="3" t="s">
        <v>68</v>
      </c>
      <c r="G651">
        <v>2</v>
      </c>
      <c r="H651" s="4">
        <v>2</v>
      </c>
      <c r="I651" s="4">
        <v>75</v>
      </c>
      <c r="J651" s="4" t="s">
        <v>8</v>
      </c>
      <c r="K651" s="4" t="s">
        <v>14</v>
      </c>
      <c r="L651" s="11"/>
      <c r="M651" s="3"/>
      <c r="N651"/>
      <c r="O651" s="4"/>
      <c r="P651" s="1"/>
      <c r="Q651" s="22"/>
      <c r="R651"/>
      <c r="S651" s="11"/>
      <c r="T651" t="s">
        <v>70</v>
      </c>
      <c r="U651"/>
      <c r="V651" s="1"/>
      <c r="W651" s="1"/>
    </row>
    <row r="652" spans="2:23" x14ac:dyDescent="0.35">
      <c r="B652" s="4">
        <v>20027286</v>
      </c>
      <c r="C652" s="1" t="s">
        <v>1474</v>
      </c>
      <c r="D652" s="4" t="s">
        <v>86</v>
      </c>
      <c r="E652" s="3"/>
      <c r="F652" s="3" t="s">
        <v>68</v>
      </c>
      <c r="G652">
        <v>2</v>
      </c>
      <c r="H652" s="4">
        <v>2</v>
      </c>
      <c r="I652" s="4">
        <v>2</v>
      </c>
      <c r="J652" s="4" t="s">
        <v>8</v>
      </c>
      <c r="K652" s="4" t="s">
        <v>7</v>
      </c>
      <c r="L652" s="11"/>
      <c r="M652" s="3"/>
      <c r="N652"/>
      <c r="O652" s="4"/>
      <c r="P652" s="1"/>
      <c r="Q652" s="22"/>
      <c r="R652"/>
      <c r="S652" s="11"/>
      <c r="T652" t="s">
        <v>69</v>
      </c>
      <c r="U652"/>
      <c r="V652" s="1"/>
      <c r="W652" s="1"/>
    </row>
    <row r="653" spans="2:23" x14ac:dyDescent="0.35">
      <c r="B653" s="4">
        <v>20027297</v>
      </c>
      <c r="C653" s="1" t="s">
        <v>1426</v>
      </c>
      <c r="D653" s="4" t="s">
        <v>86</v>
      </c>
      <c r="E653" s="3"/>
      <c r="F653" s="3" t="s">
        <v>68</v>
      </c>
      <c r="G653">
        <v>2</v>
      </c>
      <c r="H653" s="4">
        <v>3</v>
      </c>
      <c r="I653" s="4">
        <v>4</v>
      </c>
      <c r="J653" s="4" t="s">
        <v>8</v>
      </c>
      <c r="K653" s="4" t="s">
        <v>7</v>
      </c>
      <c r="L653" s="11"/>
      <c r="M653" s="3"/>
      <c r="N653"/>
      <c r="O653" s="4"/>
      <c r="P653" s="1"/>
      <c r="Q653" s="22"/>
      <c r="R653"/>
      <c r="S653" s="11"/>
      <c r="T653" t="s">
        <v>69</v>
      </c>
      <c r="U653"/>
      <c r="V653" s="1"/>
      <c r="W653" s="1"/>
    </row>
    <row r="654" spans="2:23" x14ac:dyDescent="0.35">
      <c r="B654" s="4">
        <v>20027355</v>
      </c>
      <c r="C654" s="1" t="s">
        <v>491</v>
      </c>
      <c r="D654" s="4" t="s">
        <v>86</v>
      </c>
      <c r="E654" s="3"/>
      <c r="F654" s="3" t="s">
        <v>68</v>
      </c>
      <c r="G654">
        <v>1</v>
      </c>
      <c r="H654" s="4">
        <v>1</v>
      </c>
      <c r="I654" s="4">
        <v>12</v>
      </c>
      <c r="J654" s="4" t="s">
        <v>25</v>
      </c>
      <c r="K654" s="4" t="s">
        <v>14</v>
      </c>
      <c r="L654" s="11"/>
      <c r="M654" s="3"/>
      <c r="N654"/>
      <c r="O654" s="4"/>
      <c r="P654" s="1"/>
      <c r="Q654" s="22"/>
      <c r="R654"/>
      <c r="S654" s="11"/>
      <c r="T654" t="s">
        <v>70</v>
      </c>
      <c r="U654"/>
      <c r="V654" s="1"/>
      <c r="W654" s="1"/>
    </row>
    <row r="655" spans="2:23" x14ac:dyDescent="0.35">
      <c r="B655" s="4">
        <v>20027356</v>
      </c>
      <c r="C655" s="1" t="s">
        <v>1451</v>
      </c>
      <c r="D655" s="4" t="s">
        <v>86</v>
      </c>
      <c r="E655" s="3"/>
      <c r="F655" s="3" t="s">
        <v>68</v>
      </c>
      <c r="G655">
        <v>2</v>
      </c>
      <c r="H655" s="4">
        <v>2</v>
      </c>
      <c r="I655" s="4">
        <v>40</v>
      </c>
      <c r="J655" s="4" t="s">
        <v>8</v>
      </c>
      <c r="K655" s="4" t="s">
        <v>14</v>
      </c>
      <c r="L655" s="11"/>
      <c r="M655" s="3"/>
      <c r="N655"/>
      <c r="O655" s="4"/>
      <c r="P655" s="1"/>
      <c r="Q655" s="22"/>
      <c r="R655"/>
      <c r="S655" s="11"/>
      <c r="T655" t="s">
        <v>70</v>
      </c>
      <c r="U655"/>
      <c r="V655" s="1"/>
      <c r="W655" s="1"/>
    </row>
    <row r="656" spans="2:23" x14ac:dyDescent="0.35">
      <c r="B656" s="4">
        <v>20027357</v>
      </c>
      <c r="C656" s="1" t="s">
        <v>492</v>
      </c>
      <c r="D656" s="4" t="s">
        <v>86</v>
      </c>
      <c r="E656" s="3"/>
      <c r="F656" s="3" t="s">
        <v>68</v>
      </c>
      <c r="G656">
        <v>3</v>
      </c>
      <c r="H656" s="4">
        <v>4</v>
      </c>
      <c r="I656" s="4">
        <v>278</v>
      </c>
      <c r="J656" s="4" t="s">
        <v>8</v>
      </c>
      <c r="K656" s="4" t="s">
        <v>14</v>
      </c>
      <c r="L656" s="11"/>
      <c r="M656" s="3"/>
      <c r="N656"/>
      <c r="O656" s="4"/>
      <c r="P656" s="1"/>
      <c r="Q656" s="22"/>
      <c r="R656"/>
      <c r="S656" s="11"/>
      <c r="T656" t="s">
        <v>70</v>
      </c>
      <c r="U656"/>
      <c r="V656" s="1"/>
      <c r="W656" s="1"/>
    </row>
    <row r="657" spans="2:23" x14ac:dyDescent="0.35">
      <c r="B657" s="4">
        <v>20027378</v>
      </c>
      <c r="C657" s="1" t="s">
        <v>493</v>
      </c>
      <c r="D657" s="4" t="s">
        <v>86</v>
      </c>
      <c r="E657" s="3"/>
      <c r="F657" s="3" t="s">
        <v>68</v>
      </c>
      <c r="G657">
        <v>2</v>
      </c>
      <c r="H657" s="4">
        <v>2</v>
      </c>
      <c r="I657" s="4">
        <v>10</v>
      </c>
      <c r="J657" s="4" t="s">
        <v>8</v>
      </c>
      <c r="K657" s="4" t="s">
        <v>14</v>
      </c>
      <c r="L657" s="11"/>
      <c r="M657" s="3"/>
      <c r="N657"/>
      <c r="O657" s="4"/>
      <c r="P657" s="1"/>
      <c r="Q657" s="22"/>
      <c r="R657"/>
      <c r="S657" s="11"/>
      <c r="T657" t="s">
        <v>70</v>
      </c>
      <c r="U657"/>
      <c r="V657" s="1"/>
      <c r="W657" s="1"/>
    </row>
    <row r="658" spans="2:23" x14ac:dyDescent="0.35">
      <c r="B658" s="4">
        <v>20027456</v>
      </c>
      <c r="C658" s="1" t="s">
        <v>494</v>
      </c>
      <c r="D658" s="4" t="s">
        <v>86</v>
      </c>
      <c r="E658" s="3"/>
      <c r="F658" s="3" t="s">
        <v>68</v>
      </c>
      <c r="G658">
        <v>2</v>
      </c>
      <c r="H658" s="4">
        <v>3</v>
      </c>
      <c r="I658" s="4">
        <v>3</v>
      </c>
      <c r="J658" s="4" t="s">
        <v>8</v>
      </c>
      <c r="K658" s="4" t="s">
        <v>7</v>
      </c>
      <c r="L658" s="11"/>
      <c r="M658" s="3"/>
      <c r="N658"/>
      <c r="O658" s="4"/>
      <c r="P658" s="1"/>
      <c r="Q658" s="22"/>
      <c r="R658"/>
      <c r="S658" s="11"/>
      <c r="T658" t="s">
        <v>70</v>
      </c>
      <c r="U658"/>
      <c r="V658" s="1"/>
      <c r="W658" s="1"/>
    </row>
    <row r="659" spans="2:23" x14ac:dyDescent="0.35">
      <c r="B659" s="4">
        <v>20027476</v>
      </c>
      <c r="C659" s="1" t="s">
        <v>495</v>
      </c>
      <c r="D659" s="4" t="s">
        <v>86</v>
      </c>
      <c r="E659" s="3"/>
      <c r="F659" s="3" t="s">
        <v>68</v>
      </c>
      <c r="G659">
        <v>10</v>
      </c>
      <c r="H659" s="4">
        <v>20</v>
      </c>
      <c r="I659" s="4">
        <v>30</v>
      </c>
      <c r="J659" s="4" t="s">
        <v>8</v>
      </c>
      <c r="K659" s="4" t="s">
        <v>7</v>
      </c>
      <c r="L659" s="11"/>
      <c r="M659" s="3"/>
      <c r="N659"/>
      <c r="O659" s="4"/>
      <c r="P659" s="1"/>
      <c r="Q659" s="22"/>
      <c r="R659"/>
      <c r="S659" s="11"/>
      <c r="T659" t="s">
        <v>66</v>
      </c>
      <c r="U659"/>
      <c r="V659" s="1"/>
      <c r="W659" s="1"/>
    </row>
    <row r="660" spans="2:23" x14ac:dyDescent="0.35">
      <c r="B660" s="4">
        <v>20027483</v>
      </c>
      <c r="C660" s="1" t="s">
        <v>496</v>
      </c>
      <c r="D660" s="4" t="s">
        <v>86</v>
      </c>
      <c r="E660" s="3"/>
      <c r="F660" s="3" t="s">
        <v>68</v>
      </c>
      <c r="G660">
        <v>2</v>
      </c>
      <c r="H660" s="4">
        <v>3</v>
      </c>
      <c r="I660" s="4">
        <v>3</v>
      </c>
      <c r="J660" s="4" t="s">
        <v>25</v>
      </c>
      <c r="K660" s="4" t="s">
        <v>7</v>
      </c>
      <c r="L660" s="11"/>
      <c r="M660" s="3"/>
      <c r="N660"/>
      <c r="O660" s="4"/>
      <c r="P660" s="1"/>
      <c r="Q660" s="22"/>
      <c r="R660"/>
      <c r="S660" s="11"/>
      <c r="T660" t="s">
        <v>66</v>
      </c>
      <c r="U660"/>
      <c r="V660" s="1"/>
      <c r="W660" s="1"/>
    </row>
    <row r="661" spans="2:23" x14ac:dyDescent="0.35">
      <c r="B661" s="4">
        <v>20027524</v>
      </c>
      <c r="C661" s="1" t="s">
        <v>497</v>
      </c>
      <c r="D661" s="4" t="s">
        <v>86</v>
      </c>
      <c r="E661" s="3"/>
      <c r="F661" s="3" t="s">
        <v>68</v>
      </c>
      <c r="G661">
        <v>13</v>
      </c>
      <c r="H661" s="4">
        <v>21</v>
      </c>
      <c r="I661" s="4">
        <v>299</v>
      </c>
      <c r="J661" s="4" t="s">
        <v>8</v>
      </c>
      <c r="K661" s="4" t="s">
        <v>14</v>
      </c>
      <c r="L661" s="11"/>
      <c r="M661" s="3"/>
      <c r="N661"/>
      <c r="O661" s="4"/>
      <c r="P661" s="1"/>
      <c r="Q661" s="22"/>
      <c r="R661"/>
      <c r="S661" s="11"/>
      <c r="T661" t="s">
        <v>70</v>
      </c>
      <c r="U661"/>
      <c r="V661" s="1"/>
      <c r="W661" s="1"/>
    </row>
    <row r="662" spans="2:23" x14ac:dyDescent="0.35">
      <c r="B662" s="4">
        <v>20027532</v>
      </c>
      <c r="C662" s="1" t="s">
        <v>498</v>
      </c>
      <c r="D662" s="4" t="s">
        <v>86</v>
      </c>
      <c r="E662" s="3"/>
      <c r="F662" s="3" t="s">
        <v>68</v>
      </c>
      <c r="G662">
        <v>1</v>
      </c>
      <c r="H662" s="4">
        <v>1</v>
      </c>
      <c r="I662" s="4">
        <v>2</v>
      </c>
      <c r="J662" s="4" t="s">
        <v>8</v>
      </c>
      <c r="K662" s="4" t="s">
        <v>7</v>
      </c>
      <c r="L662" s="11"/>
      <c r="M662" s="3"/>
      <c r="N662"/>
      <c r="O662" s="4"/>
      <c r="P662" s="1"/>
      <c r="Q662" s="22"/>
      <c r="R662"/>
      <c r="S662" s="11"/>
      <c r="T662" t="s">
        <v>1603</v>
      </c>
      <c r="U662"/>
      <c r="V662" s="1"/>
      <c r="W662" s="1"/>
    </row>
    <row r="663" spans="2:23" x14ac:dyDescent="0.35">
      <c r="B663" s="4">
        <v>20027534</v>
      </c>
      <c r="C663" s="1" t="s">
        <v>499</v>
      </c>
      <c r="D663" s="4" t="s">
        <v>86</v>
      </c>
      <c r="E663" s="3"/>
      <c r="F663" s="3" t="s">
        <v>68</v>
      </c>
      <c r="G663">
        <v>1</v>
      </c>
      <c r="H663" s="4">
        <v>1</v>
      </c>
      <c r="I663" s="4">
        <v>1</v>
      </c>
      <c r="J663" s="4" t="s">
        <v>8</v>
      </c>
      <c r="K663" s="4" t="s">
        <v>7</v>
      </c>
      <c r="L663" s="11"/>
      <c r="M663" s="3"/>
      <c r="N663"/>
      <c r="O663" s="4"/>
      <c r="P663" s="1"/>
      <c r="Q663" s="22"/>
      <c r="R663"/>
      <c r="S663" s="11"/>
      <c r="T663" t="s">
        <v>1603</v>
      </c>
      <c r="U663"/>
      <c r="V663" s="1"/>
      <c r="W663" s="1"/>
    </row>
    <row r="664" spans="2:23" x14ac:dyDescent="0.35">
      <c r="B664" s="4">
        <v>20027541</v>
      </c>
      <c r="C664" s="1" t="s">
        <v>500</v>
      </c>
      <c r="D664" s="4" t="s">
        <v>86</v>
      </c>
      <c r="E664" s="3"/>
      <c r="F664" s="3" t="s">
        <v>68</v>
      </c>
      <c r="G664">
        <v>8</v>
      </c>
      <c r="H664" s="4">
        <v>6</v>
      </c>
      <c r="I664" s="4">
        <v>13</v>
      </c>
      <c r="J664" s="4" t="s">
        <v>8</v>
      </c>
      <c r="K664" s="4" t="s">
        <v>7</v>
      </c>
      <c r="L664" s="11"/>
      <c r="M664" s="3"/>
      <c r="N664"/>
      <c r="O664" s="4"/>
      <c r="P664" s="1"/>
      <c r="Q664" s="22"/>
      <c r="R664"/>
      <c r="S664" s="11"/>
      <c r="T664" t="s">
        <v>1603</v>
      </c>
      <c r="U664"/>
      <c r="V664" s="1"/>
      <c r="W664" s="1"/>
    </row>
    <row r="665" spans="2:23" x14ac:dyDescent="0.35">
      <c r="B665" s="4">
        <v>20027542</v>
      </c>
      <c r="C665" s="1" t="s">
        <v>501</v>
      </c>
      <c r="D665" s="4" t="s">
        <v>86</v>
      </c>
      <c r="E665" s="3"/>
      <c r="F665" s="3" t="s">
        <v>68</v>
      </c>
      <c r="G665">
        <v>1</v>
      </c>
      <c r="H665" s="4">
        <v>1</v>
      </c>
      <c r="I665" s="4">
        <v>41</v>
      </c>
      <c r="J665" s="4" t="s">
        <v>8</v>
      </c>
      <c r="K665" s="4" t="s">
        <v>14</v>
      </c>
      <c r="L665" s="11"/>
      <c r="M665" s="3"/>
      <c r="N665"/>
      <c r="O665" s="4"/>
      <c r="P665" s="1"/>
      <c r="Q665" s="22"/>
      <c r="R665"/>
      <c r="S665" s="11"/>
      <c r="T665" t="s">
        <v>70</v>
      </c>
      <c r="U665"/>
      <c r="V665" s="1"/>
      <c r="W665" s="1"/>
    </row>
    <row r="666" spans="2:23" x14ac:dyDescent="0.35">
      <c r="B666" s="4">
        <v>20027543</v>
      </c>
      <c r="C666" s="1" t="s">
        <v>502</v>
      </c>
      <c r="D666" s="4" t="s">
        <v>86</v>
      </c>
      <c r="E666" s="3"/>
      <c r="F666" s="3" t="s">
        <v>68</v>
      </c>
      <c r="G666">
        <v>2</v>
      </c>
      <c r="H666" s="4">
        <v>2</v>
      </c>
      <c r="I666" s="4">
        <v>98</v>
      </c>
      <c r="J666" s="4" t="s">
        <v>8</v>
      </c>
      <c r="K666" s="4" t="s">
        <v>14</v>
      </c>
      <c r="L666" s="11"/>
      <c r="M666" s="3"/>
      <c r="N666"/>
      <c r="O666" s="4"/>
      <c r="P666" s="1"/>
      <c r="Q666" s="22"/>
      <c r="R666"/>
      <c r="S666" s="11"/>
      <c r="T666" t="s">
        <v>70</v>
      </c>
      <c r="U666"/>
      <c r="V666" s="1"/>
      <c r="W666" s="1"/>
    </row>
    <row r="667" spans="2:23" x14ac:dyDescent="0.35">
      <c r="B667" s="4">
        <v>20027634</v>
      </c>
      <c r="C667" s="1" t="s">
        <v>1475</v>
      </c>
      <c r="D667" s="4" t="s">
        <v>86</v>
      </c>
      <c r="E667" s="3"/>
      <c r="F667" s="3" t="s">
        <v>68</v>
      </c>
      <c r="G667">
        <v>2</v>
      </c>
      <c r="H667" s="4">
        <v>2</v>
      </c>
      <c r="I667" s="4">
        <v>2</v>
      </c>
      <c r="J667" s="4" t="s">
        <v>21</v>
      </c>
      <c r="K667" s="4" t="s">
        <v>7</v>
      </c>
      <c r="L667" s="11"/>
      <c r="M667" s="3"/>
      <c r="N667"/>
      <c r="O667" s="4"/>
      <c r="P667" s="1"/>
      <c r="Q667" s="22"/>
      <c r="R667"/>
      <c r="S667" s="11"/>
      <c r="T667" t="s">
        <v>69</v>
      </c>
      <c r="U667"/>
      <c r="V667" s="1"/>
      <c r="W667" s="1"/>
    </row>
    <row r="668" spans="2:23" x14ac:dyDescent="0.35">
      <c r="B668" s="4">
        <v>20027851</v>
      </c>
      <c r="C668" s="1" t="s">
        <v>503</v>
      </c>
      <c r="D668" s="4" t="s">
        <v>86</v>
      </c>
      <c r="E668" s="3"/>
      <c r="F668" s="3" t="s">
        <v>68</v>
      </c>
      <c r="G668">
        <v>17</v>
      </c>
      <c r="H668" s="4">
        <v>30</v>
      </c>
      <c r="I668" s="4">
        <v>39</v>
      </c>
      <c r="J668" s="4" t="s">
        <v>23</v>
      </c>
      <c r="K668" s="4" t="s">
        <v>7</v>
      </c>
      <c r="L668" s="11"/>
      <c r="M668" s="3"/>
      <c r="N668"/>
      <c r="O668" s="4"/>
      <c r="P668" s="1"/>
      <c r="Q668" s="22"/>
      <c r="R668"/>
      <c r="S668" s="11"/>
      <c r="T668" t="s">
        <v>1602</v>
      </c>
      <c r="U668"/>
      <c r="V668" s="1"/>
      <c r="W668" s="1"/>
    </row>
    <row r="669" spans="2:23" x14ac:dyDescent="0.35">
      <c r="B669" s="4">
        <v>20027853</v>
      </c>
      <c r="C669" s="1" t="s">
        <v>504</v>
      </c>
      <c r="D669" s="4" t="s">
        <v>86</v>
      </c>
      <c r="E669" s="3"/>
      <c r="F669" s="3" t="s">
        <v>68</v>
      </c>
      <c r="G669">
        <v>230</v>
      </c>
      <c r="H669" s="4">
        <v>400</v>
      </c>
      <c r="I669" s="4">
        <v>532</v>
      </c>
      <c r="J669" s="4" t="s">
        <v>23</v>
      </c>
      <c r="K669" s="4" t="s">
        <v>7</v>
      </c>
      <c r="L669" s="11"/>
      <c r="M669" s="3"/>
      <c r="N669"/>
      <c r="O669" s="4"/>
      <c r="P669" s="1"/>
      <c r="Q669" s="22"/>
      <c r="R669"/>
      <c r="S669" s="11"/>
      <c r="T669" t="s">
        <v>1602</v>
      </c>
      <c r="U669"/>
      <c r="V669" s="1"/>
      <c r="W669" s="1"/>
    </row>
    <row r="670" spans="2:23" x14ac:dyDescent="0.35">
      <c r="B670" s="4">
        <v>20027854</v>
      </c>
      <c r="C670" s="1" t="s">
        <v>505</v>
      </c>
      <c r="D670" s="4" t="s">
        <v>86</v>
      </c>
      <c r="E670" s="3"/>
      <c r="F670" s="3" t="s">
        <v>68</v>
      </c>
      <c r="G670">
        <v>8</v>
      </c>
      <c r="H670" s="4">
        <v>13</v>
      </c>
      <c r="I670" s="4">
        <v>180</v>
      </c>
      <c r="J670" s="4" t="s">
        <v>23</v>
      </c>
      <c r="K670" s="4" t="s">
        <v>14</v>
      </c>
      <c r="L670" s="11"/>
      <c r="M670" s="3"/>
      <c r="N670"/>
      <c r="O670" s="4"/>
      <c r="P670" s="1"/>
      <c r="Q670" s="22"/>
      <c r="R670"/>
      <c r="S670" s="11"/>
      <c r="T670" t="s">
        <v>70</v>
      </c>
      <c r="U670"/>
      <c r="V670" s="1"/>
      <c r="W670" s="1"/>
    </row>
    <row r="671" spans="2:23" x14ac:dyDescent="0.35">
      <c r="B671" s="4">
        <v>20028146</v>
      </c>
      <c r="C671" s="1" t="s">
        <v>506</v>
      </c>
      <c r="D671" s="4" t="s">
        <v>86</v>
      </c>
      <c r="E671" s="3"/>
      <c r="F671" s="3" t="s">
        <v>68</v>
      </c>
      <c r="G671">
        <v>1</v>
      </c>
      <c r="H671" s="4">
        <v>1</v>
      </c>
      <c r="I671" s="4">
        <v>10</v>
      </c>
      <c r="J671" s="4" t="s">
        <v>8</v>
      </c>
      <c r="K671" s="4" t="s">
        <v>14</v>
      </c>
      <c r="L671" s="11"/>
      <c r="M671" s="3"/>
      <c r="N671"/>
      <c r="O671" s="4"/>
      <c r="P671" s="1"/>
      <c r="Q671" s="22"/>
      <c r="R671"/>
      <c r="S671" s="11"/>
      <c r="T671" t="s">
        <v>70</v>
      </c>
      <c r="U671"/>
      <c r="V671" s="1"/>
      <c r="W671" s="1"/>
    </row>
    <row r="672" spans="2:23" x14ac:dyDescent="0.35">
      <c r="B672" s="4">
        <v>20028189</v>
      </c>
      <c r="C672" s="1" t="s">
        <v>507</v>
      </c>
      <c r="D672" s="4" t="s">
        <v>86</v>
      </c>
      <c r="E672" s="3"/>
      <c r="F672" s="3" t="s">
        <v>68</v>
      </c>
      <c r="G672">
        <v>2</v>
      </c>
      <c r="H672" s="4">
        <v>3</v>
      </c>
      <c r="I672" s="4">
        <v>2</v>
      </c>
      <c r="J672" s="4" t="s">
        <v>8</v>
      </c>
      <c r="K672" s="4" t="s">
        <v>7</v>
      </c>
      <c r="L672" s="11"/>
      <c r="M672" s="3"/>
      <c r="N672"/>
      <c r="O672" s="4"/>
      <c r="P672" s="1"/>
      <c r="Q672" s="22"/>
      <c r="R672"/>
      <c r="S672" s="11"/>
      <c r="T672" t="s">
        <v>66</v>
      </c>
      <c r="U672"/>
      <c r="V672" s="1"/>
      <c r="W672" s="1"/>
    </row>
    <row r="673" spans="2:23" x14ac:dyDescent="0.35">
      <c r="B673" s="4">
        <v>20028190</v>
      </c>
      <c r="C673" s="1" t="s">
        <v>508</v>
      </c>
      <c r="D673" s="4" t="s">
        <v>86</v>
      </c>
      <c r="E673" s="3"/>
      <c r="F673" s="3" t="s">
        <v>68</v>
      </c>
      <c r="G673">
        <v>1</v>
      </c>
      <c r="H673" s="4">
        <v>1</v>
      </c>
      <c r="I673" s="4">
        <v>6</v>
      </c>
      <c r="J673" s="4" t="s">
        <v>8</v>
      </c>
      <c r="K673" s="4" t="s">
        <v>14</v>
      </c>
      <c r="L673" s="11"/>
      <c r="M673" s="3"/>
      <c r="N673"/>
      <c r="O673" s="4"/>
      <c r="P673" s="1"/>
      <c r="Q673" s="22"/>
      <c r="R673"/>
      <c r="S673" s="11"/>
      <c r="T673" t="s">
        <v>69</v>
      </c>
      <c r="U673"/>
      <c r="V673" s="1"/>
      <c r="W673" s="1"/>
    </row>
    <row r="674" spans="2:23" x14ac:dyDescent="0.35">
      <c r="B674" s="4">
        <v>20028193</v>
      </c>
      <c r="C674" s="1" t="s">
        <v>509</v>
      </c>
      <c r="D674" s="4" t="s">
        <v>86</v>
      </c>
      <c r="E674" s="3"/>
      <c r="F674" s="3" t="s">
        <v>68</v>
      </c>
      <c r="G674">
        <v>1</v>
      </c>
      <c r="H674" s="4">
        <v>1</v>
      </c>
      <c r="I674" s="4">
        <v>3</v>
      </c>
      <c r="J674" s="4" t="s">
        <v>8</v>
      </c>
      <c r="K674" s="4" t="s">
        <v>14</v>
      </c>
      <c r="L674" s="11"/>
      <c r="M674" s="3"/>
      <c r="N674"/>
      <c r="O674" s="4"/>
      <c r="P674" s="1"/>
      <c r="Q674" s="22"/>
      <c r="R674"/>
      <c r="S674" s="11"/>
      <c r="T674" t="s">
        <v>70</v>
      </c>
      <c r="U674"/>
      <c r="V674" s="1"/>
      <c r="W674" s="1"/>
    </row>
    <row r="675" spans="2:23" x14ac:dyDescent="0.35">
      <c r="B675" s="4">
        <v>20028226</v>
      </c>
      <c r="C675" s="1" t="s">
        <v>510</v>
      </c>
      <c r="D675" s="4" t="s">
        <v>86</v>
      </c>
      <c r="E675" s="3"/>
      <c r="F675" s="3" t="s">
        <v>68</v>
      </c>
      <c r="G675">
        <v>2</v>
      </c>
      <c r="H675" s="4">
        <v>3</v>
      </c>
      <c r="I675" s="4">
        <v>12</v>
      </c>
      <c r="J675" s="4" t="s">
        <v>8</v>
      </c>
      <c r="K675" s="4" t="s">
        <v>14</v>
      </c>
      <c r="L675" s="11"/>
      <c r="M675" s="3"/>
      <c r="N675"/>
      <c r="O675" s="4"/>
      <c r="P675" s="1"/>
      <c r="Q675" s="22"/>
      <c r="R675"/>
      <c r="S675" s="11"/>
      <c r="T675" t="s">
        <v>1602</v>
      </c>
      <c r="U675"/>
      <c r="V675" s="1"/>
      <c r="W675" s="1"/>
    </row>
    <row r="676" spans="2:23" x14ac:dyDescent="0.35">
      <c r="B676" s="4">
        <v>20028729</v>
      </c>
      <c r="C676" s="1" t="s">
        <v>1610</v>
      </c>
      <c r="D676" s="4" t="s">
        <v>86</v>
      </c>
      <c r="E676" s="3"/>
      <c r="F676" s="3" t="s">
        <v>68</v>
      </c>
      <c r="G676">
        <v>200</v>
      </c>
      <c r="H676" s="4">
        <v>50</v>
      </c>
      <c r="I676" s="4">
        <v>300</v>
      </c>
      <c r="J676" s="4" t="s">
        <v>8</v>
      </c>
      <c r="K676" s="4" t="s">
        <v>14</v>
      </c>
      <c r="L676" s="11"/>
      <c r="M676" s="66"/>
      <c r="N676"/>
      <c r="O676" s="4"/>
      <c r="P676" s="1"/>
      <c r="Q676" s="22"/>
      <c r="R676"/>
      <c r="S676" s="11"/>
      <c r="T676" t="s">
        <v>1603</v>
      </c>
      <c r="U676"/>
      <c r="V676" s="1"/>
      <c r="W676" s="1"/>
    </row>
    <row r="677" spans="2:23" x14ac:dyDescent="0.35">
      <c r="B677" s="4">
        <v>20028734</v>
      </c>
      <c r="C677" s="1" t="s">
        <v>1476</v>
      </c>
      <c r="D677" s="4" t="s">
        <v>86</v>
      </c>
      <c r="E677" s="3"/>
      <c r="F677" s="3" t="s">
        <v>68</v>
      </c>
      <c r="G677">
        <v>2</v>
      </c>
      <c r="H677" s="4">
        <v>2</v>
      </c>
      <c r="I677" s="4">
        <v>2</v>
      </c>
      <c r="J677" s="4" t="s">
        <v>8</v>
      </c>
      <c r="K677" s="4" t="s">
        <v>7</v>
      </c>
      <c r="L677" s="11"/>
      <c r="M677" s="3"/>
      <c r="N677"/>
      <c r="O677" s="4"/>
      <c r="P677" s="1"/>
      <c r="Q677" s="22"/>
      <c r="R677"/>
      <c r="S677" s="11"/>
      <c r="T677" t="s">
        <v>69</v>
      </c>
      <c r="U677"/>
      <c r="V677" s="1"/>
      <c r="W677" s="1"/>
    </row>
    <row r="678" spans="2:23" x14ac:dyDescent="0.35">
      <c r="B678" s="4">
        <v>20028767</v>
      </c>
      <c r="C678" s="1" t="s">
        <v>511</v>
      </c>
      <c r="D678" s="4" t="s">
        <v>86</v>
      </c>
      <c r="E678" s="3"/>
      <c r="F678" s="3" t="s">
        <v>68</v>
      </c>
      <c r="G678">
        <v>4</v>
      </c>
      <c r="H678" s="4">
        <v>8</v>
      </c>
      <c r="I678" s="4">
        <v>6</v>
      </c>
      <c r="J678" s="4" t="s">
        <v>8</v>
      </c>
      <c r="K678" s="4" t="s">
        <v>7</v>
      </c>
      <c r="L678" s="11"/>
      <c r="M678" s="3"/>
      <c r="N678"/>
      <c r="O678" s="4"/>
      <c r="P678" s="1"/>
      <c r="Q678" s="22"/>
      <c r="R678"/>
      <c r="S678" s="11"/>
      <c r="T678" t="s">
        <v>71</v>
      </c>
      <c r="U678"/>
      <c r="V678" s="1"/>
      <c r="W678" s="1"/>
    </row>
    <row r="679" spans="2:23" x14ac:dyDescent="0.35">
      <c r="B679" s="4">
        <v>20028768</v>
      </c>
      <c r="C679" s="1" t="s">
        <v>512</v>
      </c>
      <c r="D679" s="4" t="s">
        <v>86</v>
      </c>
      <c r="E679" s="3"/>
      <c r="F679" s="3" t="s">
        <v>68</v>
      </c>
      <c r="G679">
        <v>4</v>
      </c>
      <c r="H679" s="4">
        <v>8</v>
      </c>
      <c r="I679" s="4">
        <v>8</v>
      </c>
      <c r="J679" s="4" t="s">
        <v>8</v>
      </c>
      <c r="K679" s="4" t="s">
        <v>7</v>
      </c>
      <c r="L679" s="11"/>
      <c r="M679" s="3"/>
      <c r="N679"/>
      <c r="O679" s="4"/>
      <c r="P679" s="1"/>
      <c r="Q679" s="22"/>
      <c r="R679"/>
      <c r="S679" s="11"/>
      <c r="T679" t="s">
        <v>71</v>
      </c>
      <c r="U679"/>
      <c r="V679" s="1"/>
      <c r="W679" s="1"/>
    </row>
    <row r="680" spans="2:23" x14ac:dyDescent="0.35">
      <c r="B680" s="4">
        <v>20040973</v>
      </c>
      <c r="C680" s="1" t="s">
        <v>513</v>
      </c>
      <c r="D680" s="4" t="s">
        <v>86</v>
      </c>
      <c r="E680" s="3"/>
      <c r="F680" s="3" t="s">
        <v>68</v>
      </c>
      <c r="G680">
        <v>24</v>
      </c>
      <c r="H680" s="4">
        <v>24</v>
      </c>
      <c r="I680" s="4">
        <v>46</v>
      </c>
      <c r="J680" s="4" t="s">
        <v>8</v>
      </c>
      <c r="K680" s="4" t="s">
        <v>7</v>
      </c>
      <c r="L680" s="11"/>
      <c r="M680" s="3"/>
      <c r="N680"/>
      <c r="O680" s="4"/>
      <c r="P680" s="1"/>
      <c r="Q680" s="22"/>
      <c r="R680"/>
      <c r="S680" s="11"/>
      <c r="T680" t="s">
        <v>1602</v>
      </c>
      <c r="U680"/>
      <c r="V680" s="1"/>
      <c r="W680" s="1"/>
    </row>
    <row r="681" spans="2:23" x14ac:dyDescent="0.35">
      <c r="B681" s="4">
        <v>20041001</v>
      </c>
      <c r="C681" s="1" t="s">
        <v>514</v>
      </c>
      <c r="D681" s="4" t="s">
        <v>86</v>
      </c>
      <c r="E681" s="3"/>
      <c r="F681" s="3" t="s">
        <v>68</v>
      </c>
      <c r="G681">
        <v>12</v>
      </c>
      <c r="H681" s="4">
        <v>24</v>
      </c>
      <c r="I681" s="4">
        <v>29</v>
      </c>
      <c r="J681" s="4" t="s">
        <v>8</v>
      </c>
      <c r="K681" s="4" t="s">
        <v>7</v>
      </c>
      <c r="L681" s="11"/>
      <c r="M681" s="3"/>
      <c r="N681"/>
      <c r="O681" s="4"/>
      <c r="P681" s="1"/>
      <c r="Q681" s="22"/>
      <c r="R681"/>
      <c r="S681" s="11"/>
      <c r="T681" t="s">
        <v>69</v>
      </c>
      <c r="U681"/>
      <c r="V681" s="1"/>
      <c r="W681" s="1"/>
    </row>
    <row r="682" spans="2:23" x14ac:dyDescent="0.35">
      <c r="B682" s="4">
        <v>20041002</v>
      </c>
      <c r="C682" s="1" t="s">
        <v>515</v>
      </c>
      <c r="D682" s="4" t="s">
        <v>86</v>
      </c>
      <c r="E682" s="3"/>
      <c r="F682" s="3" t="s">
        <v>68</v>
      </c>
      <c r="G682">
        <v>12</v>
      </c>
      <c r="H682" s="4">
        <v>36</v>
      </c>
      <c r="I682" s="4">
        <v>13</v>
      </c>
      <c r="J682" s="4" t="s">
        <v>8</v>
      </c>
      <c r="K682" s="4" t="s">
        <v>7</v>
      </c>
      <c r="L682" s="11"/>
      <c r="M682" s="3"/>
      <c r="N682"/>
      <c r="O682" s="4"/>
      <c r="P682" s="1"/>
      <c r="Q682" s="22"/>
      <c r="R682"/>
      <c r="S682" s="11"/>
      <c r="T682" t="s">
        <v>69</v>
      </c>
      <c r="U682"/>
      <c r="V682" s="1"/>
      <c r="W682" s="1"/>
    </row>
    <row r="683" spans="2:23" x14ac:dyDescent="0.35">
      <c r="B683" s="4">
        <v>20041003</v>
      </c>
      <c r="C683" s="1" t="s">
        <v>516</v>
      </c>
      <c r="D683" s="4" t="s">
        <v>86</v>
      </c>
      <c r="E683" s="3"/>
      <c r="F683" s="3" t="s">
        <v>68</v>
      </c>
      <c r="G683">
        <v>11</v>
      </c>
      <c r="H683" s="4">
        <v>12</v>
      </c>
      <c r="I683" s="4">
        <v>133</v>
      </c>
      <c r="J683" s="4" t="s">
        <v>8</v>
      </c>
      <c r="K683" s="4" t="s">
        <v>14</v>
      </c>
      <c r="L683" s="11"/>
      <c r="M683" s="3"/>
      <c r="N683"/>
      <c r="O683" s="16"/>
      <c r="P683" s="77"/>
      <c r="Q683" s="23"/>
      <c r="R683"/>
      <c r="S683" s="11"/>
      <c r="T683" t="s">
        <v>69</v>
      </c>
      <c r="U683"/>
      <c r="V683" s="1"/>
      <c r="W683" s="1"/>
    </row>
    <row r="684" spans="2:23" x14ac:dyDescent="0.35">
      <c r="B684" s="4">
        <v>20041014</v>
      </c>
      <c r="C684" s="1" t="s">
        <v>73</v>
      </c>
      <c r="D684" s="4" t="s">
        <v>86</v>
      </c>
      <c r="E684" s="3"/>
      <c r="F684" s="3" t="s">
        <v>68</v>
      </c>
      <c r="G684">
        <v>600</v>
      </c>
      <c r="H684" s="4">
        <v>400</v>
      </c>
      <c r="I684" s="4">
        <v>687</v>
      </c>
      <c r="J684" s="4" t="s">
        <v>8</v>
      </c>
      <c r="K684" s="4" t="s">
        <v>7</v>
      </c>
      <c r="L684" s="11"/>
      <c r="M684" s="3"/>
      <c r="N684"/>
      <c r="O684" s="4"/>
      <c r="P684" s="1"/>
      <c r="Q684" s="22"/>
      <c r="R684"/>
      <c r="S684" s="11"/>
      <c r="T684" t="s">
        <v>69</v>
      </c>
      <c r="U684"/>
      <c r="V684" s="1"/>
      <c r="W684" s="1"/>
    </row>
    <row r="685" spans="2:23" x14ac:dyDescent="0.35">
      <c r="B685" s="4">
        <v>20041015</v>
      </c>
      <c r="C685" s="1" t="s">
        <v>517</v>
      </c>
      <c r="D685" s="4" t="s">
        <v>86</v>
      </c>
      <c r="E685" s="3"/>
      <c r="F685" s="3" t="s">
        <v>68</v>
      </c>
      <c r="G685">
        <v>600</v>
      </c>
      <c r="H685" s="4">
        <v>400</v>
      </c>
      <c r="I685" s="4">
        <v>713</v>
      </c>
      <c r="J685" s="4" t="s">
        <v>8</v>
      </c>
      <c r="K685" s="4" t="s">
        <v>7</v>
      </c>
      <c r="L685" s="11"/>
      <c r="M685" s="3"/>
      <c r="N685"/>
      <c r="O685" s="4"/>
      <c r="P685" s="1"/>
      <c r="Q685" s="22"/>
      <c r="R685"/>
      <c r="S685" s="11"/>
      <c r="T685" t="s">
        <v>69</v>
      </c>
      <c r="U685"/>
      <c r="V685" s="1"/>
      <c r="W685" s="1"/>
    </row>
    <row r="686" spans="2:23" x14ac:dyDescent="0.35">
      <c r="B686" s="4">
        <v>20042275</v>
      </c>
      <c r="C686" s="1" t="s">
        <v>1611</v>
      </c>
      <c r="D686" s="4" t="s">
        <v>86</v>
      </c>
      <c r="E686" s="3"/>
      <c r="F686" s="3" t="s">
        <v>68</v>
      </c>
      <c r="G686">
        <v>200</v>
      </c>
      <c r="H686" s="4">
        <v>50</v>
      </c>
      <c r="I686" s="4">
        <v>300</v>
      </c>
      <c r="J686" s="4" t="s">
        <v>8</v>
      </c>
      <c r="K686" s="4" t="s">
        <v>14</v>
      </c>
      <c r="L686" s="11"/>
      <c r="M686" s="3"/>
      <c r="N686"/>
      <c r="O686" s="4"/>
      <c r="P686" s="1"/>
      <c r="Q686" s="22"/>
      <c r="R686"/>
      <c r="S686" s="11"/>
      <c r="T686" t="s">
        <v>1603</v>
      </c>
      <c r="U686"/>
      <c r="V686" s="1"/>
      <c r="W686" s="1"/>
    </row>
    <row r="687" spans="2:23" x14ac:dyDescent="0.35">
      <c r="B687" s="4">
        <v>20046227</v>
      </c>
      <c r="C687" s="1" t="s">
        <v>1206</v>
      </c>
      <c r="D687" s="4" t="s">
        <v>86</v>
      </c>
      <c r="E687" s="3"/>
      <c r="F687" s="3" t="s">
        <v>68</v>
      </c>
      <c r="G687">
        <v>100</v>
      </c>
      <c r="H687" s="4">
        <v>150</v>
      </c>
      <c r="I687" s="4">
        <v>102</v>
      </c>
      <c r="J687" s="4" t="s">
        <v>8</v>
      </c>
      <c r="K687" s="4" t="s">
        <v>7</v>
      </c>
      <c r="L687" s="11"/>
      <c r="M687" s="3"/>
      <c r="N687"/>
      <c r="O687" s="4"/>
      <c r="P687" s="1"/>
      <c r="Q687" s="22"/>
      <c r="R687"/>
      <c r="S687" s="11"/>
      <c r="T687" t="s">
        <v>1603</v>
      </c>
      <c r="U687"/>
      <c r="V687" s="1"/>
      <c r="W687" s="1"/>
    </row>
    <row r="688" spans="2:23" x14ac:dyDescent="0.35">
      <c r="B688" s="4">
        <v>20046228</v>
      </c>
      <c r="C688" s="1" t="s">
        <v>1207</v>
      </c>
      <c r="D688" s="4" t="s">
        <v>86</v>
      </c>
      <c r="E688" s="3"/>
      <c r="F688" s="3" t="s">
        <v>68</v>
      </c>
      <c r="G688">
        <v>70</v>
      </c>
      <c r="H688" s="4">
        <v>200</v>
      </c>
      <c r="I688" s="4">
        <v>178</v>
      </c>
      <c r="J688" s="4" t="s">
        <v>8</v>
      </c>
      <c r="K688" s="4" t="s">
        <v>7</v>
      </c>
      <c r="L688" s="11"/>
      <c r="M688" s="3"/>
      <c r="N688"/>
      <c r="O688" s="4"/>
      <c r="P688" s="1"/>
      <c r="Q688" s="22"/>
      <c r="R688"/>
      <c r="S688" s="11"/>
      <c r="T688" t="s">
        <v>1603</v>
      </c>
      <c r="U688"/>
      <c r="V688" s="1"/>
      <c r="W688" s="1"/>
    </row>
    <row r="689" spans="2:23" x14ac:dyDescent="0.35">
      <c r="B689" s="4">
        <v>20046230</v>
      </c>
      <c r="C689" s="1" t="s">
        <v>1209</v>
      </c>
      <c r="D689" s="4" t="s">
        <v>86</v>
      </c>
      <c r="E689" s="3"/>
      <c r="F689" s="3" t="s">
        <v>68</v>
      </c>
      <c r="G689">
        <v>70</v>
      </c>
      <c r="H689" s="4">
        <v>100</v>
      </c>
      <c r="I689" s="4">
        <v>100</v>
      </c>
      <c r="J689" s="4" t="s">
        <v>8</v>
      </c>
      <c r="K689" s="4" t="s">
        <v>7</v>
      </c>
      <c r="L689" s="11"/>
      <c r="M689" s="3"/>
      <c r="N689"/>
      <c r="O689" s="4"/>
      <c r="P689" s="1"/>
      <c r="Q689" s="22"/>
      <c r="R689"/>
      <c r="S689" s="11"/>
      <c r="T689" t="s">
        <v>1603</v>
      </c>
      <c r="U689"/>
      <c r="V689" s="1"/>
      <c r="W689" s="1"/>
    </row>
    <row r="690" spans="2:23" x14ac:dyDescent="0.35">
      <c r="B690" s="4">
        <v>20047000</v>
      </c>
      <c r="C690" s="1" t="s">
        <v>518</v>
      </c>
      <c r="D690" s="4" t="s">
        <v>86</v>
      </c>
      <c r="E690" s="3"/>
      <c r="F690" s="3" t="s">
        <v>68</v>
      </c>
      <c r="G690">
        <v>1000</v>
      </c>
      <c r="H690" s="4">
        <v>1500</v>
      </c>
      <c r="I690" s="4">
        <v>3494</v>
      </c>
      <c r="J690" s="4" t="s">
        <v>8</v>
      </c>
      <c r="K690" s="4" t="s">
        <v>14</v>
      </c>
      <c r="L690" s="11"/>
      <c r="M690" s="3"/>
      <c r="N690"/>
      <c r="O690" s="4"/>
      <c r="P690" s="1"/>
      <c r="Q690" s="22"/>
      <c r="R690"/>
      <c r="S690" s="11"/>
      <c r="T690" t="s">
        <v>1603</v>
      </c>
      <c r="U690"/>
      <c r="V690" s="1"/>
      <c r="W690" s="1"/>
    </row>
    <row r="691" spans="2:23" x14ac:dyDescent="0.35">
      <c r="B691" s="4">
        <v>20048691</v>
      </c>
      <c r="C691" s="1" t="s">
        <v>519</v>
      </c>
      <c r="D691" s="4" t="s">
        <v>86</v>
      </c>
      <c r="E691" s="3"/>
      <c r="F691" s="3" t="s">
        <v>68</v>
      </c>
      <c r="G691">
        <v>72</v>
      </c>
      <c r="H691" s="4">
        <v>120</v>
      </c>
      <c r="I691" s="4">
        <v>168</v>
      </c>
      <c r="J691" s="4" t="s">
        <v>10</v>
      </c>
      <c r="K691" s="4" t="s">
        <v>7</v>
      </c>
      <c r="L691" s="11"/>
      <c r="M691" s="3"/>
      <c r="N691"/>
      <c r="O691" s="4"/>
      <c r="P691" s="1"/>
      <c r="Q691" s="22"/>
      <c r="R691"/>
      <c r="S691" s="11"/>
      <c r="T691" t="s">
        <v>1603</v>
      </c>
      <c r="U691"/>
      <c r="V691" s="1"/>
      <c r="W691" s="1"/>
    </row>
    <row r="692" spans="2:23" x14ac:dyDescent="0.35">
      <c r="B692" s="4">
        <v>20050353</v>
      </c>
      <c r="C692" s="1" t="s">
        <v>1403</v>
      </c>
      <c r="D692" s="4" t="s">
        <v>86</v>
      </c>
      <c r="E692" s="3"/>
      <c r="F692" s="3" t="s">
        <v>68</v>
      </c>
      <c r="G692">
        <v>6</v>
      </c>
      <c r="H692" s="4">
        <v>10</v>
      </c>
      <c r="I692" s="4">
        <v>8</v>
      </c>
      <c r="J692" s="4" t="s">
        <v>781</v>
      </c>
      <c r="K692" s="4" t="s">
        <v>7</v>
      </c>
      <c r="L692" s="11"/>
      <c r="M692" s="3"/>
      <c r="N692"/>
      <c r="O692" s="4"/>
      <c r="P692" s="1"/>
      <c r="Q692" s="22"/>
      <c r="R692"/>
      <c r="S692" s="11"/>
      <c r="T692" t="s">
        <v>1603</v>
      </c>
      <c r="U692"/>
      <c r="V692" s="1"/>
      <c r="W692" s="1"/>
    </row>
    <row r="693" spans="2:23" x14ac:dyDescent="0.35">
      <c r="B693" s="4">
        <v>20050354</v>
      </c>
      <c r="C693" s="1" t="s">
        <v>1404</v>
      </c>
      <c r="D693" s="4" t="s">
        <v>86</v>
      </c>
      <c r="E693" s="3"/>
      <c r="F693" s="3" t="s">
        <v>68</v>
      </c>
      <c r="G693">
        <v>6</v>
      </c>
      <c r="H693" s="4">
        <v>10</v>
      </c>
      <c r="I693" s="4">
        <v>16</v>
      </c>
      <c r="J693" s="4" t="s">
        <v>781</v>
      </c>
      <c r="K693" s="4" t="s">
        <v>7</v>
      </c>
      <c r="L693" s="11"/>
      <c r="M693" s="3"/>
      <c r="N693"/>
      <c r="O693" s="4"/>
      <c r="P693" s="1"/>
      <c r="Q693" s="22"/>
      <c r="R693"/>
      <c r="S693" s="11"/>
      <c r="T693" t="s">
        <v>1603</v>
      </c>
      <c r="U693"/>
      <c r="V693" s="1"/>
      <c r="W693" s="1"/>
    </row>
    <row r="694" spans="2:23" x14ac:dyDescent="0.35">
      <c r="B694" s="4">
        <v>20050387</v>
      </c>
      <c r="C694" s="1" t="s">
        <v>792</v>
      </c>
      <c r="D694" s="4" t="s">
        <v>86</v>
      </c>
      <c r="E694" s="3"/>
      <c r="F694" s="3" t="s">
        <v>68</v>
      </c>
      <c r="G694">
        <v>15</v>
      </c>
      <c r="H694" s="4">
        <v>32</v>
      </c>
      <c r="I694" s="4">
        <v>25</v>
      </c>
      <c r="J694" s="4" t="s">
        <v>8</v>
      </c>
      <c r="K694" s="4" t="s">
        <v>7</v>
      </c>
      <c r="L694" s="11"/>
      <c r="M694" s="3"/>
      <c r="N694"/>
      <c r="O694" s="4"/>
      <c r="P694" s="1"/>
      <c r="Q694" s="22"/>
      <c r="R694"/>
      <c r="S694" s="11"/>
      <c r="T694" t="s">
        <v>67</v>
      </c>
      <c r="U694"/>
      <c r="V694" s="1"/>
      <c r="W694" s="1"/>
    </row>
    <row r="695" spans="2:23" x14ac:dyDescent="0.35">
      <c r="B695" s="4">
        <v>20050460</v>
      </c>
      <c r="C695" s="1" t="s">
        <v>1438</v>
      </c>
      <c r="D695" s="4" t="s">
        <v>86</v>
      </c>
      <c r="E695" s="3"/>
      <c r="F695" s="3" t="s">
        <v>68</v>
      </c>
      <c r="G695">
        <v>6</v>
      </c>
      <c r="H695" s="4">
        <v>10</v>
      </c>
      <c r="I695" s="4">
        <v>16</v>
      </c>
      <c r="J695" s="4" t="s">
        <v>8</v>
      </c>
      <c r="K695" s="4" t="s">
        <v>7</v>
      </c>
      <c r="L695" s="11"/>
      <c r="M695" s="3"/>
      <c r="N695"/>
      <c r="O695" s="4"/>
      <c r="P695" s="1"/>
      <c r="Q695" s="22"/>
      <c r="R695"/>
      <c r="S695" s="11"/>
      <c r="T695" t="s">
        <v>70</v>
      </c>
      <c r="U695"/>
      <c r="V695" s="1"/>
      <c r="W695" s="1"/>
    </row>
    <row r="696" spans="2:23" x14ac:dyDescent="0.35">
      <c r="B696" s="4">
        <v>20058961</v>
      </c>
      <c r="C696" s="1" t="s">
        <v>1224</v>
      </c>
      <c r="D696" s="4" t="s">
        <v>86</v>
      </c>
      <c r="E696" s="3"/>
      <c r="F696" s="3" t="s">
        <v>68</v>
      </c>
      <c r="G696">
        <v>100</v>
      </c>
      <c r="H696" s="4">
        <v>200</v>
      </c>
      <c r="I696" s="4">
        <v>183</v>
      </c>
      <c r="J696" s="4" t="s">
        <v>21</v>
      </c>
      <c r="K696" s="4" t="s">
        <v>7</v>
      </c>
      <c r="L696" s="11"/>
      <c r="M696" s="3"/>
      <c r="N696"/>
      <c r="O696" s="4"/>
      <c r="P696" s="1"/>
      <c r="Q696" s="22"/>
      <c r="R696"/>
      <c r="S696" s="11"/>
      <c r="T696" t="s">
        <v>69</v>
      </c>
      <c r="U696"/>
      <c r="V696" s="1"/>
      <c r="W696" s="1"/>
    </row>
    <row r="697" spans="2:23" x14ac:dyDescent="0.35">
      <c r="B697" s="4">
        <v>20059165</v>
      </c>
      <c r="C697" s="1" t="s">
        <v>1265</v>
      </c>
      <c r="D697" s="4" t="s">
        <v>86</v>
      </c>
      <c r="E697" s="3"/>
      <c r="F697" s="3" t="s">
        <v>68</v>
      </c>
      <c r="G697">
        <v>5</v>
      </c>
      <c r="H697" s="4">
        <v>10</v>
      </c>
      <c r="I697" s="4">
        <v>81</v>
      </c>
      <c r="J697" s="4" t="s">
        <v>8</v>
      </c>
      <c r="K697" s="4" t="s">
        <v>14</v>
      </c>
      <c r="L697" s="11"/>
      <c r="M697" s="3"/>
      <c r="N697"/>
      <c r="O697" s="4"/>
      <c r="P697" s="1"/>
      <c r="Q697" s="22"/>
      <c r="R697"/>
      <c r="S697" s="11"/>
      <c r="T697" t="s">
        <v>1602</v>
      </c>
      <c r="U697"/>
      <c r="V697" s="1"/>
      <c r="W697" s="1"/>
    </row>
    <row r="698" spans="2:23" x14ac:dyDescent="0.35">
      <c r="B698" s="4">
        <v>20059166</v>
      </c>
      <c r="C698" s="1" t="s">
        <v>1266</v>
      </c>
      <c r="D698" s="4" t="s">
        <v>86</v>
      </c>
      <c r="E698" s="3"/>
      <c r="F698" s="3" t="s">
        <v>68</v>
      </c>
      <c r="G698">
        <v>5</v>
      </c>
      <c r="H698" s="4">
        <v>10</v>
      </c>
      <c r="I698" s="4">
        <v>80</v>
      </c>
      <c r="J698" s="4" t="s">
        <v>8</v>
      </c>
      <c r="K698" s="4" t="s">
        <v>14</v>
      </c>
      <c r="L698" s="11"/>
      <c r="M698" s="3"/>
      <c r="N698"/>
      <c r="O698" s="4"/>
      <c r="P698" s="1"/>
      <c r="Q698" s="22"/>
      <c r="R698"/>
      <c r="S698" s="11"/>
      <c r="T698" t="s">
        <v>1602</v>
      </c>
      <c r="U698"/>
      <c r="V698" s="1"/>
      <c r="W698" s="1"/>
    </row>
    <row r="699" spans="2:23" x14ac:dyDescent="0.35">
      <c r="B699" s="4">
        <v>20060483</v>
      </c>
      <c r="C699" s="1" t="s">
        <v>1477</v>
      </c>
      <c r="D699" s="4" t="s">
        <v>86</v>
      </c>
      <c r="E699" s="3"/>
      <c r="F699" s="3" t="s">
        <v>68</v>
      </c>
      <c r="G699">
        <v>2</v>
      </c>
      <c r="H699" s="4">
        <v>2</v>
      </c>
      <c r="I699" s="4">
        <v>2</v>
      </c>
      <c r="J699" s="4" t="s">
        <v>21</v>
      </c>
      <c r="K699" s="4" t="s">
        <v>7</v>
      </c>
      <c r="L699" s="11"/>
      <c r="M699" s="3"/>
      <c r="N699"/>
      <c r="O699" s="4"/>
      <c r="P699" s="1"/>
      <c r="Q699" s="22"/>
      <c r="R699"/>
      <c r="S699" s="11"/>
      <c r="T699" t="s">
        <v>69</v>
      </c>
      <c r="U699"/>
      <c r="V699" s="1"/>
      <c r="W699" s="1"/>
    </row>
    <row r="700" spans="2:23" x14ac:dyDescent="0.35">
      <c r="B700" s="4">
        <v>20062125</v>
      </c>
      <c r="C700" s="1" t="s">
        <v>1332</v>
      </c>
      <c r="D700" s="4" t="s">
        <v>86</v>
      </c>
      <c r="E700" s="3"/>
      <c r="F700" s="3" t="s">
        <v>68</v>
      </c>
      <c r="G700">
        <v>20000</v>
      </c>
      <c r="H700" s="4">
        <v>30000</v>
      </c>
      <c r="I700" s="4">
        <v>33000</v>
      </c>
      <c r="J700" s="4" t="s">
        <v>10</v>
      </c>
      <c r="K700" s="4" t="s">
        <v>7</v>
      </c>
      <c r="L700" s="11"/>
      <c r="M700" s="3"/>
      <c r="N700"/>
      <c r="O700" s="4"/>
      <c r="P700" s="1"/>
      <c r="Q700" s="22"/>
      <c r="R700"/>
      <c r="S700" s="11" t="s">
        <v>6856</v>
      </c>
      <c r="T700" t="s">
        <v>1603</v>
      </c>
      <c r="U700"/>
      <c r="V700" s="1"/>
      <c r="W700" s="1"/>
    </row>
    <row r="701" spans="2:23" x14ac:dyDescent="0.35">
      <c r="B701" s="4">
        <v>20062126</v>
      </c>
      <c r="C701" s="1" t="s">
        <v>1286</v>
      </c>
      <c r="D701" s="4" t="s">
        <v>86</v>
      </c>
      <c r="E701" s="3"/>
      <c r="F701" s="3" t="s">
        <v>68</v>
      </c>
      <c r="G701">
        <v>2</v>
      </c>
      <c r="H701" s="4">
        <v>4</v>
      </c>
      <c r="I701" s="4">
        <v>3</v>
      </c>
      <c r="J701" s="4" t="s">
        <v>8</v>
      </c>
      <c r="K701" s="4" t="s">
        <v>7</v>
      </c>
      <c r="L701" s="11"/>
      <c r="M701" s="3"/>
      <c r="N701"/>
      <c r="O701" s="4"/>
      <c r="P701" s="1"/>
      <c r="Q701" s="22"/>
      <c r="R701"/>
      <c r="S701" s="11"/>
      <c r="T701" t="s">
        <v>70</v>
      </c>
      <c r="U701"/>
      <c r="V701" s="1"/>
      <c r="W701" s="1"/>
    </row>
    <row r="702" spans="2:23" x14ac:dyDescent="0.35">
      <c r="B702" s="4">
        <v>20064476</v>
      </c>
      <c r="C702" s="1" t="s">
        <v>1478</v>
      </c>
      <c r="D702" s="4" t="s">
        <v>86</v>
      </c>
      <c r="E702" s="3"/>
      <c r="F702" s="3" t="s">
        <v>68</v>
      </c>
      <c r="G702">
        <v>20</v>
      </c>
      <c r="H702" s="4">
        <v>20</v>
      </c>
      <c r="I702" s="4">
        <v>40</v>
      </c>
      <c r="J702" s="4" t="s">
        <v>8</v>
      </c>
      <c r="K702" s="4" t="s">
        <v>7</v>
      </c>
      <c r="L702" s="11"/>
      <c r="M702" s="3"/>
      <c r="N702"/>
      <c r="O702" s="4"/>
      <c r="P702" s="1"/>
      <c r="Q702" s="22"/>
      <c r="R702"/>
      <c r="S702" s="11"/>
      <c r="T702" t="s">
        <v>1603</v>
      </c>
      <c r="U702"/>
      <c r="V702" s="1"/>
      <c r="W702" s="1"/>
    </row>
    <row r="703" spans="2:23" x14ac:dyDescent="0.35">
      <c r="B703" s="4">
        <v>20069666</v>
      </c>
      <c r="C703" s="1" t="s">
        <v>1502</v>
      </c>
      <c r="D703" s="4" t="s">
        <v>86</v>
      </c>
      <c r="E703" s="3"/>
      <c r="F703" s="3" t="s">
        <v>68</v>
      </c>
      <c r="G703">
        <v>4</v>
      </c>
      <c r="H703" s="4">
        <v>4</v>
      </c>
      <c r="I703" s="4">
        <v>7</v>
      </c>
      <c r="J703" s="4" t="s">
        <v>8</v>
      </c>
      <c r="K703" s="4" t="s">
        <v>7</v>
      </c>
      <c r="L703" s="11"/>
      <c r="M703" s="3"/>
      <c r="N703"/>
      <c r="O703" s="4"/>
      <c r="P703" s="1"/>
      <c r="Q703" s="22"/>
      <c r="R703"/>
      <c r="S703" s="11"/>
      <c r="T703" t="s">
        <v>66</v>
      </c>
      <c r="U703"/>
      <c r="V703" s="1"/>
      <c r="W703" s="1"/>
    </row>
    <row r="704" spans="2:23" x14ac:dyDescent="0.35">
      <c r="B704" s="4">
        <v>20069977</v>
      </c>
      <c r="C704" s="1" t="s">
        <v>1429</v>
      </c>
      <c r="D704" s="4" t="s">
        <v>86</v>
      </c>
      <c r="E704" s="3"/>
      <c r="F704" s="3" t="s">
        <v>68</v>
      </c>
      <c r="G704">
        <v>20</v>
      </c>
      <c r="H704" s="4">
        <v>60</v>
      </c>
      <c r="I704" s="4">
        <v>38</v>
      </c>
      <c r="J704" s="4" t="s">
        <v>8</v>
      </c>
      <c r="K704" s="4" t="s">
        <v>7</v>
      </c>
      <c r="L704" s="11"/>
      <c r="M704" s="3"/>
      <c r="N704"/>
      <c r="O704" s="4"/>
      <c r="P704" s="1"/>
      <c r="Q704" s="22"/>
      <c r="R704"/>
      <c r="S704" s="11"/>
      <c r="T704" t="s">
        <v>1603</v>
      </c>
      <c r="U704"/>
      <c r="V704" s="1"/>
      <c r="W704" s="1"/>
    </row>
    <row r="705" spans="2:23" x14ac:dyDescent="0.35">
      <c r="B705" s="4">
        <v>20070039</v>
      </c>
      <c r="C705" s="1" t="s">
        <v>1570</v>
      </c>
      <c r="D705" s="4" t="s">
        <v>86</v>
      </c>
      <c r="E705" s="3"/>
      <c r="F705" s="3" t="s">
        <v>68</v>
      </c>
      <c r="G705">
        <v>100</v>
      </c>
      <c r="H705" s="4">
        <v>100</v>
      </c>
      <c r="I705" s="4">
        <v>257</v>
      </c>
      <c r="J705" s="4" t="s">
        <v>8</v>
      </c>
      <c r="K705" s="4" t="s">
        <v>14</v>
      </c>
      <c r="L705" s="11"/>
      <c r="M705" s="3"/>
      <c r="N705"/>
      <c r="O705" s="4"/>
      <c r="P705" s="1"/>
      <c r="Q705" s="22"/>
      <c r="R705"/>
      <c r="S705" s="11"/>
      <c r="T705" t="s">
        <v>66</v>
      </c>
      <c r="U705"/>
      <c r="V705" s="1"/>
      <c r="W705" s="1"/>
    </row>
    <row r="706" spans="2:23" x14ac:dyDescent="0.35">
      <c r="B706" s="4">
        <v>20070347</v>
      </c>
      <c r="C706" s="1" t="s">
        <v>1443</v>
      </c>
      <c r="D706" s="4" t="s">
        <v>86</v>
      </c>
      <c r="E706" s="3"/>
      <c r="F706" s="3" t="s">
        <v>68</v>
      </c>
      <c r="G706">
        <v>250</v>
      </c>
      <c r="H706" s="4">
        <v>400</v>
      </c>
      <c r="I706" s="4">
        <v>571</v>
      </c>
      <c r="J706" s="4" t="s">
        <v>8</v>
      </c>
      <c r="K706" s="4" t="s">
        <v>7</v>
      </c>
      <c r="L706" s="11"/>
      <c r="M706" s="3"/>
      <c r="N706"/>
      <c r="O706" s="4"/>
      <c r="P706" s="1"/>
      <c r="Q706" s="22"/>
      <c r="R706"/>
      <c r="S706" s="11"/>
      <c r="T706" t="s">
        <v>67</v>
      </c>
      <c r="U706"/>
      <c r="V706" s="1"/>
      <c r="W706" s="1"/>
    </row>
    <row r="707" spans="2:23" x14ac:dyDescent="0.35">
      <c r="B707" s="4">
        <v>20070759</v>
      </c>
      <c r="C707" s="1" t="s">
        <v>1398</v>
      </c>
      <c r="D707" s="4" t="s">
        <v>86</v>
      </c>
      <c r="E707" s="3"/>
      <c r="F707" s="3" t="s">
        <v>68</v>
      </c>
      <c r="G707">
        <v>10</v>
      </c>
      <c r="H707" s="4">
        <v>20</v>
      </c>
      <c r="I707" s="4">
        <v>11</v>
      </c>
      <c r="J707" s="4" t="s">
        <v>8</v>
      </c>
      <c r="K707" s="4" t="s">
        <v>7</v>
      </c>
      <c r="L707" s="11"/>
      <c r="M707" s="3"/>
      <c r="N707"/>
      <c r="O707" s="4"/>
      <c r="P707" s="1"/>
      <c r="Q707" s="22"/>
      <c r="R707"/>
      <c r="S707" s="11"/>
      <c r="T707" t="s">
        <v>69</v>
      </c>
      <c r="U707"/>
      <c r="V707" s="1"/>
      <c r="W707" s="1"/>
    </row>
    <row r="708" spans="2:23" x14ac:dyDescent="0.35">
      <c r="B708" s="4">
        <v>20070881</v>
      </c>
      <c r="C708" s="1" t="s">
        <v>1397</v>
      </c>
      <c r="D708" s="4" t="s">
        <v>86</v>
      </c>
      <c r="E708" s="3"/>
      <c r="F708" s="3" t="s">
        <v>68</v>
      </c>
      <c r="G708">
        <v>4</v>
      </c>
      <c r="H708" s="4">
        <v>2</v>
      </c>
      <c r="I708" s="4">
        <v>4</v>
      </c>
      <c r="J708" s="4" t="s">
        <v>8</v>
      </c>
      <c r="K708" s="4" t="s">
        <v>7</v>
      </c>
      <c r="L708" s="11"/>
      <c r="M708" s="3"/>
      <c r="N708"/>
      <c r="O708" s="4"/>
      <c r="P708" s="1"/>
      <c r="Q708" s="22"/>
      <c r="R708"/>
      <c r="S708" s="11"/>
      <c r="T708" t="s">
        <v>1602</v>
      </c>
      <c r="U708"/>
      <c r="V708" s="1"/>
      <c r="W708" s="1"/>
    </row>
    <row r="709" spans="2:23" x14ac:dyDescent="0.35">
      <c r="B709" s="4">
        <v>20070888</v>
      </c>
      <c r="C709" s="1" t="s">
        <v>1424</v>
      </c>
      <c r="D709" s="4" t="s">
        <v>86</v>
      </c>
      <c r="E709" s="3"/>
      <c r="F709" s="3" t="s">
        <v>68</v>
      </c>
      <c r="G709">
        <v>10</v>
      </c>
      <c r="H709" s="4">
        <v>10</v>
      </c>
      <c r="I709" s="4">
        <v>8</v>
      </c>
      <c r="J709" s="4" t="s">
        <v>8</v>
      </c>
      <c r="K709" s="4" t="s">
        <v>9</v>
      </c>
      <c r="L709" s="11">
        <v>1002716956</v>
      </c>
      <c r="M709" s="3">
        <v>10</v>
      </c>
      <c r="N709"/>
      <c r="O709" s="4"/>
      <c r="P709" s="1"/>
      <c r="Q709" s="22"/>
      <c r="R709"/>
      <c r="S709" s="11"/>
      <c r="T709" t="s">
        <v>67</v>
      </c>
      <c r="U709"/>
      <c r="V709" s="1"/>
      <c r="W709" s="1"/>
    </row>
    <row r="710" spans="2:23" x14ac:dyDescent="0.35">
      <c r="B710" s="4">
        <v>20073205</v>
      </c>
      <c r="C710" s="1" t="s">
        <v>1479</v>
      </c>
      <c r="D710" s="4" t="s">
        <v>86</v>
      </c>
      <c r="E710" s="3"/>
      <c r="F710" s="3" t="s">
        <v>68</v>
      </c>
      <c r="G710">
        <v>2</v>
      </c>
      <c r="H710" s="4">
        <v>2</v>
      </c>
      <c r="I710" s="4">
        <v>3</v>
      </c>
      <c r="J710" s="4" t="s">
        <v>8</v>
      </c>
      <c r="K710" s="4" t="s">
        <v>7</v>
      </c>
      <c r="L710" s="11"/>
      <c r="M710" s="3"/>
      <c r="N710"/>
      <c r="O710" s="4"/>
      <c r="P710" s="1"/>
      <c r="Q710" s="22"/>
      <c r="R710"/>
      <c r="S710" s="11"/>
      <c r="T710" t="s">
        <v>69</v>
      </c>
      <c r="U710"/>
      <c r="V710" s="1"/>
      <c r="W710" s="1"/>
    </row>
    <row r="711" spans="2:23" x14ac:dyDescent="0.35">
      <c r="B711" s="4">
        <v>20076418</v>
      </c>
      <c r="C711" s="1" t="s">
        <v>1511</v>
      </c>
      <c r="D711" s="4" t="s">
        <v>86</v>
      </c>
      <c r="E711" s="3"/>
      <c r="F711" s="3" t="s">
        <v>68</v>
      </c>
      <c r="G711">
        <v>10</v>
      </c>
      <c r="H711" s="4">
        <v>10</v>
      </c>
      <c r="I711" s="4">
        <v>10</v>
      </c>
      <c r="J711" s="4" t="s">
        <v>21</v>
      </c>
      <c r="K711" s="4" t="s">
        <v>7</v>
      </c>
      <c r="L711" s="11"/>
      <c r="M711" s="3"/>
      <c r="N711"/>
      <c r="O711" s="4"/>
      <c r="P711" s="1"/>
      <c r="Q711" s="22"/>
      <c r="R711"/>
      <c r="S711" s="11"/>
      <c r="T711" t="s">
        <v>69</v>
      </c>
      <c r="U711"/>
      <c r="V711" s="1"/>
      <c r="W711" s="1"/>
    </row>
    <row r="712" spans="2:23" x14ac:dyDescent="0.35">
      <c r="B712" s="4">
        <v>20078273</v>
      </c>
      <c r="C712" s="1" t="s">
        <v>1555</v>
      </c>
      <c r="D712" s="4" t="s">
        <v>86</v>
      </c>
      <c r="E712" s="3"/>
      <c r="F712" s="3" t="s">
        <v>68</v>
      </c>
      <c r="G712">
        <v>30</v>
      </c>
      <c r="H712" s="4">
        <v>50</v>
      </c>
      <c r="I712" s="4">
        <v>35</v>
      </c>
      <c r="J712" s="4" t="s">
        <v>23</v>
      </c>
      <c r="K712" s="4" t="s">
        <v>7</v>
      </c>
      <c r="L712" s="11"/>
      <c r="M712" s="3"/>
      <c r="N712"/>
      <c r="O712" s="4"/>
      <c r="P712" s="1"/>
      <c r="Q712" s="22"/>
      <c r="R712"/>
      <c r="S712" s="11"/>
      <c r="T712" t="s">
        <v>1602</v>
      </c>
      <c r="U712"/>
      <c r="V712" s="1"/>
      <c r="W712" s="1"/>
    </row>
    <row r="713" spans="2:23" x14ac:dyDescent="0.35">
      <c r="B713" s="4">
        <v>20079621</v>
      </c>
      <c r="C713" s="1" t="s">
        <v>1586</v>
      </c>
      <c r="D713" s="4" t="s">
        <v>86</v>
      </c>
      <c r="E713" s="3"/>
      <c r="F713" s="3" t="s">
        <v>68</v>
      </c>
      <c r="G713">
        <v>4</v>
      </c>
      <c r="H713" s="4">
        <v>4</v>
      </c>
      <c r="I713" s="4">
        <v>8</v>
      </c>
      <c r="J713" s="4" t="s">
        <v>8</v>
      </c>
      <c r="K713" s="4" t="s">
        <v>7</v>
      </c>
      <c r="L713" s="11"/>
      <c r="M713" s="3"/>
      <c r="N713"/>
      <c r="O713" s="4"/>
      <c r="P713" s="1"/>
      <c r="Q713" s="22"/>
      <c r="R713"/>
      <c r="S713" s="11"/>
      <c r="T713" t="s">
        <v>69</v>
      </c>
      <c r="U713"/>
      <c r="V713" s="1"/>
      <c r="W713" s="1"/>
    </row>
    <row r="714" spans="2:23" x14ac:dyDescent="0.35">
      <c r="B714" s="4">
        <v>20079622</v>
      </c>
      <c r="C714" s="1" t="s">
        <v>1587</v>
      </c>
      <c r="D714" s="4" t="s">
        <v>86</v>
      </c>
      <c r="E714" s="3"/>
      <c r="F714" s="3" t="s">
        <v>68</v>
      </c>
      <c r="G714">
        <v>4</v>
      </c>
      <c r="H714" s="4">
        <v>4</v>
      </c>
      <c r="I714" s="4">
        <v>7</v>
      </c>
      <c r="J714" s="4" t="s">
        <v>8</v>
      </c>
      <c r="K714" s="4" t="s">
        <v>7</v>
      </c>
      <c r="L714" s="11"/>
      <c r="M714" s="3"/>
      <c r="N714"/>
      <c r="O714" s="4"/>
      <c r="P714" s="1"/>
      <c r="Q714" s="22"/>
      <c r="R714"/>
      <c r="S714" s="11"/>
      <c r="T714" t="s">
        <v>69</v>
      </c>
      <c r="U714"/>
      <c r="V714" s="1"/>
      <c r="W714" s="1"/>
    </row>
    <row r="715" spans="2:23" x14ac:dyDescent="0.35">
      <c r="B715" s="4">
        <v>20079623</v>
      </c>
      <c r="C715" s="1" t="s">
        <v>1588</v>
      </c>
      <c r="D715" s="4" t="s">
        <v>86</v>
      </c>
      <c r="E715" s="3"/>
      <c r="F715" s="3" t="s">
        <v>68</v>
      </c>
      <c r="G715">
        <v>4</v>
      </c>
      <c r="H715" s="4">
        <v>4</v>
      </c>
      <c r="I715" s="4">
        <v>7</v>
      </c>
      <c r="J715" s="4" t="s">
        <v>8</v>
      </c>
      <c r="K715" s="4" t="s">
        <v>7</v>
      </c>
      <c r="L715" s="11"/>
      <c r="M715" s="3"/>
      <c r="N715"/>
      <c r="O715" s="4"/>
      <c r="P715" s="1"/>
      <c r="Q715" s="22"/>
      <c r="R715"/>
      <c r="S715" s="11"/>
      <c r="T715" t="s">
        <v>69</v>
      </c>
      <c r="U715"/>
      <c r="V715" s="1"/>
      <c r="W715" s="1"/>
    </row>
    <row r="716" spans="2:23" x14ac:dyDescent="0.35">
      <c r="B716" s="4">
        <v>20079625</v>
      </c>
      <c r="C716" s="1" t="s">
        <v>1589</v>
      </c>
      <c r="D716" s="4" t="s">
        <v>86</v>
      </c>
      <c r="E716" s="3"/>
      <c r="F716" s="3" t="s">
        <v>68</v>
      </c>
      <c r="G716">
        <v>4</v>
      </c>
      <c r="H716" s="4">
        <v>4</v>
      </c>
      <c r="I716" s="4">
        <v>7</v>
      </c>
      <c r="J716" s="4" t="s">
        <v>8</v>
      </c>
      <c r="K716" s="4" t="s">
        <v>7</v>
      </c>
      <c r="L716" s="11"/>
      <c r="M716" s="3"/>
      <c r="N716"/>
      <c r="O716" s="4"/>
      <c r="P716" s="1"/>
      <c r="Q716" s="22"/>
      <c r="R716"/>
      <c r="S716" s="11"/>
      <c r="T716" t="s">
        <v>69</v>
      </c>
      <c r="U716"/>
      <c r="V716" s="1"/>
      <c r="W716" s="1"/>
    </row>
    <row r="717" spans="2:23" x14ac:dyDescent="0.35">
      <c r="B717" s="4">
        <v>20079626</v>
      </c>
      <c r="C717" s="1" t="s">
        <v>1590</v>
      </c>
      <c r="D717" s="4" t="s">
        <v>86</v>
      </c>
      <c r="E717" s="3"/>
      <c r="F717" s="3" t="s">
        <v>68</v>
      </c>
      <c r="G717">
        <v>4</v>
      </c>
      <c r="H717" s="4">
        <v>4</v>
      </c>
      <c r="I717" s="4">
        <v>8</v>
      </c>
      <c r="J717" s="4" t="s">
        <v>8</v>
      </c>
      <c r="K717" s="4" t="s">
        <v>7</v>
      </c>
      <c r="L717" s="11"/>
      <c r="M717" s="3"/>
      <c r="N717"/>
      <c r="O717" s="4"/>
      <c r="P717" s="1"/>
      <c r="Q717" s="22"/>
      <c r="R717"/>
      <c r="S717" s="11"/>
      <c r="T717" t="s">
        <v>69</v>
      </c>
      <c r="U717"/>
      <c r="V717" s="1"/>
      <c r="W717" s="1"/>
    </row>
    <row r="718" spans="2:23" x14ac:dyDescent="0.35">
      <c r="B718" s="4">
        <v>30005406</v>
      </c>
      <c r="C718" s="1" t="s">
        <v>793</v>
      </c>
      <c r="D718" s="4" t="s">
        <v>86</v>
      </c>
      <c r="E718" s="3"/>
      <c r="F718" s="3" t="s">
        <v>102</v>
      </c>
      <c r="G718">
        <v>1</v>
      </c>
      <c r="H718" s="4">
        <v>2</v>
      </c>
      <c r="I718" s="4">
        <v>2</v>
      </c>
      <c r="J718" s="4" t="s">
        <v>10</v>
      </c>
      <c r="K718" s="4" t="s">
        <v>7</v>
      </c>
      <c r="L718" s="11"/>
      <c r="M718" s="3"/>
      <c r="N718"/>
      <c r="O718" s="4"/>
      <c r="P718" s="1"/>
      <c r="Q718" s="22"/>
      <c r="R718"/>
      <c r="S718" s="11"/>
      <c r="T718" t="s">
        <v>66</v>
      </c>
      <c r="U718"/>
      <c r="V718" s="1"/>
      <c r="W718" s="1"/>
    </row>
    <row r="719" spans="2:23" x14ac:dyDescent="0.35">
      <c r="B719" s="4">
        <v>30005783</v>
      </c>
      <c r="C719" s="1" t="s">
        <v>520</v>
      </c>
      <c r="D719" s="4" t="s">
        <v>86</v>
      </c>
      <c r="E719" s="3"/>
      <c r="F719" s="3" t="s">
        <v>68</v>
      </c>
      <c r="G719">
        <v>60</v>
      </c>
      <c r="H719" s="4">
        <v>40</v>
      </c>
      <c r="I719" s="4">
        <v>81</v>
      </c>
      <c r="J719" s="4" t="s">
        <v>8</v>
      </c>
      <c r="K719" s="4" t="s">
        <v>7</v>
      </c>
      <c r="L719" s="11"/>
      <c r="M719" s="3"/>
      <c r="N719"/>
      <c r="O719" s="4"/>
      <c r="P719" s="1"/>
      <c r="Q719" s="22"/>
      <c r="R719"/>
      <c r="S719" s="11"/>
      <c r="T719" t="s">
        <v>70</v>
      </c>
      <c r="U719"/>
      <c r="V719" s="1"/>
      <c r="W719" s="1"/>
    </row>
    <row r="720" spans="2:23" x14ac:dyDescent="0.35">
      <c r="B720" s="4">
        <v>30006055</v>
      </c>
      <c r="C720" s="1" t="s">
        <v>1110</v>
      </c>
      <c r="D720" s="4" t="s">
        <v>86</v>
      </c>
      <c r="E720" s="3"/>
      <c r="F720" s="3" t="s">
        <v>68</v>
      </c>
      <c r="G720">
        <v>72</v>
      </c>
      <c r="H720" s="4">
        <v>72</v>
      </c>
      <c r="I720" s="4">
        <v>150</v>
      </c>
      <c r="J720" s="4" t="s">
        <v>25</v>
      </c>
      <c r="K720" s="4" t="s">
        <v>14</v>
      </c>
      <c r="L720" s="11"/>
      <c r="M720" s="3"/>
      <c r="N720"/>
      <c r="O720" s="4"/>
      <c r="P720" s="1"/>
      <c r="Q720" s="22"/>
      <c r="R720"/>
      <c r="S720" s="11"/>
      <c r="T720" t="s">
        <v>71</v>
      </c>
      <c r="U720"/>
      <c r="V720" s="1"/>
      <c r="W720" s="1"/>
    </row>
    <row r="721" spans="2:23" x14ac:dyDescent="0.35">
      <c r="B721" s="4">
        <v>30006066</v>
      </c>
      <c r="C721" s="1" t="s">
        <v>1439</v>
      </c>
      <c r="D721" s="4" t="s">
        <v>86</v>
      </c>
      <c r="E721" s="3"/>
      <c r="F721" s="3" t="s">
        <v>68</v>
      </c>
      <c r="G721">
        <v>100</v>
      </c>
      <c r="H721" s="4">
        <v>200</v>
      </c>
      <c r="I721" s="4">
        <v>160</v>
      </c>
      <c r="J721" s="4" t="s">
        <v>24</v>
      </c>
      <c r="K721" s="4" t="s">
        <v>7</v>
      </c>
      <c r="L721" s="11"/>
      <c r="M721" s="3"/>
      <c r="N721"/>
      <c r="O721" s="4"/>
      <c r="P721" s="1"/>
      <c r="Q721" s="22"/>
      <c r="R721"/>
      <c r="S721" s="11"/>
      <c r="T721" t="s">
        <v>71</v>
      </c>
      <c r="U721"/>
      <c r="V721" s="1"/>
      <c r="W721" s="1"/>
    </row>
    <row r="722" spans="2:23" x14ac:dyDescent="0.35">
      <c r="B722" s="4">
        <v>30006079</v>
      </c>
      <c r="C722" s="1" t="s">
        <v>1495</v>
      </c>
      <c r="D722" s="4" t="s">
        <v>86</v>
      </c>
      <c r="E722" s="3"/>
      <c r="F722" s="3" t="s">
        <v>68</v>
      </c>
      <c r="G722">
        <v>4</v>
      </c>
      <c r="H722" s="4">
        <v>2</v>
      </c>
      <c r="I722" s="4">
        <v>6</v>
      </c>
      <c r="J722" s="4" t="s">
        <v>8</v>
      </c>
      <c r="K722" s="4" t="s">
        <v>7</v>
      </c>
      <c r="L722" s="11"/>
      <c r="M722" s="3"/>
      <c r="N722"/>
      <c r="O722" s="4"/>
      <c r="P722" s="1"/>
      <c r="Q722" s="22"/>
      <c r="R722"/>
      <c r="S722" s="11"/>
      <c r="T722" t="s">
        <v>70</v>
      </c>
      <c r="U722"/>
      <c r="V722" s="1"/>
      <c r="W722" s="1"/>
    </row>
    <row r="723" spans="2:23" x14ac:dyDescent="0.35">
      <c r="B723" s="4">
        <v>30006476</v>
      </c>
      <c r="C723" s="1" t="s">
        <v>521</v>
      </c>
      <c r="D723" s="4" t="s">
        <v>86</v>
      </c>
      <c r="E723" s="3"/>
      <c r="F723" s="3" t="s">
        <v>68</v>
      </c>
      <c r="G723">
        <v>8</v>
      </c>
      <c r="H723" s="4">
        <v>10</v>
      </c>
      <c r="I723" s="4">
        <v>50</v>
      </c>
      <c r="J723" s="4" t="s">
        <v>8</v>
      </c>
      <c r="K723" s="4" t="s">
        <v>14</v>
      </c>
      <c r="L723" s="11"/>
      <c r="M723" s="3"/>
      <c r="N723"/>
      <c r="O723" s="4"/>
      <c r="P723" s="1"/>
      <c r="Q723" s="22"/>
      <c r="R723"/>
      <c r="S723" s="11"/>
      <c r="T723" t="s">
        <v>70</v>
      </c>
      <c r="U723"/>
      <c r="V723" s="1"/>
      <c r="W723" s="1"/>
    </row>
    <row r="724" spans="2:23" x14ac:dyDescent="0.35">
      <c r="B724" s="4">
        <v>30006477</v>
      </c>
      <c r="C724" s="1" t="s">
        <v>522</v>
      </c>
      <c r="D724" s="4" t="s">
        <v>86</v>
      </c>
      <c r="E724" s="3"/>
      <c r="F724" s="3" t="s">
        <v>68</v>
      </c>
      <c r="G724">
        <v>7</v>
      </c>
      <c r="H724" s="4">
        <v>10</v>
      </c>
      <c r="I724" s="4">
        <v>20</v>
      </c>
      <c r="J724" s="4" t="s">
        <v>8</v>
      </c>
      <c r="K724" s="4" t="s">
        <v>14</v>
      </c>
      <c r="L724" s="11"/>
      <c r="M724" s="3"/>
      <c r="N724"/>
      <c r="O724" s="4"/>
      <c r="P724" s="1"/>
      <c r="Q724" s="22"/>
      <c r="R724"/>
      <c r="S724" s="11"/>
      <c r="T724" t="s">
        <v>70</v>
      </c>
      <c r="U724"/>
      <c r="V724" s="1"/>
      <c r="W724" s="1"/>
    </row>
    <row r="725" spans="2:23" x14ac:dyDescent="0.35">
      <c r="B725" s="4">
        <v>30006494</v>
      </c>
      <c r="C725" s="1" t="s">
        <v>523</v>
      </c>
      <c r="D725" s="4" t="s">
        <v>86</v>
      </c>
      <c r="E725" s="3"/>
      <c r="F725" s="3" t="s">
        <v>68</v>
      </c>
      <c r="G725">
        <v>12</v>
      </c>
      <c r="H725" s="4">
        <v>10</v>
      </c>
      <c r="I725" s="4">
        <v>12</v>
      </c>
      <c r="J725" s="4" t="s">
        <v>8</v>
      </c>
      <c r="K725" s="4" t="s">
        <v>7</v>
      </c>
      <c r="L725" s="11"/>
      <c r="M725" s="3"/>
      <c r="N725"/>
      <c r="O725" s="4"/>
      <c r="P725" s="1"/>
      <c r="Q725" s="22"/>
      <c r="R725"/>
      <c r="S725" s="11"/>
      <c r="T725" t="s">
        <v>66</v>
      </c>
      <c r="U725"/>
      <c r="V725" s="1"/>
      <c r="W725" s="1"/>
    </row>
    <row r="726" spans="2:23" x14ac:dyDescent="0.35">
      <c r="B726" s="4">
        <v>30006495</v>
      </c>
      <c r="C726" s="1" t="s">
        <v>524</v>
      </c>
      <c r="D726" s="4" t="s">
        <v>86</v>
      </c>
      <c r="E726" s="3"/>
      <c r="F726" s="3" t="s">
        <v>68</v>
      </c>
      <c r="G726">
        <v>12</v>
      </c>
      <c r="H726" s="4">
        <v>10</v>
      </c>
      <c r="I726" s="4">
        <v>54</v>
      </c>
      <c r="J726" s="4" t="s">
        <v>8</v>
      </c>
      <c r="K726" s="4" t="s">
        <v>14</v>
      </c>
      <c r="L726" s="11"/>
      <c r="M726" s="3"/>
      <c r="N726"/>
      <c r="O726" s="4"/>
      <c r="P726" s="1"/>
      <c r="Q726" s="22"/>
      <c r="R726"/>
      <c r="S726" s="11"/>
      <c r="T726" t="s">
        <v>66</v>
      </c>
      <c r="U726"/>
      <c r="V726" s="1"/>
      <c r="W726" s="1"/>
    </row>
    <row r="727" spans="2:23" x14ac:dyDescent="0.35">
      <c r="B727" s="4">
        <v>30006497</v>
      </c>
      <c r="C727" s="1" t="s">
        <v>525</v>
      </c>
      <c r="D727" s="4" t="s">
        <v>86</v>
      </c>
      <c r="E727" s="3"/>
      <c r="F727" s="3" t="s">
        <v>68</v>
      </c>
      <c r="G727">
        <v>12</v>
      </c>
      <c r="H727" s="4">
        <v>10</v>
      </c>
      <c r="I727" s="4">
        <v>12</v>
      </c>
      <c r="J727" s="4" t="s">
        <v>8</v>
      </c>
      <c r="K727" s="4" t="s">
        <v>7</v>
      </c>
      <c r="L727" s="11"/>
      <c r="M727" s="3"/>
      <c r="N727"/>
      <c r="O727" s="4"/>
      <c r="P727" s="1"/>
      <c r="Q727" s="22"/>
      <c r="R727"/>
      <c r="S727" s="11"/>
      <c r="T727" t="s">
        <v>66</v>
      </c>
      <c r="U727"/>
      <c r="V727" s="1"/>
      <c r="W727" s="1"/>
    </row>
    <row r="728" spans="2:23" x14ac:dyDescent="0.35">
      <c r="B728" s="4">
        <v>30006537</v>
      </c>
      <c r="C728" s="1" t="s">
        <v>1305</v>
      </c>
      <c r="D728" s="4" t="s">
        <v>86</v>
      </c>
      <c r="E728" s="3"/>
      <c r="F728" s="3" t="s">
        <v>68</v>
      </c>
      <c r="G728">
        <v>4</v>
      </c>
      <c r="H728" s="4">
        <v>8</v>
      </c>
      <c r="I728" s="4">
        <v>11</v>
      </c>
      <c r="J728" s="4" t="s">
        <v>8</v>
      </c>
      <c r="K728" s="4" t="s">
        <v>7</v>
      </c>
      <c r="L728" s="11"/>
      <c r="M728" s="3"/>
      <c r="N728"/>
      <c r="O728" s="4"/>
      <c r="P728" s="1"/>
      <c r="Q728" s="22"/>
      <c r="R728"/>
      <c r="S728" s="11"/>
      <c r="T728" t="s">
        <v>70</v>
      </c>
      <c r="U728"/>
      <c r="V728" s="1"/>
      <c r="W728" s="1"/>
    </row>
    <row r="729" spans="2:23" x14ac:dyDescent="0.35">
      <c r="B729" s="4">
        <v>30006538</v>
      </c>
      <c r="C729" s="1" t="s">
        <v>526</v>
      </c>
      <c r="D729" s="4" t="s">
        <v>86</v>
      </c>
      <c r="E729" s="3"/>
      <c r="F729" s="3" t="s">
        <v>68</v>
      </c>
      <c r="G729">
        <v>6</v>
      </c>
      <c r="H729" s="4">
        <v>6</v>
      </c>
      <c r="I729" s="4">
        <v>18</v>
      </c>
      <c r="J729" s="4" t="s">
        <v>8</v>
      </c>
      <c r="K729" s="4" t="s">
        <v>14</v>
      </c>
      <c r="L729" s="69"/>
      <c r="M729" s="3"/>
      <c r="N729"/>
      <c r="O729" s="4"/>
      <c r="P729" s="1"/>
      <c r="Q729" s="22"/>
      <c r="R729"/>
      <c r="S729" s="11"/>
      <c r="T729" t="s">
        <v>70</v>
      </c>
      <c r="U729"/>
      <c r="V729" s="1"/>
      <c r="W729" s="1"/>
    </row>
    <row r="730" spans="2:23" x14ac:dyDescent="0.35">
      <c r="B730" s="4">
        <v>30006583</v>
      </c>
      <c r="C730" s="1" t="s">
        <v>1261</v>
      </c>
      <c r="D730" s="4" t="s">
        <v>86</v>
      </c>
      <c r="E730" s="3"/>
      <c r="F730" s="3" t="s">
        <v>68</v>
      </c>
      <c r="G730">
        <v>21</v>
      </c>
      <c r="H730" s="4">
        <v>40</v>
      </c>
      <c r="I730" s="4">
        <v>29</v>
      </c>
      <c r="J730" s="4" t="s">
        <v>8</v>
      </c>
      <c r="K730" s="4" t="s">
        <v>7</v>
      </c>
      <c r="L730" s="11"/>
      <c r="M730" s="3"/>
      <c r="N730"/>
      <c r="O730" s="4"/>
      <c r="P730" s="1"/>
      <c r="Q730" s="22"/>
      <c r="R730"/>
      <c r="S730" s="11"/>
      <c r="T730" t="s">
        <v>66</v>
      </c>
      <c r="U730"/>
      <c r="V730" s="1"/>
      <c r="W730" s="1"/>
    </row>
    <row r="731" spans="2:23" x14ac:dyDescent="0.35">
      <c r="B731" s="4">
        <v>30006604</v>
      </c>
      <c r="C731" s="1" t="s">
        <v>1114</v>
      </c>
      <c r="D731" s="4" t="s">
        <v>86</v>
      </c>
      <c r="E731" s="3" t="s">
        <v>1225</v>
      </c>
      <c r="F731" s="3" t="s">
        <v>102</v>
      </c>
      <c r="G731">
        <v>150</v>
      </c>
      <c r="H731" s="4">
        <v>150</v>
      </c>
      <c r="I731" s="4">
        <v>228</v>
      </c>
      <c r="J731" s="4" t="s">
        <v>8</v>
      </c>
      <c r="K731" s="4" t="s">
        <v>7</v>
      </c>
      <c r="L731" s="11"/>
      <c r="M731" s="3"/>
      <c r="N731"/>
      <c r="O731" s="4"/>
      <c r="P731" s="1"/>
      <c r="Q731" s="22"/>
      <c r="R731"/>
      <c r="S731" s="11" t="s">
        <v>6879</v>
      </c>
      <c r="T731" t="s">
        <v>71</v>
      </c>
      <c r="U731"/>
      <c r="V731" s="1"/>
      <c r="W731" s="1"/>
    </row>
    <row r="732" spans="2:23" x14ac:dyDescent="0.35">
      <c r="B732" s="4">
        <v>30006605</v>
      </c>
      <c r="C732" s="1" t="s">
        <v>1115</v>
      </c>
      <c r="D732" s="4" t="s">
        <v>86</v>
      </c>
      <c r="E732" s="3"/>
      <c r="F732" s="3" t="s">
        <v>102</v>
      </c>
      <c r="G732">
        <v>17</v>
      </c>
      <c r="H732" s="4">
        <v>16</v>
      </c>
      <c r="I732" s="4">
        <v>117</v>
      </c>
      <c r="J732" s="4" t="s">
        <v>8</v>
      </c>
      <c r="K732" s="4" t="s">
        <v>14</v>
      </c>
      <c r="L732" s="11"/>
      <c r="M732" s="3"/>
      <c r="N732"/>
      <c r="O732" s="4"/>
      <c r="P732" s="1"/>
      <c r="Q732" s="22"/>
      <c r="R732"/>
      <c r="S732" s="11"/>
      <c r="T732" t="s">
        <v>71</v>
      </c>
      <c r="U732"/>
      <c r="V732" s="1"/>
      <c r="W732" s="1"/>
    </row>
    <row r="733" spans="2:23" x14ac:dyDescent="0.35">
      <c r="B733" s="4">
        <v>30006607</v>
      </c>
      <c r="C733" s="1" t="s">
        <v>1116</v>
      </c>
      <c r="D733" s="4" t="s">
        <v>86</v>
      </c>
      <c r="E733" s="3" t="s">
        <v>1225</v>
      </c>
      <c r="F733" s="3" t="s">
        <v>102</v>
      </c>
      <c r="G733">
        <v>3</v>
      </c>
      <c r="H733" s="4">
        <v>2</v>
      </c>
      <c r="I733" s="4">
        <v>6</v>
      </c>
      <c r="J733" s="4" t="s">
        <v>8</v>
      </c>
      <c r="K733" s="4" t="s">
        <v>14</v>
      </c>
      <c r="L733" s="11"/>
      <c r="M733" s="3"/>
      <c r="N733"/>
      <c r="O733" s="4"/>
      <c r="P733" s="1"/>
      <c r="Q733" s="22"/>
      <c r="R733"/>
      <c r="S733" s="11"/>
      <c r="T733" t="s">
        <v>71</v>
      </c>
      <c r="U733"/>
      <c r="V733" s="1"/>
      <c r="W733" s="1"/>
    </row>
    <row r="734" spans="2:23" x14ac:dyDescent="0.35">
      <c r="B734" s="4">
        <v>30006608</v>
      </c>
      <c r="C734" s="1" t="s">
        <v>1518</v>
      </c>
      <c r="D734" s="4" t="s">
        <v>86</v>
      </c>
      <c r="E734" s="3"/>
      <c r="F734" s="3" t="s">
        <v>68</v>
      </c>
      <c r="G734">
        <v>5</v>
      </c>
      <c r="H734" s="4">
        <v>3</v>
      </c>
      <c r="I734" s="4">
        <v>9</v>
      </c>
      <c r="J734" s="4" t="s">
        <v>8</v>
      </c>
      <c r="K734" s="4" t="s">
        <v>14</v>
      </c>
      <c r="L734" s="11"/>
      <c r="M734" s="3"/>
      <c r="N734"/>
      <c r="O734" s="4"/>
      <c r="P734" s="1"/>
      <c r="Q734" s="22"/>
      <c r="R734"/>
      <c r="S734" s="11"/>
      <c r="T734" t="s">
        <v>67</v>
      </c>
      <c r="U734"/>
      <c r="V734" s="1"/>
      <c r="W734" s="1"/>
    </row>
    <row r="735" spans="2:23" x14ac:dyDescent="0.35">
      <c r="B735" s="4">
        <v>30006610</v>
      </c>
      <c r="C735" s="1" t="s">
        <v>1117</v>
      </c>
      <c r="D735" s="4" t="s">
        <v>86</v>
      </c>
      <c r="E735" s="3"/>
      <c r="F735" s="3" t="s">
        <v>102</v>
      </c>
      <c r="G735">
        <v>26</v>
      </c>
      <c r="H735" s="4">
        <v>25</v>
      </c>
      <c r="I735" s="4">
        <v>119</v>
      </c>
      <c r="J735" s="4" t="s">
        <v>8</v>
      </c>
      <c r="K735" s="4" t="s">
        <v>14</v>
      </c>
      <c r="L735" s="11"/>
      <c r="M735" s="3"/>
      <c r="N735"/>
      <c r="O735" s="4"/>
      <c r="P735" s="1"/>
      <c r="Q735" s="22"/>
      <c r="R735"/>
      <c r="S735" s="11"/>
      <c r="T735" t="s">
        <v>71</v>
      </c>
      <c r="U735"/>
      <c r="V735" s="1"/>
      <c r="W735" s="1"/>
    </row>
    <row r="736" spans="2:23" x14ac:dyDescent="0.35">
      <c r="B736" s="4">
        <v>30006612</v>
      </c>
      <c r="C736" s="1" t="s">
        <v>1118</v>
      </c>
      <c r="D736" s="4" t="s">
        <v>86</v>
      </c>
      <c r="E736" s="3"/>
      <c r="F736" s="3" t="s">
        <v>102</v>
      </c>
      <c r="G736">
        <v>3</v>
      </c>
      <c r="H736" s="4">
        <v>2</v>
      </c>
      <c r="I736" s="4">
        <v>3</v>
      </c>
      <c r="J736" s="4" t="s">
        <v>8</v>
      </c>
      <c r="K736" s="4" t="s">
        <v>7</v>
      </c>
      <c r="L736" s="11"/>
      <c r="M736" s="3"/>
      <c r="N736"/>
      <c r="O736" s="4"/>
      <c r="P736" s="1"/>
      <c r="Q736" s="22"/>
      <c r="R736"/>
      <c r="S736" s="11"/>
      <c r="T736" t="s">
        <v>71</v>
      </c>
      <c r="U736"/>
      <c r="V736" s="1"/>
      <c r="W736" s="1"/>
    </row>
    <row r="737" spans="2:23" x14ac:dyDescent="0.35">
      <c r="B737" s="4">
        <v>30006617</v>
      </c>
      <c r="C737" s="1" t="s">
        <v>1120</v>
      </c>
      <c r="D737" s="4" t="s">
        <v>86</v>
      </c>
      <c r="E737" s="3" t="s">
        <v>1225</v>
      </c>
      <c r="F737" s="3" t="s">
        <v>102</v>
      </c>
      <c r="G737">
        <v>21</v>
      </c>
      <c r="H737" s="4">
        <v>20</v>
      </c>
      <c r="I737" s="4">
        <v>36</v>
      </c>
      <c r="J737" s="4" t="s">
        <v>8</v>
      </c>
      <c r="K737" s="4" t="s">
        <v>7</v>
      </c>
      <c r="L737" s="11"/>
      <c r="M737" s="3"/>
      <c r="N737"/>
      <c r="O737" s="4"/>
      <c r="P737" s="1"/>
      <c r="Q737" s="22"/>
      <c r="R737"/>
      <c r="S737" s="11" t="s">
        <v>6880</v>
      </c>
      <c r="T737" t="s">
        <v>71</v>
      </c>
      <c r="U737"/>
      <c r="V737" s="1"/>
      <c r="W737" s="1"/>
    </row>
    <row r="738" spans="2:23" x14ac:dyDescent="0.35">
      <c r="B738" s="4">
        <v>30006619</v>
      </c>
      <c r="C738" s="1" t="s">
        <v>1121</v>
      </c>
      <c r="D738" s="4" t="s">
        <v>86</v>
      </c>
      <c r="E738" s="3"/>
      <c r="F738" s="3" t="s">
        <v>102</v>
      </c>
      <c r="G738">
        <v>61</v>
      </c>
      <c r="H738" s="4">
        <v>60</v>
      </c>
      <c r="I738" s="4">
        <v>236</v>
      </c>
      <c r="J738" s="4" t="s">
        <v>8</v>
      </c>
      <c r="K738" s="4" t="s">
        <v>14</v>
      </c>
      <c r="L738" s="11"/>
      <c r="M738" s="3"/>
      <c r="N738"/>
      <c r="O738" s="4"/>
      <c r="P738" s="1"/>
      <c r="Q738" s="22"/>
      <c r="R738"/>
      <c r="S738" s="11"/>
      <c r="T738" t="s">
        <v>71</v>
      </c>
      <c r="U738"/>
      <c r="V738" s="1"/>
      <c r="W738" s="1"/>
    </row>
    <row r="739" spans="2:23" x14ac:dyDescent="0.35">
      <c r="B739" s="4">
        <v>30006621</v>
      </c>
      <c r="C739" s="1" t="s">
        <v>1122</v>
      </c>
      <c r="D739" s="4" t="s">
        <v>86</v>
      </c>
      <c r="E739" s="3" t="s">
        <v>1225</v>
      </c>
      <c r="F739" s="3" t="s">
        <v>102</v>
      </c>
      <c r="G739">
        <v>2</v>
      </c>
      <c r="H739" s="4">
        <v>2</v>
      </c>
      <c r="I739" s="4">
        <v>2</v>
      </c>
      <c r="J739" s="4" t="s">
        <v>8</v>
      </c>
      <c r="K739" s="4" t="s">
        <v>7</v>
      </c>
      <c r="L739" s="11"/>
      <c r="M739" s="3"/>
      <c r="N739"/>
      <c r="O739" s="4"/>
      <c r="P739" s="1"/>
      <c r="Q739" s="22"/>
      <c r="R739"/>
      <c r="S739" s="11"/>
      <c r="T739" t="s">
        <v>71</v>
      </c>
      <c r="U739"/>
      <c r="V739" s="1"/>
      <c r="W739" s="1"/>
    </row>
    <row r="740" spans="2:23" x14ac:dyDescent="0.35">
      <c r="B740" s="4">
        <v>30006623</v>
      </c>
      <c r="C740" s="1" t="s">
        <v>527</v>
      </c>
      <c r="D740" s="4" t="s">
        <v>86</v>
      </c>
      <c r="E740" s="3" t="s">
        <v>1225</v>
      </c>
      <c r="F740" s="3" t="s">
        <v>102</v>
      </c>
      <c r="G740">
        <v>120</v>
      </c>
      <c r="H740" s="4">
        <v>300</v>
      </c>
      <c r="I740" s="4">
        <v>328</v>
      </c>
      <c r="J740" s="4" t="s">
        <v>8</v>
      </c>
      <c r="K740" s="4" t="s">
        <v>7</v>
      </c>
      <c r="L740" s="11"/>
      <c r="M740" s="3"/>
      <c r="N740"/>
      <c r="O740" s="4"/>
      <c r="P740" s="1"/>
      <c r="Q740" s="22"/>
      <c r="R740"/>
      <c r="S740" s="11"/>
      <c r="T740" t="s">
        <v>71</v>
      </c>
      <c r="U740"/>
      <c r="V740" s="1"/>
      <c r="W740" s="1"/>
    </row>
    <row r="741" spans="2:23" x14ac:dyDescent="0.35">
      <c r="B741" s="4">
        <v>30006630</v>
      </c>
      <c r="C741" s="1" t="s">
        <v>1123</v>
      </c>
      <c r="D741" s="4" t="s">
        <v>86</v>
      </c>
      <c r="E741" s="3"/>
      <c r="F741" s="3" t="s">
        <v>102</v>
      </c>
      <c r="G741">
        <v>9</v>
      </c>
      <c r="H741" s="4">
        <v>8</v>
      </c>
      <c r="I741" s="4">
        <v>17</v>
      </c>
      <c r="J741" s="4" t="s">
        <v>8</v>
      </c>
      <c r="K741" s="4" t="s">
        <v>7</v>
      </c>
      <c r="L741" s="11"/>
      <c r="M741" s="3"/>
      <c r="N741"/>
      <c r="O741" s="4"/>
      <c r="P741" s="1"/>
      <c r="Q741" s="22"/>
      <c r="R741"/>
      <c r="S741" s="11"/>
      <c r="T741" t="s">
        <v>71</v>
      </c>
      <c r="U741"/>
      <c r="V741" s="1"/>
      <c r="W741" s="1"/>
    </row>
    <row r="742" spans="2:23" x14ac:dyDescent="0.35">
      <c r="B742" s="4">
        <v>30006634</v>
      </c>
      <c r="C742" s="1" t="s">
        <v>1125</v>
      </c>
      <c r="D742" s="4" t="s">
        <v>86</v>
      </c>
      <c r="E742" s="3"/>
      <c r="F742" s="3" t="s">
        <v>102</v>
      </c>
      <c r="G742">
        <v>3</v>
      </c>
      <c r="H742" s="4">
        <v>2</v>
      </c>
      <c r="I742" s="4">
        <v>3</v>
      </c>
      <c r="J742" s="4" t="s">
        <v>8</v>
      </c>
      <c r="K742" s="4" t="s">
        <v>7</v>
      </c>
      <c r="L742" s="11"/>
      <c r="M742" s="3"/>
      <c r="N742"/>
      <c r="O742" s="4"/>
      <c r="P742" s="1"/>
      <c r="Q742" s="22"/>
      <c r="R742"/>
      <c r="S742" s="11"/>
      <c r="T742" t="s">
        <v>71</v>
      </c>
      <c r="U742"/>
      <c r="V742" s="1"/>
      <c r="W742" s="1"/>
    </row>
    <row r="743" spans="2:23" x14ac:dyDescent="0.35">
      <c r="B743" s="4">
        <v>30006637</v>
      </c>
      <c r="C743" s="1" t="s">
        <v>1126</v>
      </c>
      <c r="D743" s="4" t="s">
        <v>86</v>
      </c>
      <c r="E743" s="3"/>
      <c r="F743" s="3" t="s">
        <v>102</v>
      </c>
      <c r="G743">
        <v>58</v>
      </c>
      <c r="H743" s="4">
        <v>33</v>
      </c>
      <c r="I743" s="4">
        <v>452</v>
      </c>
      <c r="J743" s="4" t="s">
        <v>8</v>
      </c>
      <c r="K743" s="4" t="s">
        <v>14</v>
      </c>
      <c r="L743" s="11"/>
      <c r="M743" s="3"/>
      <c r="N743"/>
      <c r="O743" s="4"/>
      <c r="P743" s="1"/>
      <c r="Q743" s="22"/>
      <c r="R743"/>
      <c r="S743" s="11"/>
      <c r="T743" t="s">
        <v>71</v>
      </c>
      <c r="U743"/>
      <c r="V743" s="1"/>
      <c r="W743" s="1"/>
    </row>
    <row r="744" spans="2:23" x14ac:dyDescent="0.35">
      <c r="B744" s="4">
        <v>30006710</v>
      </c>
      <c r="C744" s="1" t="s">
        <v>1127</v>
      </c>
      <c r="D744" s="4" t="s">
        <v>86</v>
      </c>
      <c r="E744" s="3"/>
      <c r="F744" s="3" t="s">
        <v>102</v>
      </c>
      <c r="G744">
        <v>7</v>
      </c>
      <c r="H744" s="4">
        <v>6</v>
      </c>
      <c r="I744" s="4">
        <v>14</v>
      </c>
      <c r="J744" s="4" t="s">
        <v>8</v>
      </c>
      <c r="K744" s="4" t="s">
        <v>14</v>
      </c>
      <c r="L744" s="11"/>
      <c r="M744" s="3"/>
      <c r="N744"/>
      <c r="O744" s="4"/>
      <c r="P744" s="1"/>
      <c r="Q744" s="22"/>
      <c r="R744"/>
      <c r="S744" s="11"/>
      <c r="T744" t="s">
        <v>66</v>
      </c>
      <c r="U744"/>
      <c r="V744" s="1"/>
      <c r="W744" s="1"/>
    </row>
    <row r="745" spans="2:23" x14ac:dyDescent="0.35">
      <c r="B745" s="4">
        <v>30006711</v>
      </c>
      <c r="C745" s="1" t="s">
        <v>1128</v>
      </c>
      <c r="D745" s="4" t="s">
        <v>86</v>
      </c>
      <c r="E745" s="3"/>
      <c r="F745" s="3" t="s">
        <v>102</v>
      </c>
      <c r="G745">
        <v>5</v>
      </c>
      <c r="H745" s="4">
        <v>4</v>
      </c>
      <c r="I745" s="4">
        <v>20</v>
      </c>
      <c r="J745" s="4" t="s">
        <v>8</v>
      </c>
      <c r="K745" s="4" t="s">
        <v>14</v>
      </c>
      <c r="L745" s="11"/>
      <c r="M745" s="3"/>
      <c r="N745"/>
      <c r="O745" s="4"/>
      <c r="P745" s="1"/>
      <c r="Q745" s="22"/>
      <c r="R745"/>
      <c r="S745" s="11"/>
      <c r="T745" t="s">
        <v>66</v>
      </c>
      <c r="U745"/>
      <c r="V745" s="1"/>
      <c r="W745" s="1"/>
    </row>
    <row r="746" spans="2:23" x14ac:dyDescent="0.35">
      <c r="B746" s="4">
        <v>30006712</v>
      </c>
      <c r="C746" s="1" t="s">
        <v>1129</v>
      </c>
      <c r="D746" s="4" t="s">
        <v>86</v>
      </c>
      <c r="E746" s="3"/>
      <c r="F746" s="3" t="s">
        <v>102</v>
      </c>
      <c r="G746">
        <v>9</v>
      </c>
      <c r="H746" s="4">
        <v>8</v>
      </c>
      <c r="I746" s="4">
        <v>29</v>
      </c>
      <c r="J746" s="4" t="s">
        <v>8</v>
      </c>
      <c r="K746" s="4" t="s">
        <v>14</v>
      </c>
      <c r="L746" s="11"/>
      <c r="M746" s="3"/>
      <c r="N746"/>
      <c r="O746" s="4"/>
      <c r="P746" s="1"/>
      <c r="Q746" s="22"/>
      <c r="R746"/>
      <c r="S746" s="11"/>
      <c r="T746" t="s">
        <v>66</v>
      </c>
      <c r="U746"/>
      <c r="V746" s="1"/>
      <c r="W746" s="1"/>
    </row>
    <row r="747" spans="2:23" x14ac:dyDescent="0.35">
      <c r="B747" s="4">
        <v>30006713</v>
      </c>
      <c r="C747" s="1" t="s">
        <v>1130</v>
      </c>
      <c r="D747" s="4" t="s">
        <v>86</v>
      </c>
      <c r="E747" s="3"/>
      <c r="F747" s="3" t="s">
        <v>102</v>
      </c>
      <c r="G747">
        <v>9</v>
      </c>
      <c r="H747" s="4">
        <v>8</v>
      </c>
      <c r="I747" s="4">
        <v>18</v>
      </c>
      <c r="J747" s="4" t="s">
        <v>8</v>
      </c>
      <c r="K747" s="4" t="s">
        <v>14</v>
      </c>
      <c r="L747" s="11"/>
      <c r="M747" s="3"/>
      <c r="N747"/>
      <c r="O747" s="4"/>
      <c r="P747" s="1"/>
      <c r="Q747" s="22"/>
      <c r="R747"/>
      <c r="S747" s="11"/>
      <c r="T747" t="s">
        <v>66</v>
      </c>
      <c r="U747"/>
      <c r="V747" s="1"/>
      <c r="W747" s="1"/>
    </row>
    <row r="748" spans="2:23" x14ac:dyDescent="0.35">
      <c r="B748" s="4">
        <v>30006715</v>
      </c>
      <c r="C748" s="1" t="s">
        <v>1432</v>
      </c>
      <c r="D748" s="4" t="s">
        <v>86</v>
      </c>
      <c r="E748" s="3" t="s">
        <v>1225</v>
      </c>
      <c r="F748" s="3" t="s">
        <v>102</v>
      </c>
      <c r="G748">
        <v>21</v>
      </c>
      <c r="H748" s="4">
        <v>20</v>
      </c>
      <c r="I748" s="4">
        <v>36</v>
      </c>
      <c r="J748" s="4" t="s">
        <v>8</v>
      </c>
      <c r="K748" s="4" t="s">
        <v>7</v>
      </c>
      <c r="L748" s="11"/>
      <c r="M748" s="3"/>
      <c r="N748"/>
      <c r="O748" s="4"/>
      <c r="P748" s="1"/>
      <c r="Q748" s="22"/>
      <c r="R748"/>
      <c r="S748" s="11"/>
      <c r="T748" t="s">
        <v>66</v>
      </c>
      <c r="U748"/>
      <c r="V748" s="1"/>
      <c r="W748" s="1"/>
    </row>
    <row r="749" spans="2:23" x14ac:dyDescent="0.35">
      <c r="B749" s="4">
        <v>30006716</v>
      </c>
      <c r="C749" s="1" t="s">
        <v>1132</v>
      </c>
      <c r="D749" s="4" t="s">
        <v>86</v>
      </c>
      <c r="E749" s="3"/>
      <c r="F749" s="3" t="s">
        <v>102</v>
      </c>
      <c r="G749">
        <v>17</v>
      </c>
      <c r="H749" s="4">
        <v>16</v>
      </c>
      <c r="I749" s="4">
        <v>23</v>
      </c>
      <c r="J749" s="4" t="s">
        <v>8</v>
      </c>
      <c r="K749" s="4" t="s">
        <v>7</v>
      </c>
      <c r="L749" s="11"/>
      <c r="M749" s="3"/>
      <c r="N749"/>
      <c r="O749" s="4"/>
      <c r="P749" s="1"/>
      <c r="Q749" s="22"/>
      <c r="R749"/>
      <c r="S749" s="11"/>
      <c r="T749" t="s">
        <v>66</v>
      </c>
      <c r="U749"/>
      <c r="V749" s="1"/>
      <c r="W749" s="1"/>
    </row>
    <row r="750" spans="2:23" x14ac:dyDescent="0.35">
      <c r="B750" s="4">
        <v>30006717</v>
      </c>
      <c r="C750" s="1" t="s">
        <v>1133</v>
      </c>
      <c r="D750" s="4" t="s">
        <v>86</v>
      </c>
      <c r="E750" s="3" t="s">
        <v>1225</v>
      </c>
      <c r="F750" s="3" t="s">
        <v>102</v>
      </c>
      <c r="G750">
        <v>21</v>
      </c>
      <c r="H750" s="4">
        <v>20</v>
      </c>
      <c r="I750" s="4">
        <v>33</v>
      </c>
      <c r="J750" s="4" t="s">
        <v>8</v>
      </c>
      <c r="K750" s="4" t="s">
        <v>7</v>
      </c>
      <c r="L750" s="11"/>
      <c r="M750" s="3"/>
      <c r="N750"/>
      <c r="O750" s="4"/>
      <c r="P750" s="1"/>
      <c r="Q750" s="22"/>
      <c r="R750"/>
      <c r="S750" s="11"/>
      <c r="T750" t="s">
        <v>66</v>
      </c>
      <c r="U750"/>
      <c r="V750" s="1"/>
      <c r="W750" s="1"/>
    </row>
    <row r="751" spans="2:23" x14ac:dyDescent="0.35">
      <c r="B751" s="4">
        <v>30006723</v>
      </c>
      <c r="C751" s="1" t="s">
        <v>1134</v>
      </c>
      <c r="D751" s="4" t="s">
        <v>86</v>
      </c>
      <c r="E751" s="3" t="s">
        <v>1225</v>
      </c>
      <c r="F751" s="3" t="s">
        <v>102</v>
      </c>
      <c r="G751">
        <v>2</v>
      </c>
      <c r="H751" s="4">
        <v>1</v>
      </c>
      <c r="I751" s="4">
        <v>3</v>
      </c>
      <c r="J751" s="4" t="s">
        <v>8</v>
      </c>
      <c r="K751" s="4" t="s">
        <v>7</v>
      </c>
      <c r="L751" s="11"/>
      <c r="M751" s="3"/>
      <c r="N751"/>
      <c r="O751" s="4"/>
      <c r="P751" s="1"/>
      <c r="Q751" s="22"/>
      <c r="R751"/>
      <c r="S751" s="11"/>
      <c r="T751" t="s">
        <v>66</v>
      </c>
      <c r="U751"/>
      <c r="V751" s="1"/>
      <c r="W751" s="1"/>
    </row>
    <row r="752" spans="2:23" x14ac:dyDescent="0.35">
      <c r="B752" s="4">
        <v>30006725</v>
      </c>
      <c r="C752" s="1" t="s">
        <v>1135</v>
      </c>
      <c r="D752" s="4" t="s">
        <v>86</v>
      </c>
      <c r="E752" s="3"/>
      <c r="F752" s="3" t="s">
        <v>102</v>
      </c>
      <c r="G752">
        <v>21</v>
      </c>
      <c r="H752" s="4">
        <v>20</v>
      </c>
      <c r="I752" s="4">
        <v>35</v>
      </c>
      <c r="J752" s="4" t="s">
        <v>8</v>
      </c>
      <c r="K752" s="4" t="s">
        <v>7</v>
      </c>
      <c r="L752" s="11"/>
      <c r="M752" s="3"/>
      <c r="N752"/>
      <c r="O752" s="4"/>
      <c r="P752" s="1"/>
      <c r="Q752" s="22"/>
      <c r="R752"/>
      <c r="S752" s="11"/>
      <c r="T752" t="s">
        <v>66</v>
      </c>
      <c r="U752"/>
      <c r="V752" s="1"/>
      <c r="W752" s="1"/>
    </row>
    <row r="753" spans="2:23" x14ac:dyDescent="0.35">
      <c r="B753" s="4">
        <v>30006726</v>
      </c>
      <c r="C753" s="1" t="s">
        <v>1136</v>
      </c>
      <c r="D753" s="4" t="s">
        <v>86</v>
      </c>
      <c r="E753" s="3"/>
      <c r="F753" s="3" t="s">
        <v>102</v>
      </c>
      <c r="G753">
        <v>7</v>
      </c>
      <c r="H753" s="4">
        <v>6</v>
      </c>
      <c r="I753" s="4">
        <v>17</v>
      </c>
      <c r="J753" s="4" t="s">
        <v>8</v>
      </c>
      <c r="K753" s="4" t="s">
        <v>14</v>
      </c>
      <c r="L753" s="11"/>
      <c r="M753" s="3"/>
      <c r="N753"/>
      <c r="O753" s="4"/>
      <c r="P753" s="1"/>
      <c r="Q753" s="22"/>
      <c r="R753"/>
      <c r="S753" s="11"/>
      <c r="T753" t="s">
        <v>66</v>
      </c>
      <c r="U753"/>
      <c r="V753" s="1"/>
      <c r="W753" s="1"/>
    </row>
    <row r="754" spans="2:23" x14ac:dyDescent="0.35">
      <c r="B754" s="4">
        <v>30006727</v>
      </c>
      <c r="C754" s="1" t="s">
        <v>1137</v>
      </c>
      <c r="D754" s="4" t="s">
        <v>86</v>
      </c>
      <c r="E754" s="3"/>
      <c r="F754" s="3" t="s">
        <v>102</v>
      </c>
      <c r="G754">
        <v>9</v>
      </c>
      <c r="H754" s="4">
        <v>8</v>
      </c>
      <c r="I754" s="4">
        <v>29</v>
      </c>
      <c r="J754" s="4" t="s">
        <v>8</v>
      </c>
      <c r="K754" s="4" t="s">
        <v>14</v>
      </c>
      <c r="L754" s="11"/>
      <c r="M754" s="3"/>
      <c r="N754"/>
      <c r="O754" s="4"/>
      <c r="P754" s="1"/>
      <c r="Q754" s="22"/>
      <c r="R754"/>
      <c r="S754" s="11"/>
      <c r="T754" t="s">
        <v>66</v>
      </c>
      <c r="U754"/>
      <c r="V754" s="1"/>
      <c r="W754" s="1"/>
    </row>
    <row r="755" spans="2:23" x14ac:dyDescent="0.35">
      <c r="B755" s="4">
        <v>30006735</v>
      </c>
      <c r="C755" s="1" t="s">
        <v>1138</v>
      </c>
      <c r="D755" s="4" t="s">
        <v>86</v>
      </c>
      <c r="E755" s="3"/>
      <c r="F755" s="3" t="s">
        <v>102</v>
      </c>
      <c r="G755">
        <v>3</v>
      </c>
      <c r="H755" s="4">
        <v>2</v>
      </c>
      <c r="I755" s="4">
        <v>2</v>
      </c>
      <c r="J755" s="4" t="s">
        <v>8</v>
      </c>
      <c r="K755" s="4" t="s">
        <v>9</v>
      </c>
      <c r="L755" s="11"/>
      <c r="M755" s="3"/>
      <c r="N755">
        <v>4502711027</v>
      </c>
      <c r="O755" s="4">
        <v>2</v>
      </c>
      <c r="P755" s="1" t="s">
        <v>6849</v>
      </c>
      <c r="Q755" s="22">
        <v>46293</v>
      </c>
      <c r="R755"/>
      <c r="S755" s="11"/>
      <c r="T755" t="s">
        <v>67</v>
      </c>
      <c r="U755"/>
      <c r="V755" s="1"/>
      <c r="W755" s="1"/>
    </row>
    <row r="756" spans="2:23" x14ac:dyDescent="0.35">
      <c r="B756" s="4">
        <v>30006736</v>
      </c>
      <c r="C756" s="1" t="s">
        <v>1139</v>
      </c>
      <c r="D756" s="4" t="s">
        <v>86</v>
      </c>
      <c r="E756" s="3" t="s">
        <v>1225</v>
      </c>
      <c r="F756" s="3" t="s">
        <v>102</v>
      </c>
      <c r="G756">
        <v>5</v>
      </c>
      <c r="H756" s="4">
        <v>5</v>
      </c>
      <c r="I756" s="4">
        <v>6</v>
      </c>
      <c r="J756" s="4" t="s">
        <v>8</v>
      </c>
      <c r="K756" s="4" t="s">
        <v>7</v>
      </c>
      <c r="L756" s="11"/>
      <c r="M756" s="3"/>
      <c r="N756"/>
      <c r="O756" s="4"/>
      <c r="P756" s="1"/>
      <c r="Q756" s="22"/>
      <c r="R756"/>
      <c r="S756" s="11"/>
      <c r="T756" t="s">
        <v>66</v>
      </c>
      <c r="U756"/>
      <c r="V756" s="1"/>
      <c r="W756" s="1"/>
    </row>
    <row r="757" spans="2:23" x14ac:dyDescent="0.35">
      <c r="B757" s="4">
        <v>30006739</v>
      </c>
      <c r="C757" s="1" t="s">
        <v>1066</v>
      </c>
      <c r="D757" s="4" t="s">
        <v>86</v>
      </c>
      <c r="E757" s="3" t="s">
        <v>1225</v>
      </c>
      <c r="F757" s="3" t="s">
        <v>102</v>
      </c>
      <c r="G757">
        <v>3</v>
      </c>
      <c r="H757" s="4">
        <v>2</v>
      </c>
      <c r="I757" s="4">
        <v>4</v>
      </c>
      <c r="J757" s="4" t="s">
        <v>8</v>
      </c>
      <c r="K757" s="4" t="s">
        <v>7</v>
      </c>
      <c r="L757" s="11"/>
      <c r="M757" s="3"/>
      <c r="N757"/>
      <c r="O757" s="4"/>
      <c r="P757" s="1"/>
      <c r="Q757" s="22"/>
      <c r="R757"/>
      <c r="S757" s="11"/>
      <c r="T757" t="s">
        <v>66</v>
      </c>
      <c r="U757"/>
      <c r="V757" s="1"/>
      <c r="W757" s="1"/>
    </row>
    <row r="758" spans="2:23" x14ac:dyDescent="0.35">
      <c r="B758" s="4">
        <v>30007130</v>
      </c>
      <c r="C758" s="1" t="s">
        <v>1058</v>
      </c>
      <c r="D758" s="4" t="s">
        <v>86</v>
      </c>
      <c r="E758" s="3"/>
      <c r="F758" s="3" t="s">
        <v>68</v>
      </c>
      <c r="G758">
        <v>3</v>
      </c>
      <c r="H758" s="4">
        <v>2</v>
      </c>
      <c r="I758" s="4">
        <v>9</v>
      </c>
      <c r="J758" s="4" t="s">
        <v>8</v>
      </c>
      <c r="K758" s="4" t="s">
        <v>14</v>
      </c>
      <c r="L758" s="11"/>
      <c r="M758" s="3"/>
      <c r="N758"/>
      <c r="O758" s="4"/>
      <c r="P758" s="1"/>
      <c r="Q758" s="22"/>
      <c r="R758"/>
      <c r="S758" s="11"/>
      <c r="T758" t="s">
        <v>66</v>
      </c>
      <c r="U758"/>
      <c r="V758" s="1"/>
      <c r="W758" s="1"/>
    </row>
    <row r="759" spans="2:23" x14ac:dyDescent="0.35">
      <c r="B759" s="4">
        <v>30007327</v>
      </c>
      <c r="C759" s="1" t="s">
        <v>794</v>
      </c>
      <c r="D759" s="4" t="s">
        <v>86</v>
      </c>
      <c r="E759" s="3" t="s">
        <v>1225</v>
      </c>
      <c r="F759" s="3" t="s">
        <v>102</v>
      </c>
      <c r="G759">
        <v>3</v>
      </c>
      <c r="H759" s="4">
        <v>2</v>
      </c>
      <c r="I759" s="4">
        <v>4</v>
      </c>
      <c r="J759" s="4" t="s">
        <v>8</v>
      </c>
      <c r="K759" s="4" t="s">
        <v>7</v>
      </c>
      <c r="L759" s="11"/>
      <c r="M759" s="3"/>
      <c r="N759"/>
      <c r="O759" s="4"/>
      <c r="P759" s="1"/>
      <c r="Q759" s="22"/>
      <c r="R759"/>
      <c r="S759" s="11"/>
      <c r="T759" t="s">
        <v>67</v>
      </c>
      <c r="U759"/>
      <c r="V759" s="1"/>
      <c r="W759" s="1"/>
    </row>
    <row r="760" spans="2:23" x14ac:dyDescent="0.35">
      <c r="B760" s="4">
        <v>30007328</v>
      </c>
      <c r="C760" s="1" t="s">
        <v>795</v>
      </c>
      <c r="D760" s="4" t="s">
        <v>86</v>
      </c>
      <c r="E760" s="3" t="s">
        <v>1225</v>
      </c>
      <c r="F760" s="3" t="s">
        <v>102</v>
      </c>
      <c r="G760">
        <v>3</v>
      </c>
      <c r="H760" s="4">
        <v>2</v>
      </c>
      <c r="I760" s="4">
        <v>3</v>
      </c>
      <c r="J760" s="4" t="s">
        <v>8</v>
      </c>
      <c r="K760" s="4" t="s">
        <v>7</v>
      </c>
      <c r="L760" s="11"/>
      <c r="M760" s="3"/>
      <c r="N760"/>
      <c r="O760" s="4"/>
      <c r="P760" s="1"/>
      <c r="Q760" s="22"/>
      <c r="R760"/>
      <c r="S760" s="11"/>
      <c r="T760" t="s">
        <v>67</v>
      </c>
      <c r="U760"/>
      <c r="V760" s="1"/>
      <c r="W760" s="1"/>
    </row>
    <row r="761" spans="2:23" x14ac:dyDescent="0.35">
      <c r="B761" s="4">
        <v>30007329</v>
      </c>
      <c r="C761" s="1" t="s">
        <v>796</v>
      </c>
      <c r="D761" s="4" t="s">
        <v>86</v>
      </c>
      <c r="E761" s="3"/>
      <c r="F761" s="3" t="s">
        <v>102</v>
      </c>
      <c r="G761">
        <v>3</v>
      </c>
      <c r="H761" s="4">
        <v>2</v>
      </c>
      <c r="I761" s="4">
        <v>3</v>
      </c>
      <c r="J761" s="4" t="s">
        <v>8</v>
      </c>
      <c r="K761" s="4" t="s">
        <v>7</v>
      </c>
      <c r="L761" s="11"/>
      <c r="M761" s="3"/>
      <c r="N761"/>
      <c r="O761" s="4"/>
      <c r="P761" s="1"/>
      <c r="Q761" s="22"/>
      <c r="R761"/>
      <c r="S761" s="11"/>
      <c r="T761" t="s">
        <v>67</v>
      </c>
      <c r="U761"/>
      <c r="V761" s="1"/>
      <c r="W761" s="1"/>
    </row>
    <row r="762" spans="2:23" x14ac:dyDescent="0.35">
      <c r="B762" s="4">
        <v>30007330</v>
      </c>
      <c r="C762" s="1" t="s">
        <v>797</v>
      </c>
      <c r="D762" s="4" t="s">
        <v>86</v>
      </c>
      <c r="E762" s="3" t="s">
        <v>1225</v>
      </c>
      <c r="F762" s="3" t="s">
        <v>102</v>
      </c>
      <c r="G762">
        <v>3</v>
      </c>
      <c r="H762" s="4">
        <v>2</v>
      </c>
      <c r="I762" s="4">
        <v>4</v>
      </c>
      <c r="J762" s="4" t="s">
        <v>8</v>
      </c>
      <c r="K762" s="4" t="s">
        <v>7</v>
      </c>
      <c r="L762" s="11"/>
      <c r="M762" s="3"/>
      <c r="N762"/>
      <c r="O762" s="4"/>
      <c r="P762" s="1"/>
      <c r="Q762" s="22"/>
      <c r="R762"/>
      <c r="S762" s="11"/>
      <c r="T762" t="s">
        <v>67</v>
      </c>
      <c r="U762"/>
      <c r="V762" s="1"/>
      <c r="W762" s="1"/>
    </row>
    <row r="763" spans="2:23" x14ac:dyDescent="0.35">
      <c r="B763" s="4">
        <v>30007331</v>
      </c>
      <c r="C763" s="1" t="s">
        <v>798</v>
      </c>
      <c r="D763" s="4" t="s">
        <v>86</v>
      </c>
      <c r="E763" s="3" t="s">
        <v>1225</v>
      </c>
      <c r="F763" s="3" t="s">
        <v>102</v>
      </c>
      <c r="G763">
        <v>2</v>
      </c>
      <c r="H763" s="4">
        <v>2</v>
      </c>
      <c r="I763" s="4">
        <v>3</v>
      </c>
      <c r="J763" s="4" t="s">
        <v>8</v>
      </c>
      <c r="K763" s="4" t="s">
        <v>7</v>
      </c>
      <c r="L763" s="11"/>
      <c r="M763" s="3"/>
      <c r="N763">
        <v>4502711070</v>
      </c>
      <c r="O763" s="4">
        <v>2</v>
      </c>
      <c r="P763" s="1" t="s">
        <v>1574</v>
      </c>
      <c r="Q763" s="22">
        <v>46279</v>
      </c>
      <c r="R763"/>
      <c r="S763" s="11"/>
      <c r="T763" t="s">
        <v>67</v>
      </c>
      <c r="U763"/>
      <c r="V763" s="1"/>
      <c r="W763" s="1"/>
    </row>
    <row r="764" spans="2:23" x14ac:dyDescent="0.35">
      <c r="B764" s="4">
        <v>30007332</v>
      </c>
      <c r="C764" s="1" t="s">
        <v>799</v>
      </c>
      <c r="D764" s="4" t="s">
        <v>86</v>
      </c>
      <c r="E764" s="3" t="s">
        <v>1225</v>
      </c>
      <c r="F764" s="3" t="s">
        <v>102</v>
      </c>
      <c r="G764">
        <v>2</v>
      </c>
      <c r="H764" s="4">
        <v>2</v>
      </c>
      <c r="I764" s="4">
        <v>3</v>
      </c>
      <c r="J764" s="4" t="s">
        <v>8</v>
      </c>
      <c r="K764" s="4" t="s">
        <v>7</v>
      </c>
      <c r="L764" s="11"/>
      <c r="M764" s="3"/>
      <c r="N764">
        <v>4502711070</v>
      </c>
      <c r="O764" s="4">
        <v>2</v>
      </c>
      <c r="P764" s="1" t="s">
        <v>1574</v>
      </c>
      <c r="Q764" s="22">
        <v>46279</v>
      </c>
      <c r="R764"/>
      <c r="S764" s="11"/>
      <c r="T764" t="s">
        <v>67</v>
      </c>
      <c r="U764"/>
      <c r="V764" s="1"/>
      <c r="W764" s="1"/>
    </row>
    <row r="765" spans="2:23" x14ac:dyDescent="0.35">
      <c r="B765" s="4">
        <v>30007362</v>
      </c>
      <c r="C765" s="1" t="s">
        <v>800</v>
      </c>
      <c r="D765" s="4" t="s">
        <v>86</v>
      </c>
      <c r="E765" s="75"/>
      <c r="F765" s="3" t="s">
        <v>102</v>
      </c>
      <c r="G765">
        <v>2</v>
      </c>
      <c r="H765" s="4">
        <v>2</v>
      </c>
      <c r="I765" s="4">
        <v>4</v>
      </c>
      <c r="J765" s="4" t="s">
        <v>8</v>
      </c>
      <c r="K765" s="4" t="s">
        <v>7</v>
      </c>
      <c r="L765" s="11"/>
      <c r="M765" s="3"/>
      <c r="N765"/>
      <c r="O765" s="4"/>
      <c r="P765" s="1"/>
      <c r="Q765" s="22"/>
      <c r="R765"/>
      <c r="S765" s="11"/>
      <c r="T765" t="s">
        <v>71</v>
      </c>
      <c r="U765"/>
      <c r="V765" s="1"/>
      <c r="W765" s="1"/>
    </row>
    <row r="766" spans="2:23" x14ac:dyDescent="0.35">
      <c r="B766" s="4">
        <v>30007363</v>
      </c>
      <c r="C766" s="1" t="s">
        <v>801</v>
      </c>
      <c r="D766" s="4" t="s">
        <v>86</v>
      </c>
      <c r="E766" s="75" t="s">
        <v>1225</v>
      </c>
      <c r="F766" s="3" t="s">
        <v>102</v>
      </c>
      <c r="G766">
        <v>3</v>
      </c>
      <c r="H766" s="4">
        <v>2</v>
      </c>
      <c r="I766" s="4">
        <v>6</v>
      </c>
      <c r="J766" s="4" t="s">
        <v>8</v>
      </c>
      <c r="K766" s="4" t="s">
        <v>14</v>
      </c>
      <c r="L766" s="11"/>
      <c r="M766" s="3"/>
      <c r="N766"/>
      <c r="O766" s="4"/>
      <c r="P766" s="1"/>
      <c r="Q766" s="22"/>
      <c r="R766"/>
      <c r="S766" s="11"/>
      <c r="T766" t="s">
        <v>66</v>
      </c>
      <c r="U766"/>
      <c r="V766" s="1"/>
      <c r="W766" s="1"/>
    </row>
    <row r="767" spans="2:23" x14ac:dyDescent="0.35">
      <c r="B767" s="4">
        <v>30007365</v>
      </c>
      <c r="C767" s="1" t="s">
        <v>802</v>
      </c>
      <c r="D767" s="4" t="s">
        <v>86</v>
      </c>
      <c r="E767" s="3"/>
      <c r="F767" s="3" t="s">
        <v>102</v>
      </c>
      <c r="G767">
        <v>3</v>
      </c>
      <c r="H767" s="4">
        <v>2</v>
      </c>
      <c r="I767" s="4">
        <v>6</v>
      </c>
      <c r="J767" s="4" t="s">
        <v>8</v>
      </c>
      <c r="K767" s="4" t="s">
        <v>14</v>
      </c>
      <c r="L767" s="11"/>
      <c r="M767" s="3"/>
      <c r="N767"/>
      <c r="O767" s="4"/>
      <c r="P767" s="1"/>
      <c r="Q767" s="22"/>
      <c r="R767"/>
      <c r="S767" s="11"/>
      <c r="T767" t="s">
        <v>66</v>
      </c>
      <c r="U767"/>
      <c r="V767" s="1"/>
      <c r="W767" s="1"/>
    </row>
    <row r="768" spans="2:23" x14ac:dyDescent="0.35">
      <c r="B768" s="4">
        <v>30007367</v>
      </c>
      <c r="C768" s="1" t="s">
        <v>803</v>
      </c>
      <c r="D768" s="4" t="s">
        <v>86</v>
      </c>
      <c r="E768" s="3" t="s">
        <v>1225</v>
      </c>
      <c r="F768" s="3" t="s">
        <v>102</v>
      </c>
      <c r="G768">
        <v>3</v>
      </c>
      <c r="H768" s="4">
        <v>2</v>
      </c>
      <c r="I768" s="4">
        <v>4</v>
      </c>
      <c r="J768" s="4" t="s">
        <v>8</v>
      </c>
      <c r="K768" s="4" t="s">
        <v>7</v>
      </c>
      <c r="L768" s="11"/>
      <c r="M768" s="3"/>
      <c r="N768"/>
      <c r="O768" s="4"/>
      <c r="P768" s="1"/>
      <c r="Q768" s="22"/>
      <c r="R768"/>
      <c r="S768" s="11"/>
      <c r="T768" t="s">
        <v>67</v>
      </c>
      <c r="U768"/>
      <c r="V768" s="1"/>
      <c r="W768" s="1"/>
    </row>
    <row r="769" spans="2:23" x14ac:dyDescent="0.35">
      <c r="B769" s="4">
        <v>30007368</v>
      </c>
      <c r="C769" s="1" t="s">
        <v>804</v>
      </c>
      <c r="D769" s="4" t="s">
        <v>86</v>
      </c>
      <c r="E769" s="3" t="s">
        <v>1225</v>
      </c>
      <c r="F769" s="3" t="s">
        <v>102</v>
      </c>
      <c r="G769">
        <v>3</v>
      </c>
      <c r="H769" s="4">
        <v>2</v>
      </c>
      <c r="I769" s="4">
        <v>4</v>
      </c>
      <c r="J769" s="4" t="s">
        <v>8</v>
      </c>
      <c r="K769" s="4" t="s">
        <v>7</v>
      </c>
      <c r="L769" s="11"/>
      <c r="M769" s="3"/>
      <c r="N769"/>
      <c r="O769" s="4"/>
      <c r="P769" s="1"/>
      <c r="Q769" s="22"/>
      <c r="R769"/>
      <c r="S769" s="11"/>
      <c r="T769" t="s">
        <v>67</v>
      </c>
      <c r="U769"/>
      <c r="V769" s="1"/>
      <c r="W769" s="1"/>
    </row>
    <row r="770" spans="2:23" x14ac:dyDescent="0.35">
      <c r="B770" s="4">
        <v>30007369</v>
      </c>
      <c r="C770" s="1" t="s">
        <v>872</v>
      </c>
      <c r="D770" s="4" t="s">
        <v>86</v>
      </c>
      <c r="E770" s="3" t="s">
        <v>1225</v>
      </c>
      <c r="F770" s="3" t="s">
        <v>102</v>
      </c>
      <c r="G770">
        <v>3</v>
      </c>
      <c r="H770" s="4">
        <v>2</v>
      </c>
      <c r="I770" s="4">
        <v>4</v>
      </c>
      <c r="J770" s="4" t="s">
        <v>8</v>
      </c>
      <c r="K770" s="4" t="s">
        <v>7</v>
      </c>
      <c r="L770" s="11"/>
      <c r="M770" s="3"/>
      <c r="N770"/>
      <c r="O770" s="4"/>
      <c r="P770" s="1"/>
      <c r="Q770" s="22"/>
      <c r="R770"/>
      <c r="S770" s="11"/>
      <c r="T770" t="s">
        <v>66</v>
      </c>
      <c r="U770"/>
      <c r="V770" s="1"/>
      <c r="W770" s="1"/>
    </row>
    <row r="771" spans="2:23" x14ac:dyDescent="0.35">
      <c r="B771" s="4">
        <v>30007370</v>
      </c>
      <c r="C771" s="1" t="s">
        <v>805</v>
      </c>
      <c r="D771" s="4" t="s">
        <v>86</v>
      </c>
      <c r="E771" s="3"/>
      <c r="F771" s="3" t="s">
        <v>102</v>
      </c>
      <c r="G771">
        <v>3</v>
      </c>
      <c r="H771" s="4">
        <v>2</v>
      </c>
      <c r="I771" s="4">
        <v>4</v>
      </c>
      <c r="J771" s="4" t="s">
        <v>8</v>
      </c>
      <c r="K771" s="4" t="s">
        <v>7</v>
      </c>
      <c r="L771" s="11"/>
      <c r="M771" s="3"/>
      <c r="N771"/>
      <c r="O771" s="4"/>
      <c r="P771" s="1"/>
      <c r="Q771" s="22"/>
      <c r="R771"/>
      <c r="S771" s="11"/>
      <c r="T771" t="s">
        <v>67</v>
      </c>
      <c r="U771"/>
      <c r="V771" s="1"/>
      <c r="W771" s="1"/>
    </row>
    <row r="772" spans="2:23" x14ac:dyDescent="0.35">
      <c r="B772" s="4">
        <v>30007372</v>
      </c>
      <c r="C772" s="1" t="s">
        <v>806</v>
      </c>
      <c r="D772" s="4" t="s">
        <v>86</v>
      </c>
      <c r="E772" s="3" t="s">
        <v>1225</v>
      </c>
      <c r="F772" s="3" t="s">
        <v>102</v>
      </c>
      <c r="G772">
        <v>3</v>
      </c>
      <c r="H772" s="4">
        <v>2</v>
      </c>
      <c r="I772" s="4">
        <v>4</v>
      </c>
      <c r="J772" s="4" t="s">
        <v>8</v>
      </c>
      <c r="K772" s="4" t="s">
        <v>7</v>
      </c>
      <c r="L772" s="11"/>
      <c r="M772" s="3"/>
      <c r="N772"/>
      <c r="O772" s="4"/>
      <c r="P772" s="1"/>
      <c r="Q772" s="22"/>
      <c r="R772"/>
      <c r="S772" s="11"/>
      <c r="T772" t="s">
        <v>67</v>
      </c>
      <c r="U772"/>
      <c r="V772" s="1"/>
      <c r="W772" s="1"/>
    </row>
    <row r="773" spans="2:23" x14ac:dyDescent="0.35">
      <c r="B773" s="4">
        <v>30007378</v>
      </c>
      <c r="C773" s="1" t="s">
        <v>809</v>
      </c>
      <c r="D773" s="4" t="s">
        <v>86</v>
      </c>
      <c r="E773" s="3" t="s">
        <v>1225</v>
      </c>
      <c r="F773" s="3" t="s">
        <v>102</v>
      </c>
      <c r="G773">
        <v>3</v>
      </c>
      <c r="H773" s="4">
        <v>2</v>
      </c>
      <c r="I773" s="4">
        <v>4</v>
      </c>
      <c r="J773" s="4" t="s">
        <v>8</v>
      </c>
      <c r="K773" s="4" t="s">
        <v>7</v>
      </c>
      <c r="L773" s="11"/>
      <c r="M773" s="3"/>
      <c r="N773"/>
      <c r="O773" s="4"/>
      <c r="P773" s="1"/>
      <c r="Q773" s="22"/>
      <c r="R773"/>
      <c r="S773" s="11"/>
      <c r="T773" t="s">
        <v>67</v>
      </c>
      <c r="U773"/>
      <c r="V773" s="1"/>
      <c r="W773" s="1"/>
    </row>
    <row r="774" spans="2:23" x14ac:dyDescent="0.35">
      <c r="B774" s="4">
        <v>30007381</v>
      </c>
      <c r="C774" s="1" t="s">
        <v>811</v>
      </c>
      <c r="D774" s="4" t="s">
        <v>86</v>
      </c>
      <c r="E774" s="3"/>
      <c r="F774" s="3" t="s">
        <v>102</v>
      </c>
      <c r="G774">
        <v>2</v>
      </c>
      <c r="H774" s="4">
        <v>2</v>
      </c>
      <c r="I774" s="4">
        <v>3</v>
      </c>
      <c r="J774" s="4" t="s">
        <v>8</v>
      </c>
      <c r="K774" s="4" t="s">
        <v>7</v>
      </c>
      <c r="L774" s="11"/>
      <c r="M774" s="3"/>
      <c r="N774"/>
      <c r="O774" s="4"/>
      <c r="P774" s="1"/>
      <c r="Q774" s="22"/>
      <c r="R774"/>
      <c r="S774" s="11"/>
      <c r="T774" t="s">
        <v>71</v>
      </c>
      <c r="U774"/>
      <c r="V774" s="1"/>
      <c r="W774" s="1"/>
    </row>
    <row r="775" spans="2:23" x14ac:dyDescent="0.35">
      <c r="B775" s="4">
        <v>30007382</v>
      </c>
      <c r="C775" s="1" t="s">
        <v>1067</v>
      </c>
      <c r="D775" s="4" t="s">
        <v>86</v>
      </c>
      <c r="E775" s="3"/>
      <c r="F775" s="3" t="s">
        <v>102</v>
      </c>
      <c r="G775">
        <v>5</v>
      </c>
      <c r="H775" s="4">
        <v>4</v>
      </c>
      <c r="I775" s="4">
        <v>16</v>
      </c>
      <c r="J775" s="4" t="s">
        <v>8</v>
      </c>
      <c r="K775" s="4" t="s">
        <v>14</v>
      </c>
      <c r="L775" s="11"/>
      <c r="M775" s="3"/>
      <c r="N775"/>
      <c r="O775" s="4"/>
      <c r="P775" s="1"/>
      <c r="Q775" s="22"/>
      <c r="R775"/>
      <c r="S775" s="11"/>
      <c r="T775" t="s">
        <v>66</v>
      </c>
      <c r="U775"/>
      <c r="V775" s="1"/>
      <c r="W775" s="1"/>
    </row>
    <row r="776" spans="2:23" x14ac:dyDescent="0.35">
      <c r="B776" s="4">
        <v>30007383</v>
      </c>
      <c r="C776" s="1" t="s">
        <v>812</v>
      </c>
      <c r="D776" s="4" t="s">
        <v>86</v>
      </c>
      <c r="E776" s="3" t="s">
        <v>1225</v>
      </c>
      <c r="F776" s="3" t="s">
        <v>102</v>
      </c>
      <c r="G776">
        <v>3</v>
      </c>
      <c r="H776" s="4">
        <v>2</v>
      </c>
      <c r="I776" s="4">
        <v>6</v>
      </c>
      <c r="J776" s="4" t="s">
        <v>8</v>
      </c>
      <c r="K776" s="4" t="s">
        <v>14</v>
      </c>
      <c r="L776" s="11"/>
      <c r="M776" s="3"/>
      <c r="N776"/>
      <c r="O776" s="4"/>
      <c r="P776" s="1"/>
      <c r="Q776" s="22"/>
      <c r="R776"/>
      <c r="S776" s="11"/>
      <c r="T776" t="s">
        <v>66</v>
      </c>
      <c r="U776"/>
      <c r="V776" s="1"/>
      <c r="W776" s="1"/>
    </row>
    <row r="777" spans="2:23" x14ac:dyDescent="0.35">
      <c r="B777" s="4">
        <v>30007385</v>
      </c>
      <c r="C777" s="1" t="s">
        <v>813</v>
      </c>
      <c r="D777" s="4" t="s">
        <v>86</v>
      </c>
      <c r="E777" s="3"/>
      <c r="F777" s="3" t="s">
        <v>102</v>
      </c>
      <c r="G777">
        <v>5</v>
      </c>
      <c r="H777" s="4">
        <v>4</v>
      </c>
      <c r="I777" s="4">
        <v>23</v>
      </c>
      <c r="J777" s="4" t="s">
        <v>8</v>
      </c>
      <c r="K777" s="4" t="s">
        <v>14</v>
      </c>
      <c r="L777" s="11"/>
      <c r="M777" s="3"/>
      <c r="N777"/>
      <c r="O777" s="4"/>
      <c r="P777" s="1"/>
      <c r="Q777" s="22"/>
      <c r="R777"/>
      <c r="S777" s="11"/>
      <c r="T777" t="s">
        <v>66</v>
      </c>
      <c r="U777"/>
      <c r="V777" s="1"/>
      <c r="W777" s="1"/>
    </row>
    <row r="778" spans="2:23" x14ac:dyDescent="0.35">
      <c r="B778" s="4">
        <v>30007387</v>
      </c>
      <c r="C778" s="1" t="s">
        <v>815</v>
      </c>
      <c r="D778" s="4" t="s">
        <v>86</v>
      </c>
      <c r="E778" s="3"/>
      <c r="F778" s="3" t="s">
        <v>102</v>
      </c>
      <c r="G778">
        <v>3</v>
      </c>
      <c r="H778" s="4">
        <v>2</v>
      </c>
      <c r="I778" s="4">
        <v>0</v>
      </c>
      <c r="J778" s="4" t="s">
        <v>8</v>
      </c>
      <c r="K778" s="4" t="s">
        <v>13</v>
      </c>
      <c r="L778" s="11">
        <v>1002674290</v>
      </c>
      <c r="M778" s="3"/>
      <c r="N778">
        <v>4502715208</v>
      </c>
      <c r="O778" s="4">
        <v>2</v>
      </c>
      <c r="P778" s="1" t="s">
        <v>6902</v>
      </c>
      <c r="Q778" s="22">
        <v>46286</v>
      </c>
      <c r="R778"/>
      <c r="S778" s="11" t="s">
        <v>6858</v>
      </c>
      <c r="T778" t="s">
        <v>66</v>
      </c>
      <c r="U778"/>
      <c r="V778" s="1"/>
      <c r="W778" s="1"/>
    </row>
    <row r="779" spans="2:23" x14ac:dyDescent="0.35">
      <c r="B779" s="4">
        <v>30007388</v>
      </c>
      <c r="C779" s="1" t="s">
        <v>816</v>
      </c>
      <c r="D779" s="4" t="s">
        <v>86</v>
      </c>
      <c r="E779" s="3" t="s">
        <v>1225</v>
      </c>
      <c r="F779" s="3" t="s">
        <v>102</v>
      </c>
      <c r="G779">
        <v>3</v>
      </c>
      <c r="H779" s="4">
        <v>2</v>
      </c>
      <c r="I779" s="4">
        <v>6</v>
      </c>
      <c r="J779" s="4" t="s">
        <v>8</v>
      </c>
      <c r="K779" s="4" t="s">
        <v>14</v>
      </c>
      <c r="L779" s="11"/>
      <c r="M779" s="3"/>
      <c r="N779"/>
      <c r="O779" s="4"/>
      <c r="P779" s="1"/>
      <c r="Q779" s="22"/>
      <c r="R779"/>
      <c r="S779" s="11" t="s">
        <v>6881</v>
      </c>
      <c r="T779" t="s">
        <v>66</v>
      </c>
      <c r="U779"/>
      <c r="V779" s="1"/>
      <c r="W779" s="1"/>
    </row>
    <row r="780" spans="2:23" x14ac:dyDescent="0.35">
      <c r="B780" s="4">
        <v>30007390</v>
      </c>
      <c r="C780" s="1" t="s">
        <v>818</v>
      </c>
      <c r="D780" s="4" t="s">
        <v>86</v>
      </c>
      <c r="E780" s="3" t="s">
        <v>1225</v>
      </c>
      <c r="F780" s="3" t="s">
        <v>102</v>
      </c>
      <c r="G780">
        <v>3</v>
      </c>
      <c r="H780" s="4">
        <v>2</v>
      </c>
      <c r="I780" s="4">
        <v>0</v>
      </c>
      <c r="J780" s="4" t="s">
        <v>8</v>
      </c>
      <c r="K780" s="4" t="s">
        <v>13</v>
      </c>
      <c r="L780" s="11" t="s">
        <v>6896</v>
      </c>
      <c r="M780" s="3"/>
      <c r="N780"/>
      <c r="O780" s="4"/>
      <c r="P780" s="1"/>
      <c r="Q780" s="22"/>
      <c r="R780"/>
      <c r="S780" s="11" t="s">
        <v>6860</v>
      </c>
      <c r="T780" t="s">
        <v>67</v>
      </c>
      <c r="U780"/>
      <c r="V780" s="1"/>
      <c r="W780" s="1"/>
    </row>
    <row r="781" spans="2:23" x14ac:dyDescent="0.35">
      <c r="B781" s="4">
        <v>30007391</v>
      </c>
      <c r="C781" s="1" t="s">
        <v>819</v>
      </c>
      <c r="D781" s="4" t="s">
        <v>86</v>
      </c>
      <c r="E781" s="3" t="s">
        <v>1225</v>
      </c>
      <c r="F781" s="3" t="s">
        <v>102</v>
      </c>
      <c r="G781">
        <v>3</v>
      </c>
      <c r="H781" s="4">
        <v>2</v>
      </c>
      <c r="I781" s="4">
        <v>1</v>
      </c>
      <c r="J781" s="4" t="s">
        <v>8</v>
      </c>
      <c r="K781" s="4" t="s">
        <v>9</v>
      </c>
      <c r="L781" s="11" t="s">
        <v>6896</v>
      </c>
      <c r="M781" s="3"/>
      <c r="N781"/>
      <c r="O781" s="4"/>
      <c r="P781" s="1"/>
      <c r="Q781" s="22"/>
      <c r="R781"/>
      <c r="S781" s="11" t="s">
        <v>6860</v>
      </c>
      <c r="T781" t="s">
        <v>67</v>
      </c>
      <c r="U781"/>
      <c r="V781" s="1"/>
      <c r="W781" s="1"/>
    </row>
    <row r="782" spans="2:23" x14ac:dyDescent="0.35">
      <c r="B782" s="4">
        <v>30007394</v>
      </c>
      <c r="C782" s="1" t="s">
        <v>820</v>
      </c>
      <c r="D782" s="4" t="s">
        <v>86</v>
      </c>
      <c r="E782" s="3"/>
      <c r="F782" s="3" t="s">
        <v>102</v>
      </c>
      <c r="G782">
        <v>3</v>
      </c>
      <c r="H782" s="4">
        <v>2</v>
      </c>
      <c r="I782" s="4">
        <v>4</v>
      </c>
      <c r="J782" s="4" t="s">
        <v>8</v>
      </c>
      <c r="K782" s="4" t="s">
        <v>7</v>
      </c>
      <c r="L782" s="11"/>
      <c r="M782" s="3"/>
      <c r="N782"/>
      <c r="O782" s="4"/>
      <c r="P782" s="1"/>
      <c r="Q782" s="22"/>
      <c r="R782"/>
      <c r="S782" s="11"/>
      <c r="T782" t="s">
        <v>67</v>
      </c>
      <c r="U782"/>
      <c r="V782" s="1"/>
      <c r="W782" s="1"/>
    </row>
    <row r="783" spans="2:23" x14ac:dyDescent="0.35">
      <c r="B783" s="4">
        <v>30007398</v>
      </c>
      <c r="C783" s="1" t="s">
        <v>1068</v>
      </c>
      <c r="D783" s="4" t="s">
        <v>86</v>
      </c>
      <c r="E783" s="3"/>
      <c r="F783" s="3" t="s">
        <v>102</v>
      </c>
      <c r="G783">
        <v>5</v>
      </c>
      <c r="H783" s="4">
        <v>4</v>
      </c>
      <c r="I783" s="4">
        <v>18</v>
      </c>
      <c r="J783" s="4" t="s">
        <v>8</v>
      </c>
      <c r="K783" s="4" t="s">
        <v>14</v>
      </c>
      <c r="L783" s="11"/>
      <c r="M783" s="3"/>
      <c r="N783"/>
      <c r="O783" s="4"/>
      <c r="P783" s="1"/>
      <c r="Q783" s="22"/>
      <c r="R783"/>
      <c r="S783" s="11"/>
      <c r="T783" t="s">
        <v>66</v>
      </c>
      <c r="U783"/>
      <c r="V783" s="1"/>
      <c r="W783" s="1"/>
    </row>
    <row r="784" spans="2:23" x14ac:dyDescent="0.35">
      <c r="B784" s="4">
        <v>30007401</v>
      </c>
      <c r="C784" s="1" t="s">
        <v>1070</v>
      </c>
      <c r="D784" s="4" t="s">
        <v>86</v>
      </c>
      <c r="E784" s="3"/>
      <c r="F784" s="3" t="s">
        <v>102</v>
      </c>
      <c r="G784">
        <v>25</v>
      </c>
      <c r="H784" s="4">
        <v>24</v>
      </c>
      <c r="I784" s="4">
        <v>56</v>
      </c>
      <c r="J784" s="4" t="s">
        <v>8</v>
      </c>
      <c r="K784" s="4" t="s">
        <v>14</v>
      </c>
      <c r="L784" s="11"/>
      <c r="M784" s="3"/>
      <c r="N784"/>
      <c r="O784" s="4"/>
      <c r="P784" s="1"/>
      <c r="Q784" s="22"/>
      <c r="R784"/>
      <c r="S784" s="11"/>
      <c r="T784" t="s">
        <v>66</v>
      </c>
      <c r="U784"/>
      <c r="V784" s="1"/>
      <c r="W784" s="1"/>
    </row>
    <row r="785" spans="2:23" x14ac:dyDescent="0.35">
      <c r="B785" s="4">
        <v>30007402</v>
      </c>
      <c r="C785" s="1" t="s">
        <v>874</v>
      </c>
      <c r="D785" s="4" t="s">
        <v>86</v>
      </c>
      <c r="E785" s="3"/>
      <c r="F785" s="3" t="s">
        <v>102</v>
      </c>
      <c r="G785">
        <v>7</v>
      </c>
      <c r="H785" s="4">
        <v>6</v>
      </c>
      <c r="I785" s="4">
        <v>13</v>
      </c>
      <c r="J785" s="4" t="s">
        <v>8</v>
      </c>
      <c r="K785" s="4" t="s">
        <v>7</v>
      </c>
      <c r="L785" s="11"/>
      <c r="M785" s="3"/>
      <c r="N785"/>
      <c r="O785" s="4"/>
      <c r="P785" s="1"/>
      <c r="Q785" s="22"/>
      <c r="R785"/>
      <c r="S785" s="11"/>
      <c r="T785" t="s">
        <v>66</v>
      </c>
      <c r="U785"/>
      <c r="V785" s="1"/>
      <c r="W785" s="1"/>
    </row>
    <row r="786" spans="2:23" x14ac:dyDescent="0.35">
      <c r="B786" s="4">
        <v>30007403</v>
      </c>
      <c r="C786" s="1" t="s">
        <v>1417</v>
      </c>
      <c r="D786" s="4" t="s">
        <v>86</v>
      </c>
      <c r="E786" s="3" t="s">
        <v>1225</v>
      </c>
      <c r="F786" s="3" t="s">
        <v>102</v>
      </c>
      <c r="G786">
        <v>10</v>
      </c>
      <c r="H786" s="4">
        <v>10</v>
      </c>
      <c r="I786" s="4">
        <v>14</v>
      </c>
      <c r="J786" s="4" t="s">
        <v>8</v>
      </c>
      <c r="K786" s="4" t="s">
        <v>7</v>
      </c>
      <c r="L786" s="11"/>
      <c r="M786" s="3"/>
      <c r="N786"/>
      <c r="O786" s="4"/>
      <c r="P786" s="1"/>
      <c r="Q786" s="22"/>
      <c r="R786"/>
      <c r="S786" s="11"/>
      <c r="T786" t="s">
        <v>66</v>
      </c>
      <c r="U786"/>
      <c r="V786" s="1"/>
      <c r="W786" s="1"/>
    </row>
    <row r="787" spans="2:23" x14ac:dyDescent="0.35">
      <c r="B787" s="4">
        <v>30007404</v>
      </c>
      <c r="C787" s="1" t="s">
        <v>821</v>
      </c>
      <c r="D787" s="4" t="s">
        <v>86</v>
      </c>
      <c r="E787" s="3"/>
      <c r="F787" s="3" t="s">
        <v>102</v>
      </c>
      <c r="G787">
        <v>7</v>
      </c>
      <c r="H787" s="4">
        <v>6</v>
      </c>
      <c r="I787" s="4">
        <v>20</v>
      </c>
      <c r="J787" s="4" t="s">
        <v>8</v>
      </c>
      <c r="K787" s="4" t="s">
        <v>14</v>
      </c>
      <c r="L787" s="11"/>
      <c r="M787" s="3"/>
      <c r="N787"/>
      <c r="O787" s="4"/>
      <c r="P787" s="1"/>
      <c r="Q787" s="22"/>
      <c r="R787"/>
      <c r="S787" s="11"/>
      <c r="T787" t="s">
        <v>67</v>
      </c>
      <c r="U787"/>
      <c r="V787" s="1"/>
      <c r="W787" s="1"/>
    </row>
    <row r="788" spans="2:23" x14ac:dyDescent="0.35">
      <c r="B788" s="4">
        <v>30007405</v>
      </c>
      <c r="C788" s="1" t="s">
        <v>1470</v>
      </c>
      <c r="D788" s="4" t="s">
        <v>86</v>
      </c>
      <c r="E788" s="3" t="s">
        <v>1225</v>
      </c>
      <c r="F788" s="3" t="s">
        <v>102</v>
      </c>
      <c r="G788">
        <v>7</v>
      </c>
      <c r="H788" s="4">
        <v>6</v>
      </c>
      <c r="I788" s="4">
        <v>13</v>
      </c>
      <c r="J788" s="4" t="s">
        <v>8</v>
      </c>
      <c r="K788" s="4" t="s">
        <v>7</v>
      </c>
      <c r="L788" s="11"/>
      <c r="M788" s="3"/>
      <c r="N788"/>
      <c r="O788" s="4"/>
      <c r="P788" s="1"/>
      <c r="Q788" s="22"/>
      <c r="R788"/>
      <c r="S788" s="11"/>
      <c r="T788" t="s">
        <v>66</v>
      </c>
      <c r="U788"/>
      <c r="V788" s="1"/>
      <c r="W788" s="1"/>
    </row>
    <row r="789" spans="2:23" x14ac:dyDescent="0.35">
      <c r="B789" s="4">
        <v>30007406</v>
      </c>
      <c r="C789" s="1" t="s">
        <v>823</v>
      </c>
      <c r="D789" s="4" t="s">
        <v>86</v>
      </c>
      <c r="E789" s="3" t="s">
        <v>1225</v>
      </c>
      <c r="F789" s="3" t="s">
        <v>102</v>
      </c>
      <c r="G789">
        <v>3</v>
      </c>
      <c r="H789" s="4">
        <v>2</v>
      </c>
      <c r="I789" s="4">
        <v>2</v>
      </c>
      <c r="J789" s="4" t="s">
        <v>8</v>
      </c>
      <c r="K789" s="4" t="s">
        <v>9</v>
      </c>
      <c r="L789" s="11" t="s">
        <v>6896</v>
      </c>
      <c r="M789" s="3"/>
      <c r="N789"/>
      <c r="O789" s="4"/>
      <c r="P789" s="1"/>
      <c r="Q789" s="22"/>
      <c r="R789"/>
      <c r="S789" s="11" t="s">
        <v>6860</v>
      </c>
      <c r="T789" t="s">
        <v>67</v>
      </c>
      <c r="U789"/>
      <c r="V789" s="1"/>
      <c r="W789" s="1"/>
    </row>
    <row r="790" spans="2:23" x14ac:dyDescent="0.35">
      <c r="B790" s="4">
        <v>30007407</v>
      </c>
      <c r="C790" s="1" t="s">
        <v>824</v>
      </c>
      <c r="D790" s="4" t="s">
        <v>86</v>
      </c>
      <c r="E790" s="3" t="s">
        <v>1225</v>
      </c>
      <c r="F790" s="3" t="s">
        <v>102</v>
      </c>
      <c r="G790">
        <v>3</v>
      </c>
      <c r="H790" s="4">
        <v>2</v>
      </c>
      <c r="I790" s="4">
        <v>2</v>
      </c>
      <c r="J790" s="4" t="s">
        <v>8</v>
      </c>
      <c r="K790" s="4" t="s">
        <v>9</v>
      </c>
      <c r="L790" s="11" t="s">
        <v>6896</v>
      </c>
      <c r="M790" s="3"/>
      <c r="N790"/>
      <c r="O790" s="4"/>
      <c r="P790" s="1"/>
      <c r="Q790" s="22"/>
      <c r="R790"/>
      <c r="S790" s="11" t="s">
        <v>6860</v>
      </c>
      <c r="T790" t="s">
        <v>67</v>
      </c>
      <c r="U790"/>
      <c r="V790" s="1"/>
      <c r="W790" s="1"/>
    </row>
    <row r="791" spans="2:23" x14ac:dyDescent="0.35">
      <c r="B791" s="4">
        <v>30007411</v>
      </c>
      <c r="C791" s="1" t="s">
        <v>1104</v>
      </c>
      <c r="D791" s="4" t="s">
        <v>86</v>
      </c>
      <c r="E791" s="3"/>
      <c r="F791" s="3" t="s">
        <v>102</v>
      </c>
      <c r="G791">
        <v>49</v>
      </c>
      <c r="H791" s="4">
        <v>24</v>
      </c>
      <c r="I791" s="4">
        <v>54</v>
      </c>
      <c r="J791" s="4" t="s">
        <v>8</v>
      </c>
      <c r="K791" s="4" t="s">
        <v>7</v>
      </c>
      <c r="L791" s="11"/>
      <c r="M791" s="3"/>
      <c r="N791"/>
      <c r="O791" s="4"/>
      <c r="P791" s="1"/>
      <c r="Q791" s="22"/>
      <c r="R791"/>
      <c r="S791" s="11"/>
      <c r="T791" t="s">
        <v>71</v>
      </c>
      <c r="U791"/>
      <c r="V791" s="1"/>
      <c r="W791" s="1"/>
    </row>
    <row r="792" spans="2:23" x14ac:dyDescent="0.35">
      <c r="B792" s="4">
        <v>30007413</v>
      </c>
      <c r="C792" s="1" t="s">
        <v>1142</v>
      </c>
      <c r="D792" s="4" t="s">
        <v>86</v>
      </c>
      <c r="E792" s="3" t="s">
        <v>1225</v>
      </c>
      <c r="F792" s="3" t="s">
        <v>102</v>
      </c>
      <c r="G792">
        <v>24</v>
      </c>
      <c r="H792" s="4">
        <v>24</v>
      </c>
      <c r="I792" s="4">
        <v>25</v>
      </c>
      <c r="J792" s="4" t="s">
        <v>8</v>
      </c>
      <c r="K792" s="4" t="s">
        <v>7</v>
      </c>
      <c r="L792" s="11"/>
      <c r="M792" s="3"/>
      <c r="N792"/>
      <c r="O792" s="4"/>
      <c r="P792" s="1"/>
      <c r="Q792" s="22"/>
      <c r="R792"/>
      <c r="S792" s="11"/>
      <c r="T792" t="s">
        <v>66</v>
      </c>
      <c r="U792"/>
      <c r="V792" s="1"/>
      <c r="W792" s="1"/>
    </row>
    <row r="793" spans="2:23" x14ac:dyDescent="0.35">
      <c r="B793" s="4">
        <v>30007415</v>
      </c>
      <c r="C793" s="1" t="s">
        <v>1483</v>
      </c>
      <c r="D793" s="4" t="s">
        <v>86</v>
      </c>
      <c r="E793" s="3"/>
      <c r="F793" s="3" t="s">
        <v>102</v>
      </c>
      <c r="G793">
        <v>3</v>
      </c>
      <c r="H793" s="4">
        <v>2</v>
      </c>
      <c r="I793" s="4">
        <v>16</v>
      </c>
      <c r="J793" s="4" t="s">
        <v>8</v>
      </c>
      <c r="K793" s="4" t="s">
        <v>14</v>
      </c>
      <c r="L793" s="11"/>
      <c r="M793" s="3"/>
      <c r="N793"/>
      <c r="O793" s="4"/>
      <c r="P793" s="1"/>
      <c r="Q793" s="22"/>
      <c r="R793"/>
      <c r="S793" s="11"/>
      <c r="T793" t="s">
        <v>66</v>
      </c>
      <c r="U793"/>
      <c r="V793" s="1"/>
      <c r="W793" s="1"/>
    </row>
    <row r="794" spans="2:23" x14ac:dyDescent="0.35">
      <c r="B794" s="4">
        <v>30007419</v>
      </c>
      <c r="C794" s="1" t="s">
        <v>826</v>
      </c>
      <c r="D794" s="4" t="s">
        <v>86</v>
      </c>
      <c r="E794" s="3"/>
      <c r="F794" s="3" t="s">
        <v>102</v>
      </c>
      <c r="G794">
        <v>4</v>
      </c>
      <c r="H794" s="4">
        <v>3</v>
      </c>
      <c r="I794" s="4">
        <v>11</v>
      </c>
      <c r="J794" s="4" t="s">
        <v>8</v>
      </c>
      <c r="K794" s="4" t="s">
        <v>14</v>
      </c>
      <c r="L794" s="11"/>
      <c r="M794" s="3"/>
      <c r="N794"/>
      <c r="O794" s="4"/>
      <c r="P794" s="1"/>
      <c r="Q794" s="22"/>
      <c r="R794"/>
      <c r="S794" s="11"/>
      <c r="T794" t="s">
        <v>71</v>
      </c>
      <c r="U794"/>
      <c r="V794" s="1"/>
      <c r="W794" s="1"/>
    </row>
    <row r="795" spans="2:23" x14ac:dyDescent="0.35">
      <c r="B795" s="4">
        <v>30007424</v>
      </c>
      <c r="C795" s="1" t="s">
        <v>828</v>
      </c>
      <c r="D795" s="4" t="s">
        <v>86</v>
      </c>
      <c r="E795" s="3" t="s">
        <v>1225</v>
      </c>
      <c r="F795" s="3" t="s">
        <v>102</v>
      </c>
      <c r="G795">
        <v>4</v>
      </c>
      <c r="H795" s="4">
        <v>3</v>
      </c>
      <c r="I795" s="4">
        <v>1</v>
      </c>
      <c r="J795" s="4" t="s">
        <v>8</v>
      </c>
      <c r="K795" s="4" t="s">
        <v>9</v>
      </c>
      <c r="L795" s="11" t="s">
        <v>6896</v>
      </c>
      <c r="M795" s="3"/>
      <c r="N795"/>
      <c r="O795" s="4"/>
      <c r="P795" s="1"/>
      <c r="Q795" s="22"/>
      <c r="R795"/>
      <c r="S795" s="11" t="s">
        <v>6860</v>
      </c>
      <c r="T795" t="s">
        <v>67</v>
      </c>
      <c r="U795"/>
      <c r="V795" s="1"/>
      <c r="W795" s="1"/>
    </row>
    <row r="796" spans="2:23" x14ac:dyDescent="0.35">
      <c r="B796" s="4">
        <v>30007426</v>
      </c>
      <c r="C796" s="1" t="s">
        <v>1105</v>
      </c>
      <c r="D796" s="4" t="s">
        <v>86</v>
      </c>
      <c r="E796" s="3"/>
      <c r="F796" s="3" t="s">
        <v>102</v>
      </c>
      <c r="G796">
        <v>37</v>
      </c>
      <c r="H796" s="4">
        <v>18</v>
      </c>
      <c r="I796" s="4">
        <v>54</v>
      </c>
      <c r="J796" s="4" t="s">
        <v>8</v>
      </c>
      <c r="K796" s="4" t="s">
        <v>7</v>
      </c>
      <c r="L796" s="11"/>
      <c r="M796" s="3"/>
      <c r="N796"/>
      <c r="O796" s="4"/>
      <c r="P796" s="1"/>
      <c r="Q796" s="22"/>
      <c r="R796"/>
      <c r="S796" s="11"/>
      <c r="T796" t="s">
        <v>71</v>
      </c>
      <c r="U796"/>
      <c r="V796" s="1"/>
      <c r="W796" s="1"/>
    </row>
    <row r="797" spans="2:23" x14ac:dyDescent="0.35">
      <c r="B797" s="4">
        <v>30007431</v>
      </c>
      <c r="C797" s="1" t="s">
        <v>831</v>
      </c>
      <c r="D797" s="4" t="s">
        <v>86</v>
      </c>
      <c r="E797" s="3" t="s">
        <v>1225</v>
      </c>
      <c r="F797" s="3" t="s">
        <v>102</v>
      </c>
      <c r="G797">
        <v>3</v>
      </c>
      <c r="H797" s="4">
        <v>2</v>
      </c>
      <c r="I797" s="4">
        <v>5</v>
      </c>
      <c r="J797" s="4" t="s">
        <v>8</v>
      </c>
      <c r="K797" s="4" t="s">
        <v>7</v>
      </c>
      <c r="L797" s="11"/>
      <c r="M797" s="3"/>
      <c r="N797"/>
      <c r="O797" s="4"/>
      <c r="P797" s="1"/>
      <c r="Q797" s="22"/>
      <c r="R797"/>
      <c r="S797" s="11"/>
      <c r="T797" t="s">
        <v>66</v>
      </c>
      <c r="U797"/>
      <c r="V797" s="1"/>
      <c r="W797" s="1"/>
    </row>
    <row r="798" spans="2:23" x14ac:dyDescent="0.35">
      <c r="B798" s="4">
        <v>30007432</v>
      </c>
      <c r="C798" s="1" t="s">
        <v>832</v>
      </c>
      <c r="D798" s="4" t="s">
        <v>86</v>
      </c>
      <c r="E798" s="3" t="s">
        <v>1225</v>
      </c>
      <c r="F798" s="3" t="s">
        <v>102</v>
      </c>
      <c r="G798">
        <v>3</v>
      </c>
      <c r="H798" s="4">
        <v>2</v>
      </c>
      <c r="I798" s="4">
        <v>15</v>
      </c>
      <c r="J798" s="4" t="s">
        <v>8</v>
      </c>
      <c r="K798" s="4" t="s">
        <v>14</v>
      </c>
      <c r="L798" s="11"/>
      <c r="M798" s="3"/>
      <c r="N798"/>
      <c r="O798" s="4"/>
      <c r="P798" s="1"/>
      <c r="Q798" s="22"/>
      <c r="R798"/>
      <c r="S798" s="11"/>
      <c r="T798" t="s">
        <v>67</v>
      </c>
      <c r="U798"/>
      <c r="V798" s="1"/>
      <c r="W798" s="1"/>
    </row>
    <row r="799" spans="2:23" x14ac:dyDescent="0.35">
      <c r="B799" s="4">
        <v>30007433</v>
      </c>
      <c r="C799" s="1" t="s">
        <v>833</v>
      </c>
      <c r="D799" s="4" t="s">
        <v>86</v>
      </c>
      <c r="E799" s="3"/>
      <c r="F799" s="3" t="s">
        <v>102</v>
      </c>
      <c r="G799">
        <v>4</v>
      </c>
      <c r="H799" s="4">
        <v>4</v>
      </c>
      <c r="I799" s="4">
        <v>7</v>
      </c>
      <c r="J799" s="4" t="s">
        <v>8</v>
      </c>
      <c r="K799" s="4" t="s">
        <v>7</v>
      </c>
      <c r="L799" s="11"/>
      <c r="M799" s="3"/>
      <c r="N799"/>
      <c r="O799" s="4"/>
      <c r="P799" s="1"/>
      <c r="Q799" s="22"/>
      <c r="R799"/>
      <c r="S799" s="11"/>
      <c r="T799" t="s">
        <v>66</v>
      </c>
      <c r="U799"/>
      <c r="V799" s="1"/>
      <c r="W799" s="1"/>
    </row>
    <row r="800" spans="2:23" x14ac:dyDescent="0.35">
      <c r="B800" s="4">
        <v>30007434</v>
      </c>
      <c r="C800" s="1" t="s">
        <v>834</v>
      </c>
      <c r="D800" s="4" t="s">
        <v>86</v>
      </c>
      <c r="E800" s="3"/>
      <c r="F800" s="3" t="s">
        <v>102</v>
      </c>
      <c r="G800">
        <v>3</v>
      </c>
      <c r="H800" s="4">
        <v>2</v>
      </c>
      <c r="I800" s="4">
        <v>7</v>
      </c>
      <c r="J800" s="4" t="s">
        <v>8</v>
      </c>
      <c r="K800" s="4" t="s">
        <v>14</v>
      </c>
      <c r="L800" s="11"/>
      <c r="M800" s="3"/>
      <c r="N800"/>
      <c r="O800" s="4"/>
      <c r="P800" s="1"/>
      <c r="Q800" s="22"/>
      <c r="R800"/>
      <c r="S800" s="11"/>
      <c r="T800" t="s">
        <v>66</v>
      </c>
      <c r="U800"/>
      <c r="V800" s="1"/>
      <c r="W800" s="1"/>
    </row>
    <row r="801" spans="2:23" x14ac:dyDescent="0.35">
      <c r="B801" s="4">
        <v>30007435</v>
      </c>
      <c r="C801" s="1" t="s">
        <v>835</v>
      </c>
      <c r="D801" s="4" t="s">
        <v>86</v>
      </c>
      <c r="E801" s="3" t="s">
        <v>1225</v>
      </c>
      <c r="F801" s="3" t="s">
        <v>102</v>
      </c>
      <c r="G801">
        <v>4</v>
      </c>
      <c r="H801" s="4">
        <v>4</v>
      </c>
      <c r="I801" s="4">
        <v>5</v>
      </c>
      <c r="J801" s="4" t="s">
        <v>8</v>
      </c>
      <c r="K801" s="4" t="s">
        <v>7</v>
      </c>
      <c r="L801" s="11"/>
      <c r="M801" s="3"/>
      <c r="N801"/>
      <c r="O801" s="4"/>
      <c r="P801" s="1"/>
      <c r="Q801" s="22"/>
      <c r="R801"/>
      <c r="S801" s="11"/>
      <c r="T801" t="s">
        <v>66</v>
      </c>
      <c r="U801"/>
      <c r="V801" s="1"/>
      <c r="W801" s="1"/>
    </row>
    <row r="802" spans="2:23" x14ac:dyDescent="0.35">
      <c r="B802" s="4">
        <v>30007436</v>
      </c>
      <c r="C802" s="1" t="s">
        <v>836</v>
      </c>
      <c r="D802" s="4" t="s">
        <v>86</v>
      </c>
      <c r="E802" s="3" t="s">
        <v>1225</v>
      </c>
      <c r="F802" s="3" t="s">
        <v>102</v>
      </c>
      <c r="G802">
        <v>3</v>
      </c>
      <c r="H802" s="4">
        <v>2</v>
      </c>
      <c r="I802" s="4">
        <v>5</v>
      </c>
      <c r="J802" s="4" t="s">
        <v>8</v>
      </c>
      <c r="K802" s="4" t="s">
        <v>7</v>
      </c>
      <c r="L802" s="11"/>
      <c r="M802" s="3"/>
      <c r="N802"/>
      <c r="O802" s="4"/>
      <c r="P802" s="1"/>
      <c r="Q802" s="22"/>
      <c r="R802"/>
      <c r="S802" s="11"/>
      <c r="T802" t="s">
        <v>66</v>
      </c>
      <c r="U802"/>
      <c r="V802" s="1"/>
      <c r="W802" s="1"/>
    </row>
    <row r="803" spans="2:23" x14ac:dyDescent="0.35">
      <c r="B803" s="4">
        <v>30007440</v>
      </c>
      <c r="C803" s="1" t="s">
        <v>838</v>
      </c>
      <c r="D803" s="4" t="s">
        <v>86</v>
      </c>
      <c r="E803" s="3" t="s">
        <v>1225</v>
      </c>
      <c r="F803" s="3" t="s">
        <v>102</v>
      </c>
      <c r="G803">
        <v>2</v>
      </c>
      <c r="H803" s="4">
        <v>2</v>
      </c>
      <c r="I803" s="4">
        <v>0</v>
      </c>
      <c r="J803" s="4" t="s">
        <v>8</v>
      </c>
      <c r="K803" s="4" t="s">
        <v>13</v>
      </c>
      <c r="L803" s="11" t="s">
        <v>6896</v>
      </c>
      <c r="M803" s="3"/>
      <c r="N803"/>
      <c r="O803" s="4"/>
      <c r="P803" s="1"/>
      <c r="Q803" s="22"/>
      <c r="R803"/>
      <c r="S803" s="11" t="s">
        <v>6860</v>
      </c>
      <c r="T803" t="s">
        <v>67</v>
      </c>
      <c r="U803"/>
      <c r="V803" s="1"/>
      <c r="W803" s="1"/>
    </row>
    <row r="804" spans="2:23" x14ac:dyDescent="0.35">
      <c r="B804" s="4">
        <v>30007441</v>
      </c>
      <c r="C804" s="1" t="s">
        <v>839</v>
      </c>
      <c r="D804" s="4" t="s">
        <v>86</v>
      </c>
      <c r="E804" s="3" t="s">
        <v>1225</v>
      </c>
      <c r="F804" s="3" t="s">
        <v>102</v>
      </c>
      <c r="G804">
        <v>2</v>
      </c>
      <c r="H804" s="4">
        <v>2</v>
      </c>
      <c r="I804" s="4">
        <v>1</v>
      </c>
      <c r="J804" s="4" t="s">
        <v>8</v>
      </c>
      <c r="K804" s="4" t="s">
        <v>9</v>
      </c>
      <c r="L804" s="11" t="s">
        <v>6896</v>
      </c>
      <c r="M804" s="3"/>
      <c r="N804"/>
      <c r="O804" s="4"/>
      <c r="P804" s="1"/>
      <c r="Q804" s="22"/>
      <c r="R804"/>
      <c r="S804" s="11" t="s">
        <v>6860</v>
      </c>
      <c r="T804" t="s">
        <v>67</v>
      </c>
      <c r="U804"/>
      <c r="V804" s="1"/>
      <c r="W804" s="1"/>
    </row>
    <row r="805" spans="2:23" x14ac:dyDescent="0.35">
      <c r="B805" s="4">
        <v>30007443</v>
      </c>
      <c r="C805" s="1" t="s">
        <v>840</v>
      </c>
      <c r="D805" s="4" t="s">
        <v>86</v>
      </c>
      <c r="E805" s="3"/>
      <c r="F805" s="3" t="s">
        <v>102</v>
      </c>
      <c r="G805">
        <v>2</v>
      </c>
      <c r="H805" s="4">
        <v>2</v>
      </c>
      <c r="I805" s="4">
        <v>2</v>
      </c>
      <c r="J805" s="4" t="s">
        <v>8</v>
      </c>
      <c r="K805" s="4" t="s">
        <v>7</v>
      </c>
      <c r="L805" s="11"/>
      <c r="M805" s="3"/>
      <c r="N805"/>
      <c r="O805" s="4"/>
      <c r="P805" s="1"/>
      <c r="Q805" s="22"/>
      <c r="R805"/>
      <c r="S805" s="11" t="s">
        <v>6882</v>
      </c>
      <c r="T805" t="s">
        <v>67</v>
      </c>
      <c r="U805"/>
      <c r="V805" s="1"/>
      <c r="W805" s="1"/>
    </row>
    <row r="806" spans="2:23" x14ac:dyDescent="0.35">
      <c r="B806" s="4">
        <v>30007444</v>
      </c>
      <c r="C806" s="1" t="s">
        <v>841</v>
      </c>
      <c r="D806" s="4" t="s">
        <v>86</v>
      </c>
      <c r="E806" s="3" t="s">
        <v>1225</v>
      </c>
      <c r="F806" s="3" t="s">
        <v>102</v>
      </c>
      <c r="G806">
        <v>2</v>
      </c>
      <c r="H806" s="4">
        <v>2</v>
      </c>
      <c r="I806" s="4">
        <v>1</v>
      </c>
      <c r="J806" s="4" t="s">
        <v>8</v>
      </c>
      <c r="K806" s="4" t="s">
        <v>9</v>
      </c>
      <c r="L806" s="11" t="s">
        <v>6896</v>
      </c>
      <c r="M806" s="3"/>
      <c r="N806"/>
      <c r="O806" s="4"/>
      <c r="P806" s="1"/>
      <c r="Q806" s="22"/>
      <c r="R806"/>
      <c r="S806" s="11" t="s">
        <v>6860</v>
      </c>
      <c r="T806" t="s">
        <v>67</v>
      </c>
      <c r="U806"/>
      <c r="V806" s="1"/>
      <c r="W806" s="1"/>
    </row>
    <row r="807" spans="2:23" x14ac:dyDescent="0.35">
      <c r="B807" s="4">
        <v>30008076</v>
      </c>
      <c r="C807" s="1" t="s">
        <v>1287</v>
      </c>
      <c r="D807" s="4" t="s">
        <v>86</v>
      </c>
      <c r="E807" s="3"/>
      <c r="F807" s="3" t="s">
        <v>68</v>
      </c>
      <c r="G807">
        <v>2</v>
      </c>
      <c r="H807" s="4">
        <v>4</v>
      </c>
      <c r="I807" s="4">
        <v>9</v>
      </c>
      <c r="J807" s="4" t="s">
        <v>8</v>
      </c>
      <c r="K807" s="4" t="s">
        <v>14</v>
      </c>
      <c r="L807" s="11"/>
      <c r="M807" s="3"/>
      <c r="N807"/>
      <c r="O807" s="4"/>
      <c r="P807" s="1"/>
      <c r="Q807" s="22"/>
      <c r="R807"/>
      <c r="S807" s="11"/>
      <c r="T807" t="s">
        <v>71</v>
      </c>
      <c r="U807"/>
      <c r="V807" s="1"/>
      <c r="W807" s="1"/>
    </row>
    <row r="808" spans="2:23" x14ac:dyDescent="0.35">
      <c r="B808" s="4">
        <v>30008142</v>
      </c>
      <c r="C808" s="1" t="s">
        <v>529</v>
      </c>
      <c r="D808" s="4" t="s">
        <v>86</v>
      </c>
      <c r="E808" s="75"/>
      <c r="F808" s="3" t="s">
        <v>68</v>
      </c>
      <c r="G808">
        <v>1</v>
      </c>
      <c r="H808" s="4">
        <v>1</v>
      </c>
      <c r="I808" s="4">
        <v>2</v>
      </c>
      <c r="J808" s="4" t="s">
        <v>8</v>
      </c>
      <c r="K808" s="4" t="s">
        <v>7</v>
      </c>
      <c r="L808" s="11"/>
      <c r="M808" s="3"/>
      <c r="N808"/>
      <c r="O808" s="4"/>
      <c r="P808" s="1"/>
      <c r="Q808" s="22"/>
      <c r="R808"/>
      <c r="S808" s="11"/>
      <c r="T808" t="s">
        <v>71</v>
      </c>
      <c r="U808"/>
      <c r="V808" s="1"/>
      <c r="W808" s="1"/>
    </row>
    <row r="809" spans="2:23" x14ac:dyDescent="0.35">
      <c r="B809" s="4">
        <v>30008160</v>
      </c>
      <c r="C809" s="1" t="s">
        <v>1306</v>
      </c>
      <c r="D809" s="4" t="s">
        <v>86</v>
      </c>
      <c r="E809" s="3"/>
      <c r="F809" s="3" t="s">
        <v>68</v>
      </c>
      <c r="G809">
        <v>2</v>
      </c>
      <c r="H809" s="4">
        <v>4</v>
      </c>
      <c r="I809" s="4">
        <v>5</v>
      </c>
      <c r="J809" s="4" t="s">
        <v>8</v>
      </c>
      <c r="K809" s="4" t="s">
        <v>7</v>
      </c>
      <c r="L809" s="11"/>
      <c r="M809" s="67"/>
      <c r="N809"/>
      <c r="O809" s="4"/>
      <c r="P809" s="1"/>
      <c r="Q809" s="22"/>
      <c r="R809"/>
      <c r="S809" s="11"/>
      <c r="T809" t="s">
        <v>70</v>
      </c>
      <c r="U809"/>
      <c r="V809" s="1"/>
      <c r="W809" s="1"/>
    </row>
    <row r="810" spans="2:23" x14ac:dyDescent="0.35">
      <c r="B810" s="4">
        <v>30008313</v>
      </c>
      <c r="C810" s="1" t="s">
        <v>1021</v>
      </c>
      <c r="D810" s="4" t="s">
        <v>86</v>
      </c>
      <c r="E810" s="3"/>
      <c r="F810" s="3" t="s">
        <v>68</v>
      </c>
      <c r="G810">
        <v>24</v>
      </c>
      <c r="H810" s="4">
        <v>12</v>
      </c>
      <c r="I810" s="4">
        <v>196</v>
      </c>
      <c r="J810" s="4" t="s">
        <v>8</v>
      </c>
      <c r="K810" s="4" t="s">
        <v>14</v>
      </c>
      <c r="L810" s="11"/>
      <c r="M810" s="3"/>
      <c r="N810"/>
      <c r="O810" s="4"/>
      <c r="P810" s="1"/>
      <c r="Q810" s="22"/>
      <c r="R810"/>
      <c r="S810" s="11"/>
      <c r="T810" t="s">
        <v>70</v>
      </c>
      <c r="U810"/>
      <c r="V810" s="1"/>
      <c r="W810" s="1"/>
    </row>
    <row r="811" spans="2:23" x14ac:dyDescent="0.35">
      <c r="B811" s="4">
        <v>30008329</v>
      </c>
      <c r="C811" s="1" t="s">
        <v>530</v>
      </c>
      <c r="D811" s="4" t="s">
        <v>86</v>
      </c>
      <c r="E811" s="3"/>
      <c r="F811" s="3" t="s">
        <v>68</v>
      </c>
      <c r="G811">
        <v>2</v>
      </c>
      <c r="H811" s="4">
        <v>4</v>
      </c>
      <c r="I811" s="4">
        <v>5</v>
      </c>
      <c r="J811" s="4" t="s">
        <v>8</v>
      </c>
      <c r="K811" s="4" t="s">
        <v>7</v>
      </c>
      <c r="L811" s="11"/>
      <c r="M811" s="3"/>
      <c r="N811"/>
      <c r="O811" s="4"/>
      <c r="P811" s="1"/>
      <c r="Q811" s="22"/>
      <c r="R811"/>
      <c r="S811" s="11"/>
      <c r="T811" t="s">
        <v>70</v>
      </c>
      <c r="U811"/>
      <c r="V811" s="1"/>
      <c r="W811" s="1"/>
    </row>
    <row r="812" spans="2:23" x14ac:dyDescent="0.35">
      <c r="B812" s="4">
        <v>30008485</v>
      </c>
      <c r="C812" s="1" t="s">
        <v>531</v>
      </c>
      <c r="D812" s="4" t="s">
        <v>86</v>
      </c>
      <c r="E812" s="3"/>
      <c r="F812" s="3" t="s">
        <v>68</v>
      </c>
      <c r="G812">
        <v>6</v>
      </c>
      <c r="H812" s="4">
        <v>4</v>
      </c>
      <c r="I812" s="4">
        <v>3</v>
      </c>
      <c r="J812" s="4" t="s">
        <v>8</v>
      </c>
      <c r="K812" s="4" t="s">
        <v>9</v>
      </c>
      <c r="L812" s="11"/>
      <c r="M812" s="3"/>
      <c r="N812">
        <v>4502711049</v>
      </c>
      <c r="O812" s="4">
        <v>4</v>
      </c>
      <c r="P812" s="1" t="s">
        <v>6850</v>
      </c>
      <c r="Q812" s="22">
        <v>46268</v>
      </c>
      <c r="R812"/>
      <c r="S812" s="11"/>
      <c r="T812" t="s">
        <v>70</v>
      </c>
      <c r="U812"/>
      <c r="V812" s="1"/>
      <c r="W812" s="1"/>
    </row>
    <row r="813" spans="2:23" x14ac:dyDescent="0.35">
      <c r="B813" s="4">
        <v>30008505</v>
      </c>
      <c r="C813" s="1" t="s">
        <v>875</v>
      </c>
      <c r="D813" s="4" t="s">
        <v>86</v>
      </c>
      <c r="E813" s="3"/>
      <c r="F813" s="3" t="s">
        <v>102</v>
      </c>
      <c r="G813">
        <v>2</v>
      </c>
      <c r="H813" s="4">
        <v>2</v>
      </c>
      <c r="I813" s="4">
        <v>3</v>
      </c>
      <c r="J813" s="4" t="s">
        <v>8</v>
      </c>
      <c r="K813" s="4" t="s">
        <v>7</v>
      </c>
      <c r="L813" s="11"/>
      <c r="M813" s="3"/>
      <c r="N813"/>
      <c r="O813" s="4"/>
      <c r="P813" s="1"/>
      <c r="Q813" s="22"/>
      <c r="R813"/>
      <c r="S813" s="11" t="s">
        <v>6862</v>
      </c>
      <c r="T813" t="s">
        <v>67</v>
      </c>
      <c r="U813"/>
      <c r="V813" s="1"/>
      <c r="W813" s="1"/>
    </row>
    <row r="814" spans="2:23" x14ac:dyDescent="0.35">
      <c r="B814" s="4">
        <v>30008549</v>
      </c>
      <c r="C814" s="1" t="s">
        <v>1456</v>
      </c>
      <c r="D814" s="4" t="s">
        <v>86</v>
      </c>
      <c r="E814" s="3"/>
      <c r="F814" s="3" t="s">
        <v>68</v>
      </c>
      <c r="G814">
        <v>4</v>
      </c>
      <c r="H814" s="4">
        <v>2</v>
      </c>
      <c r="I814" s="4">
        <v>7</v>
      </c>
      <c r="J814" s="4" t="s">
        <v>8</v>
      </c>
      <c r="K814" s="4" t="s">
        <v>14</v>
      </c>
      <c r="L814" s="11"/>
      <c r="M814" s="3"/>
      <c r="N814"/>
      <c r="O814" s="4"/>
      <c r="P814" s="1"/>
      <c r="Q814" s="22"/>
      <c r="R814"/>
      <c r="S814" s="11"/>
      <c r="T814" t="s">
        <v>70</v>
      </c>
      <c r="U814"/>
      <c r="V814" s="1"/>
      <c r="W814" s="1"/>
    </row>
    <row r="815" spans="2:23" x14ac:dyDescent="0.35">
      <c r="B815" s="4">
        <v>30008605</v>
      </c>
      <c r="C815" s="1" t="s">
        <v>1307</v>
      </c>
      <c r="D815" s="4" t="s">
        <v>86</v>
      </c>
      <c r="E815" s="3"/>
      <c r="F815" s="3" t="s">
        <v>68</v>
      </c>
      <c r="G815">
        <v>24</v>
      </c>
      <c r="H815" s="4">
        <v>8</v>
      </c>
      <c r="I815" s="4">
        <v>0</v>
      </c>
      <c r="J815" s="4" t="s">
        <v>8</v>
      </c>
      <c r="K815" s="4" t="s">
        <v>13</v>
      </c>
      <c r="L815" s="11"/>
      <c r="M815" s="3"/>
      <c r="N815">
        <v>4502711054</v>
      </c>
      <c r="O815" s="4">
        <v>9</v>
      </c>
      <c r="P815" s="1" t="s">
        <v>1452</v>
      </c>
      <c r="Q815" s="22">
        <v>46268</v>
      </c>
      <c r="R815"/>
      <c r="S815" s="11"/>
      <c r="T815" t="s">
        <v>70</v>
      </c>
      <c r="U815"/>
      <c r="V815" s="1"/>
      <c r="W815" s="1"/>
    </row>
    <row r="816" spans="2:23" x14ac:dyDescent="0.35">
      <c r="B816" s="4">
        <v>30008607</v>
      </c>
      <c r="C816" s="1" t="s">
        <v>1308</v>
      </c>
      <c r="D816" s="4" t="s">
        <v>86</v>
      </c>
      <c r="E816" s="3"/>
      <c r="F816" s="3" t="s">
        <v>68</v>
      </c>
      <c r="G816">
        <v>16</v>
      </c>
      <c r="H816" s="4">
        <v>20</v>
      </c>
      <c r="I816" s="4">
        <v>22</v>
      </c>
      <c r="J816" s="4" t="s">
        <v>8</v>
      </c>
      <c r="K816" s="4" t="s">
        <v>7</v>
      </c>
      <c r="L816" s="11"/>
      <c r="M816" s="3"/>
      <c r="N816"/>
      <c r="O816" s="4"/>
      <c r="P816" s="1"/>
      <c r="Q816" s="22"/>
      <c r="R816"/>
      <c r="S816" s="11"/>
      <c r="T816" t="s">
        <v>71</v>
      </c>
      <c r="U816"/>
      <c r="V816" s="1"/>
      <c r="W816" s="1"/>
    </row>
    <row r="817" spans="2:23" x14ac:dyDescent="0.35">
      <c r="B817" s="4">
        <v>30008657</v>
      </c>
      <c r="C817" s="1" t="s">
        <v>532</v>
      </c>
      <c r="D817" s="4" t="s">
        <v>86</v>
      </c>
      <c r="E817" s="3"/>
      <c r="F817" s="3" t="s">
        <v>68</v>
      </c>
      <c r="G817">
        <v>10</v>
      </c>
      <c r="H817" s="4">
        <v>10</v>
      </c>
      <c r="I817" s="4">
        <v>11</v>
      </c>
      <c r="J817" s="4" t="s">
        <v>8</v>
      </c>
      <c r="K817" s="4" t="s">
        <v>7</v>
      </c>
      <c r="L817" s="11"/>
      <c r="M817" s="3"/>
      <c r="N817"/>
      <c r="O817" s="4"/>
      <c r="P817" s="1"/>
      <c r="Q817" s="22"/>
      <c r="R817"/>
      <c r="S817" s="11" t="s">
        <v>6883</v>
      </c>
      <c r="T817" t="s">
        <v>66</v>
      </c>
      <c r="U817"/>
      <c r="V817" s="1"/>
      <c r="W817" s="1"/>
    </row>
    <row r="818" spans="2:23" x14ac:dyDescent="0.35">
      <c r="B818" s="4">
        <v>30008658</v>
      </c>
      <c r="C818" s="1" t="s">
        <v>533</v>
      </c>
      <c r="D818" s="4" t="s">
        <v>86</v>
      </c>
      <c r="E818" s="3"/>
      <c r="F818" s="3" t="s">
        <v>68</v>
      </c>
      <c r="G818">
        <v>4</v>
      </c>
      <c r="H818" s="4">
        <v>4</v>
      </c>
      <c r="I818" s="4">
        <v>4</v>
      </c>
      <c r="J818" s="4" t="s">
        <v>8</v>
      </c>
      <c r="K818" s="4" t="s">
        <v>7</v>
      </c>
      <c r="L818" s="11"/>
      <c r="M818" s="3"/>
      <c r="N818"/>
      <c r="O818" s="4"/>
      <c r="P818" s="1"/>
      <c r="Q818" s="22"/>
      <c r="R818"/>
      <c r="S818" s="11"/>
      <c r="T818" t="s">
        <v>71</v>
      </c>
      <c r="U818"/>
      <c r="V818" s="1"/>
      <c r="W818" s="1"/>
    </row>
    <row r="819" spans="2:23" x14ac:dyDescent="0.35">
      <c r="B819" s="4">
        <v>30008665</v>
      </c>
      <c r="C819" s="1" t="s">
        <v>842</v>
      </c>
      <c r="D819" s="4" t="s">
        <v>86</v>
      </c>
      <c r="E819" s="3"/>
      <c r="F819" s="3" t="s">
        <v>102</v>
      </c>
      <c r="G819">
        <v>100</v>
      </c>
      <c r="H819" s="4">
        <v>200</v>
      </c>
      <c r="I819" s="4">
        <v>129</v>
      </c>
      <c r="J819" s="4" t="s">
        <v>8</v>
      </c>
      <c r="K819" s="4" t="s">
        <v>7</v>
      </c>
      <c r="L819" s="11"/>
      <c r="M819" s="3"/>
      <c r="N819"/>
      <c r="O819" s="4"/>
      <c r="P819" s="1"/>
      <c r="Q819" s="22"/>
      <c r="R819"/>
      <c r="S819" s="11"/>
      <c r="T819" t="s">
        <v>71</v>
      </c>
      <c r="U819"/>
      <c r="V819" s="1"/>
      <c r="W819" s="1"/>
    </row>
    <row r="820" spans="2:23" x14ac:dyDescent="0.35">
      <c r="B820" s="4">
        <v>30008666</v>
      </c>
      <c r="C820" s="1" t="s">
        <v>843</v>
      </c>
      <c r="D820" s="4" t="s">
        <v>86</v>
      </c>
      <c r="E820" s="3"/>
      <c r="F820" s="3" t="s">
        <v>102</v>
      </c>
      <c r="G820">
        <v>600</v>
      </c>
      <c r="H820" s="4">
        <v>700</v>
      </c>
      <c r="I820" s="4">
        <v>950</v>
      </c>
      <c r="J820" s="4" t="s">
        <v>8</v>
      </c>
      <c r="K820" s="4" t="s">
        <v>7</v>
      </c>
      <c r="L820" s="11"/>
      <c r="M820" s="3"/>
      <c r="N820"/>
      <c r="O820" s="4"/>
      <c r="P820" s="1"/>
      <c r="Q820" s="22"/>
      <c r="R820"/>
      <c r="S820" s="11"/>
      <c r="T820" t="s">
        <v>71</v>
      </c>
      <c r="U820"/>
      <c r="V820" s="1"/>
      <c r="W820" s="1"/>
    </row>
    <row r="821" spans="2:23" x14ac:dyDescent="0.35">
      <c r="B821" s="4">
        <v>30008667</v>
      </c>
      <c r="C821" s="1" t="s">
        <v>876</v>
      </c>
      <c r="D821" s="4" t="s">
        <v>86</v>
      </c>
      <c r="E821" s="3" t="s">
        <v>1225</v>
      </c>
      <c r="F821" s="3" t="s">
        <v>102</v>
      </c>
      <c r="G821">
        <v>2</v>
      </c>
      <c r="H821" s="4">
        <v>2</v>
      </c>
      <c r="I821" s="4">
        <v>0</v>
      </c>
      <c r="J821" s="4" t="s">
        <v>8</v>
      </c>
      <c r="K821" s="4" t="s">
        <v>13</v>
      </c>
      <c r="L821" s="11" t="s">
        <v>6896</v>
      </c>
      <c r="M821" s="3"/>
      <c r="N821"/>
      <c r="O821" s="4"/>
      <c r="P821" s="1"/>
      <c r="Q821" s="22"/>
      <c r="R821"/>
      <c r="S821" s="11" t="s">
        <v>6854</v>
      </c>
      <c r="T821" t="s">
        <v>71</v>
      </c>
      <c r="U821"/>
      <c r="V821" s="1"/>
      <c r="W821" s="1"/>
    </row>
    <row r="822" spans="2:23" x14ac:dyDescent="0.35">
      <c r="B822" s="4">
        <v>30008668</v>
      </c>
      <c r="C822" s="1" t="s">
        <v>877</v>
      </c>
      <c r="D822" s="4" t="s">
        <v>86</v>
      </c>
      <c r="E822" s="3" t="s">
        <v>1225</v>
      </c>
      <c r="F822" s="3" t="s">
        <v>102</v>
      </c>
      <c r="G822">
        <v>2</v>
      </c>
      <c r="H822" s="4">
        <v>2</v>
      </c>
      <c r="I822" s="4">
        <v>0</v>
      </c>
      <c r="J822" s="4" t="s">
        <v>8</v>
      </c>
      <c r="K822" s="4" t="s">
        <v>13</v>
      </c>
      <c r="L822" s="11" t="s">
        <v>6896</v>
      </c>
      <c r="M822" s="3"/>
      <c r="N822"/>
      <c r="O822" s="4"/>
      <c r="P822" s="1"/>
      <c r="Q822" s="22"/>
      <c r="R822"/>
      <c r="S822" s="11" t="s">
        <v>6854</v>
      </c>
      <c r="T822" t="s">
        <v>71</v>
      </c>
      <c r="U822"/>
      <c r="V822" s="1"/>
      <c r="W822" s="1"/>
    </row>
    <row r="823" spans="2:23" x14ac:dyDescent="0.35">
      <c r="B823" s="4">
        <v>30008676</v>
      </c>
      <c r="C823" s="1" t="s">
        <v>845</v>
      </c>
      <c r="D823" s="4" t="s">
        <v>86</v>
      </c>
      <c r="E823" s="75"/>
      <c r="F823" s="3" t="s">
        <v>102</v>
      </c>
      <c r="G823">
        <v>3</v>
      </c>
      <c r="H823" s="4">
        <v>6</v>
      </c>
      <c r="I823" s="4">
        <v>3</v>
      </c>
      <c r="J823" s="4" t="s">
        <v>8</v>
      </c>
      <c r="K823" s="4" t="s">
        <v>7</v>
      </c>
      <c r="L823" s="11"/>
      <c r="M823" s="3"/>
      <c r="N823"/>
      <c r="O823" s="4"/>
      <c r="P823" s="1"/>
      <c r="Q823" s="22"/>
      <c r="R823"/>
      <c r="S823" s="11"/>
      <c r="T823" t="s">
        <v>71</v>
      </c>
      <c r="U823"/>
      <c r="V823" s="1"/>
      <c r="W823" s="1"/>
    </row>
    <row r="824" spans="2:23" x14ac:dyDescent="0.35">
      <c r="B824" s="4">
        <v>30008678</v>
      </c>
      <c r="C824" s="1" t="s">
        <v>878</v>
      </c>
      <c r="D824" s="4" t="s">
        <v>86</v>
      </c>
      <c r="E824" s="3" t="s">
        <v>1225</v>
      </c>
      <c r="F824" s="3" t="s">
        <v>102</v>
      </c>
      <c r="G824">
        <v>2</v>
      </c>
      <c r="H824" s="4">
        <v>2</v>
      </c>
      <c r="I824" s="4">
        <v>0</v>
      </c>
      <c r="J824" s="4" t="s">
        <v>8</v>
      </c>
      <c r="K824" s="4" t="s">
        <v>13</v>
      </c>
      <c r="L824" s="11" t="s">
        <v>6896</v>
      </c>
      <c r="M824" s="3"/>
      <c r="N824"/>
      <c r="O824" s="4"/>
      <c r="P824" s="1"/>
      <c r="Q824" s="22"/>
      <c r="R824"/>
      <c r="S824" s="11" t="s">
        <v>6884</v>
      </c>
      <c r="T824" t="s">
        <v>71</v>
      </c>
      <c r="U824"/>
      <c r="V824" s="1"/>
      <c r="W824" s="1"/>
    </row>
    <row r="825" spans="2:23" x14ac:dyDescent="0.35">
      <c r="B825" s="4">
        <v>30008682</v>
      </c>
      <c r="C825" s="1" t="s">
        <v>1143</v>
      </c>
      <c r="D825" s="4" t="s">
        <v>86</v>
      </c>
      <c r="E825" s="3"/>
      <c r="F825" s="3" t="s">
        <v>102</v>
      </c>
      <c r="G825">
        <v>4</v>
      </c>
      <c r="H825" s="4">
        <v>6</v>
      </c>
      <c r="I825" s="4">
        <v>4</v>
      </c>
      <c r="J825" s="4" t="s">
        <v>8</v>
      </c>
      <c r="K825" s="4" t="s">
        <v>7</v>
      </c>
      <c r="L825" s="11"/>
      <c r="M825" s="3"/>
      <c r="N825"/>
      <c r="O825" s="4"/>
      <c r="P825" s="1"/>
      <c r="Q825" s="22"/>
      <c r="R825"/>
      <c r="S825" s="11"/>
      <c r="T825" t="s">
        <v>71</v>
      </c>
      <c r="U825"/>
      <c r="V825" s="1"/>
      <c r="W825" s="1"/>
    </row>
    <row r="826" spans="2:23" x14ac:dyDescent="0.35">
      <c r="B826" s="4">
        <v>30008684</v>
      </c>
      <c r="C826" s="1" t="s">
        <v>879</v>
      </c>
      <c r="D826" s="4" t="s">
        <v>86</v>
      </c>
      <c r="E826" s="3" t="s">
        <v>1225</v>
      </c>
      <c r="F826" s="3" t="s">
        <v>102</v>
      </c>
      <c r="G826">
        <v>41</v>
      </c>
      <c r="H826" s="4">
        <v>40</v>
      </c>
      <c r="I826" s="4">
        <v>0</v>
      </c>
      <c r="J826" s="4" t="s">
        <v>8</v>
      </c>
      <c r="K826" s="4" t="s">
        <v>13</v>
      </c>
      <c r="L826" s="11" t="s">
        <v>6896</v>
      </c>
      <c r="M826" s="3"/>
      <c r="N826"/>
      <c r="O826" s="4"/>
      <c r="P826" s="1"/>
      <c r="Q826" s="22"/>
      <c r="R826"/>
      <c r="S826" s="11" t="s">
        <v>6854</v>
      </c>
      <c r="T826" t="s">
        <v>71</v>
      </c>
      <c r="U826"/>
      <c r="V826" s="1"/>
      <c r="W826" s="1"/>
    </row>
    <row r="827" spans="2:23" x14ac:dyDescent="0.35">
      <c r="B827" s="4">
        <v>30008685</v>
      </c>
      <c r="C827" s="1" t="s">
        <v>880</v>
      </c>
      <c r="D827" s="4" t="s">
        <v>86</v>
      </c>
      <c r="E827" s="3" t="s">
        <v>1225</v>
      </c>
      <c r="F827" s="3" t="s">
        <v>102</v>
      </c>
      <c r="G827">
        <v>21</v>
      </c>
      <c r="H827" s="4">
        <v>20</v>
      </c>
      <c r="I827" s="4">
        <v>0</v>
      </c>
      <c r="J827" s="4" t="s">
        <v>8</v>
      </c>
      <c r="K827" s="4" t="s">
        <v>13</v>
      </c>
      <c r="L827" s="11" t="s">
        <v>6896</v>
      </c>
      <c r="M827" s="3"/>
      <c r="N827"/>
      <c r="O827" s="4"/>
      <c r="P827" s="1"/>
      <c r="Q827" s="22"/>
      <c r="R827"/>
      <c r="S827" s="11" t="s">
        <v>6854</v>
      </c>
      <c r="T827" t="s">
        <v>71</v>
      </c>
      <c r="U827"/>
      <c r="V827" s="1"/>
      <c r="W827" s="1"/>
    </row>
    <row r="828" spans="2:23" x14ac:dyDescent="0.35">
      <c r="B828" s="4">
        <v>30008693</v>
      </c>
      <c r="C828" s="1" t="s">
        <v>1022</v>
      </c>
      <c r="D828" s="4" t="s">
        <v>86</v>
      </c>
      <c r="E828" s="3" t="s">
        <v>1225</v>
      </c>
      <c r="F828" s="3" t="s">
        <v>102</v>
      </c>
      <c r="G828">
        <v>13</v>
      </c>
      <c r="H828" s="4">
        <v>12</v>
      </c>
      <c r="I828" s="4">
        <v>14</v>
      </c>
      <c r="J828" s="4" t="s">
        <v>8</v>
      </c>
      <c r="K828" s="4" t="s">
        <v>7</v>
      </c>
      <c r="L828" s="11"/>
      <c r="M828" s="3"/>
      <c r="N828"/>
      <c r="O828" s="4"/>
      <c r="P828" s="1"/>
      <c r="Q828" s="22"/>
      <c r="R828"/>
      <c r="S828" s="11"/>
      <c r="T828" t="s">
        <v>71</v>
      </c>
      <c r="U828"/>
      <c r="V828" s="1"/>
      <c r="W828" s="1"/>
    </row>
    <row r="829" spans="2:23" x14ac:dyDescent="0.35">
      <c r="B829" s="4">
        <v>30008704</v>
      </c>
      <c r="C829" s="1" t="s">
        <v>1073</v>
      </c>
      <c r="D829" s="4" t="s">
        <v>86</v>
      </c>
      <c r="E829" s="3"/>
      <c r="F829" s="3" t="s">
        <v>102</v>
      </c>
      <c r="G829">
        <v>17</v>
      </c>
      <c r="H829" s="4">
        <v>16</v>
      </c>
      <c r="I829" s="4">
        <v>78</v>
      </c>
      <c r="J829" s="4" t="s">
        <v>8</v>
      </c>
      <c r="K829" s="4" t="s">
        <v>14</v>
      </c>
      <c r="L829" s="11"/>
      <c r="M829" s="3"/>
      <c r="N829"/>
      <c r="O829" s="4"/>
      <c r="P829" s="1"/>
      <c r="Q829" s="22"/>
      <c r="R829"/>
      <c r="S829" s="11"/>
      <c r="T829" t="s">
        <v>66</v>
      </c>
      <c r="U829"/>
      <c r="V829" s="1"/>
      <c r="W829" s="1"/>
    </row>
    <row r="830" spans="2:23" x14ac:dyDescent="0.35">
      <c r="B830" s="4">
        <v>30008705</v>
      </c>
      <c r="C830" s="1" t="s">
        <v>882</v>
      </c>
      <c r="D830" s="4" t="s">
        <v>86</v>
      </c>
      <c r="E830" s="3" t="s">
        <v>1225</v>
      </c>
      <c r="F830" s="3" t="s">
        <v>102</v>
      </c>
      <c r="G830">
        <v>2</v>
      </c>
      <c r="H830" s="4">
        <v>1</v>
      </c>
      <c r="I830" s="4">
        <v>0</v>
      </c>
      <c r="J830" s="4" t="s">
        <v>8</v>
      </c>
      <c r="K830" s="4" t="s">
        <v>13</v>
      </c>
      <c r="L830" s="11" t="s">
        <v>6896</v>
      </c>
      <c r="M830" s="3"/>
      <c r="N830"/>
      <c r="O830" s="4"/>
      <c r="P830" s="1"/>
      <c r="Q830" s="22"/>
      <c r="R830"/>
      <c r="S830" s="11" t="s">
        <v>6854</v>
      </c>
      <c r="T830" t="s">
        <v>71</v>
      </c>
      <c r="U830"/>
      <c r="V830" s="1"/>
      <c r="W830" s="1"/>
    </row>
    <row r="831" spans="2:23" x14ac:dyDescent="0.35">
      <c r="B831" s="4">
        <v>30008707</v>
      </c>
      <c r="C831" s="1" t="s">
        <v>1023</v>
      </c>
      <c r="D831" s="4" t="s">
        <v>86</v>
      </c>
      <c r="E831" s="3" t="s">
        <v>1225</v>
      </c>
      <c r="F831" s="3" t="s">
        <v>102</v>
      </c>
      <c r="G831">
        <v>2</v>
      </c>
      <c r="H831" s="4">
        <v>2</v>
      </c>
      <c r="I831" s="4">
        <v>2</v>
      </c>
      <c r="J831" s="4" t="s">
        <v>8</v>
      </c>
      <c r="K831" s="4" t="s">
        <v>7</v>
      </c>
      <c r="L831" s="11"/>
      <c r="M831" s="3"/>
      <c r="N831"/>
      <c r="O831" s="4"/>
      <c r="P831" s="1"/>
      <c r="Q831" s="22"/>
      <c r="R831"/>
      <c r="S831" s="11"/>
      <c r="T831" t="s">
        <v>71</v>
      </c>
      <c r="U831"/>
      <c r="V831" s="1"/>
      <c r="W831" s="1"/>
    </row>
    <row r="832" spans="2:23" x14ac:dyDescent="0.35">
      <c r="B832" s="4">
        <v>30008708</v>
      </c>
      <c r="C832" s="1" t="s">
        <v>883</v>
      </c>
      <c r="D832" s="4" t="s">
        <v>86</v>
      </c>
      <c r="E832" s="3" t="s">
        <v>1225</v>
      </c>
      <c r="F832" s="3" t="s">
        <v>102</v>
      </c>
      <c r="G832">
        <v>2</v>
      </c>
      <c r="H832" s="4">
        <v>2</v>
      </c>
      <c r="I832" s="4">
        <v>0</v>
      </c>
      <c r="J832" s="4" t="s">
        <v>8</v>
      </c>
      <c r="K832" s="4" t="s">
        <v>13</v>
      </c>
      <c r="L832" s="11" t="s">
        <v>6896</v>
      </c>
      <c r="M832" s="3"/>
      <c r="N832"/>
      <c r="O832" s="4"/>
      <c r="P832" s="1"/>
      <c r="Q832" s="22"/>
      <c r="R832"/>
      <c r="S832" s="11" t="s">
        <v>6854</v>
      </c>
      <c r="T832" t="s">
        <v>71</v>
      </c>
      <c r="U832"/>
      <c r="V832" s="1"/>
      <c r="W832" s="1"/>
    </row>
    <row r="833" spans="2:23" x14ac:dyDescent="0.35">
      <c r="B833" s="4">
        <v>30008713</v>
      </c>
      <c r="C833" s="1" t="s">
        <v>535</v>
      </c>
      <c r="D833" s="4" t="s">
        <v>86</v>
      </c>
      <c r="E833" s="3"/>
      <c r="F833" s="3" t="s">
        <v>68</v>
      </c>
      <c r="G833">
        <v>4</v>
      </c>
      <c r="H833" s="4">
        <v>4</v>
      </c>
      <c r="I833" s="4">
        <v>6</v>
      </c>
      <c r="J833" s="4" t="s">
        <v>8</v>
      </c>
      <c r="K833" s="4" t="s">
        <v>7</v>
      </c>
      <c r="L833" s="11"/>
      <c r="M833" s="3"/>
      <c r="N833"/>
      <c r="O833" s="4"/>
      <c r="P833" s="1"/>
      <c r="Q833" s="22"/>
      <c r="R833"/>
      <c r="S833" s="11"/>
      <c r="T833" t="s">
        <v>71</v>
      </c>
      <c r="U833"/>
      <c r="V833" s="1"/>
      <c r="W833" s="1"/>
    </row>
    <row r="834" spans="2:23" x14ac:dyDescent="0.35">
      <c r="B834" s="4">
        <v>30008714</v>
      </c>
      <c r="C834" s="1" t="s">
        <v>1524</v>
      </c>
      <c r="D834" s="4" t="s">
        <v>86</v>
      </c>
      <c r="E834" s="3"/>
      <c r="F834" s="3" t="s">
        <v>68</v>
      </c>
      <c r="G834">
        <v>4</v>
      </c>
      <c r="H834" s="4">
        <v>4</v>
      </c>
      <c r="I834" s="4">
        <v>4</v>
      </c>
      <c r="J834" s="4" t="s">
        <v>8</v>
      </c>
      <c r="K834" s="4" t="s">
        <v>7</v>
      </c>
      <c r="L834" s="11"/>
      <c r="M834" s="3"/>
      <c r="N834"/>
      <c r="O834" s="4"/>
      <c r="P834" s="1"/>
      <c r="Q834" s="22"/>
      <c r="R834"/>
      <c r="S834" s="11"/>
      <c r="T834" t="s">
        <v>66</v>
      </c>
      <c r="U834"/>
      <c r="V834" s="1"/>
      <c r="W834" s="1"/>
    </row>
    <row r="835" spans="2:23" x14ac:dyDescent="0.35">
      <c r="B835" s="4">
        <v>30008718</v>
      </c>
      <c r="C835" s="1" t="s">
        <v>1421</v>
      </c>
      <c r="D835" s="4" t="s">
        <v>86</v>
      </c>
      <c r="E835" s="3"/>
      <c r="F835" s="3" t="s">
        <v>68</v>
      </c>
      <c r="G835">
        <v>4</v>
      </c>
      <c r="H835" s="4">
        <v>4</v>
      </c>
      <c r="I835" s="4">
        <v>7</v>
      </c>
      <c r="J835" s="4" t="s">
        <v>8</v>
      </c>
      <c r="K835" s="4" t="s">
        <v>7</v>
      </c>
      <c r="L835" s="11"/>
      <c r="M835" s="3"/>
      <c r="N835"/>
      <c r="O835" s="4"/>
      <c r="P835" s="1"/>
      <c r="Q835" s="22"/>
      <c r="R835"/>
      <c r="S835" s="11"/>
      <c r="T835" t="s">
        <v>66</v>
      </c>
      <c r="U835"/>
      <c r="V835" s="1"/>
      <c r="W835" s="1"/>
    </row>
    <row r="836" spans="2:23" x14ac:dyDescent="0.35">
      <c r="B836" s="4">
        <v>30008726</v>
      </c>
      <c r="C836" s="1" t="s">
        <v>1024</v>
      </c>
      <c r="D836" s="4" t="s">
        <v>86</v>
      </c>
      <c r="E836" s="3" t="s">
        <v>1225</v>
      </c>
      <c r="F836" s="3" t="s">
        <v>102</v>
      </c>
      <c r="G836">
        <v>3</v>
      </c>
      <c r="H836" s="4">
        <v>2</v>
      </c>
      <c r="I836" s="4">
        <v>4</v>
      </c>
      <c r="J836" s="4" t="s">
        <v>8</v>
      </c>
      <c r="K836" s="4" t="s">
        <v>7</v>
      </c>
      <c r="L836" s="11"/>
      <c r="M836" s="3"/>
      <c r="N836"/>
      <c r="O836" s="4"/>
      <c r="P836" s="1"/>
      <c r="Q836" s="22"/>
      <c r="R836"/>
      <c r="S836" s="11"/>
      <c r="T836" t="s">
        <v>71</v>
      </c>
      <c r="U836"/>
      <c r="V836" s="1"/>
      <c r="W836" s="1"/>
    </row>
    <row r="837" spans="2:23" x14ac:dyDescent="0.35">
      <c r="B837" s="4">
        <v>30008728</v>
      </c>
      <c r="C837" s="1" t="s">
        <v>1074</v>
      </c>
      <c r="D837" s="4" t="s">
        <v>86</v>
      </c>
      <c r="E837" s="3"/>
      <c r="F837" s="3" t="s">
        <v>102</v>
      </c>
      <c r="G837">
        <v>3</v>
      </c>
      <c r="H837" s="4">
        <v>2</v>
      </c>
      <c r="I837" s="4">
        <v>3</v>
      </c>
      <c r="J837" s="4" t="s">
        <v>8</v>
      </c>
      <c r="K837" s="4" t="s">
        <v>7</v>
      </c>
      <c r="L837" s="11"/>
      <c r="M837" s="3"/>
      <c r="N837"/>
      <c r="O837" s="4"/>
      <c r="P837" s="1"/>
      <c r="Q837" s="22"/>
      <c r="R837"/>
      <c r="S837" s="11"/>
      <c r="T837" t="s">
        <v>71</v>
      </c>
      <c r="U837"/>
      <c r="V837" s="1"/>
      <c r="W837" s="1"/>
    </row>
    <row r="838" spans="2:23" x14ac:dyDescent="0.35">
      <c r="B838" s="4">
        <v>30008729</v>
      </c>
      <c r="C838" s="1" t="s">
        <v>1144</v>
      </c>
      <c r="D838" s="4" t="s">
        <v>86</v>
      </c>
      <c r="E838" s="3"/>
      <c r="F838" s="3" t="s">
        <v>102</v>
      </c>
      <c r="G838">
        <v>4</v>
      </c>
      <c r="H838" s="4">
        <v>6</v>
      </c>
      <c r="I838" s="4">
        <v>8</v>
      </c>
      <c r="J838" s="4" t="s">
        <v>8</v>
      </c>
      <c r="K838" s="4" t="s">
        <v>7</v>
      </c>
      <c r="L838" s="11"/>
      <c r="M838" s="3"/>
      <c r="N838"/>
      <c r="O838" s="4"/>
      <c r="P838" s="1"/>
      <c r="Q838" s="22"/>
      <c r="R838"/>
      <c r="S838" s="11"/>
      <c r="T838" t="s">
        <v>71</v>
      </c>
      <c r="U838"/>
      <c r="V838" s="1"/>
      <c r="W838" s="1"/>
    </row>
    <row r="839" spans="2:23" x14ac:dyDescent="0.35">
      <c r="B839" s="4">
        <v>30008730</v>
      </c>
      <c r="C839" s="1" t="s">
        <v>1025</v>
      </c>
      <c r="D839" s="4" t="s">
        <v>86</v>
      </c>
      <c r="E839" s="3" t="s">
        <v>1225</v>
      </c>
      <c r="F839" s="3" t="s">
        <v>102</v>
      </c>
      <c r="G839">
        <v>5</v>
      </c>
      <c r="H839" s="4">
        <v>4</v>
      </c>
      <c r="I839" s="4">
        <v>6</v>
      </c>
      <c r="J839" s="4" t="s">
        <v>8</v>
      </c>
      <c r="K839" s="4" t="s">
        <v>7</v>
      </c>
      <c r="L839" s="11"/>
      <c r="M839" s="3"/>
      <c r="N839"/>
      <c r="O839" s="4"/>
      <c r="P839" s="1"/>
      <c r="Q839" s="22"/>
      <c r="R839"/>
      <c r="S839" s="11"/>
      <c r="T839" t="s">
        <v>66</v>
      </c>
      <c r="U839"/>
      <c r="V839" s="1"/>
      <c r="W839" s="1"/>
    </row>
    <row r="840" spans="2:23" x14ac:dyDescent="0.35">
      <c r="B840" s="4">
        <v>30008759</v>
      </c>
      <c r="C840" s="1" t="s">
        <v>536</v>
      </c>
      <c r="D840" s="4" t="s">
        <v>86</v>
      </c>
      <c r="E840" s="3"/>
      <c r="F840" s="3" t="s">
        <v>68</v>
      </c>
      <c r="G840">
        <v>6</v>
      </c>
      <c r="H840" s="4">
        <v>6</v>
      </c>
      <c r="I840" s="4">
        <v>6</v>
      </c>
      <c r="J840" s="4" t="s">
        <v>8</v>
      </c>
      <c r="K840" s="4" t="s">
        <v>7</v>
      </c>
      <c r="L840" s="11"/>
      <c r="M840" s="3"/>
      <c r="N840"/>
      <c r="O840" s="4"/>
      <c r="P840" s="1"/>
      <c r="Q840" s="22"/>
      <c r="R840"/>
      <c r="S840" s="11"/>
      <c r="T840" t="s">
        <v>66</v>
      </c>
      <c r="U840"/>
      <c r="V840" s="1"/>
      <c r="W840" s="1"/>
    </row>
    <row r="841" spans="2:23" x14ac:dyDescent="0.35">
      <c r="B841" s="4">
        <v>30008760</v>
      </c>
      <c r="C841" s="1" t="s">
        <v>537</v>
      </c>
      <c r="D841" s="4" t="s">
        <v>86</v>
      </c>
      <c r="E841" s="3"/>
      <c r="F841" s="3" t="s">
        <v>68</v>
      </c>
      <c r="G841">
        <v>6</v>
      </c>
      <c r="H841" s="4">
        <v>6</v>
      </c>
      <c r="I841" s="4">
        <v>6</v>
      </c>
      <c r="J841" s="4" t="s">
        <v>8</v>
      </c>
      <c r="K841" s="4" t="s">
        <v>7</v>
      </c>
      <c r="L841" s="11"/>
      <c r="M841" s="3"/>
      <c r="N841"/>
      <c r="O841" s="4"/>
      <c r="P841" s="1"/>
      <c r="Q841" s="22"/>
      <c r="R841"/>
      <c r="S841" s="11"/>
      <c r="T841" t="s">
        <v>66</v>
      </c>
      <c r="U841"/>
      <c r="V841" s="1"/>
      <c r="W841" s="1"/>
    </row>
    <row r="842" spans="2:23" x14ac:dyDescent="0.35">
      <c r="B842" s="4">
        <v>30008761</v>
      </c>
      <c r="C842" s="1" t="s">
        <v>538</v>
      </c>
      <c r="D842" s="4" t="s">
        <v>86</v>
      </c>
      <c r="E842" s="3"/>
      <c r="F842" s="3" t="s">
        <v>68</v>
      </c>
      <c r="G842">
        <v>12</v>
      </c>
      <c r="H842" s="4">
        <v>12</v>
      </c>
      <c r="I842" s="4">
        <v>12</v>
      </c>
      <c r="J842" s="4" t="s">
        <v>8</v>
      </c>
      <c r="K842" s="4" t="s">
        <v>7</v>
      </c>
      <c r="L842" s="11"/>
      <c r="M842" s="3"/>
      <c r="N842"/>
      <c r="O842" s="4"/>
      <c r="P842" s="1"/>
      <c r="Q842" s="22"/>
      <c r="R842"/>
      <c r="S842" s="11"/>
      <c r="T842" t="s">
        <v>66</v>
      </c>
      <c r="U842"/>
      <c r="V842" s="1"/>
      <c r="W842" s="1"/>
    </row>
    <row r="843" spans="2:23" x14ac:dyDescent="0.35">
      <c r="B843" s="4">
        <v>30008765</v>
      </c>
      <c r="C843" s="1" t="s">
        <v>539</v>
      </c>
      <c r="D843" s="4" t="s">
        <v>86</v>
      </c>
      <c r="E843" s="3"/>
      <c r="F843" s="3" t="s">
        <v>68</v>
      </c>
      <c r="G843">
        <v>2</v>
      </c>
      <c r="H843" s="4">
        <v>2</v>
      </c>
      <c r="I843" s="4">
        <v>2</v>
      </c>
      <c r="J843" s="4" t="s">
        <v>8</v>
      </c>
      <c r="K843" s="4" t="s">
        <v>7</v>
      </c>
      <c r="L843" s="11"/>
      <c r="M843" s="3"/>
      <c r="N843"/>
      <c r="O843" s="4"/>
      <c r="P843" s="1"/>
      <c r="Q843" s="22"/>
      <c r="R843"/>
      <c r="S843" s="11"/>
      <c r="T843" t="s">
        <v>66</v>
      </c>
      <c r="U843"/>
      <c r="V843" s="1"/>
      <c r="W843" s="1"/>
    </row>
    <row r="844" spans="2:23" x14ac:dyDescent="0.35">
      <c r="B844" s="4">
        <v>30008773</v>
      </c>
      <c r="C844" s="1" t="s">
        <v>1026</v>
      </c>
      <c r="D844" s="4" t="s">
        <v>86</v>
      </c>
      <c r="E844" s="3"/>
      <c r="F844" s="3" t="s">
        <v>102</v>
      </c>
      <c r="G844">
        <v>33</v>
      </c>
      <c r="H844" s="4">
        <v>32</v>
      </c>
      <c r="I844" s="4">
        <v>39</v>
      </c>
      <c r="J844" s="4" t="s">
        <v>8</v>
      </c>
      <c r="K844" s="4" t="s">
        <v>7</v>
      </c>
      <c r="L844" s="11"/>
      <c r="M844" s="3"/>
      <c r="N844"/>
      <c r="O844" s="4"/>
      <c r="P844" s="1"/>
      <c r="Q844" s="22"/>
      <c r="R844"/>
      <c r="S844" s="11" t="s">
        <v>6885</v>
      </c>
      <c r="T844" t="s">
        <v>71</v>
      </c>
      <c r="U844"/>
      <c r="V844" s="1"/>
      <c r="W844" s="1"/>
    </row>
    <row r="845" spans="2:23" x14ac:dyDescent="0.35">
      <c r="B845" s="4">
        <v>30008774</v>
      </c>
      <c r="C845" s="1" t="s">
        <v>1027</v>
      </c>
      <c r="D845" s="4" t="s">
        <v>86</v>
      </c>
      <c r="E845" s="3"/>
      <c r="F845" s="3" t="s">
        <v>102</v>
      </c>
      <c r="G845">
        <v>5</v>
      </c>
      <c r="H845" s="4">
        <v>4</v>
      </c>
      <c r="I845" s="4">
        <v>11</v>
      </c>
      <c r="J845" s="4" t="s">
        <v>8</v>
      </c>
      <c r="K845" s="4" t="s">
        <v>14</v>
      </c>
      <c r="L845" s="11"/>
      <c r="M845" s="3"/>
      <c r="N845"/>
      <c r="O845" s="4"/>
      <c r="P845" s="1"/>
      <c r="Q845" s="22"/>
      <c r="R845"/>
      <c r="S845" s="11"/>
      <c r="T845" t="s">
        <v>66</v>
      </c>
      <c r="U845"/>
      <c r="V845" s="1"/>
      <c r="W845" s="1"/>
    </row>
    <row r="846" spans="2:23" x14ac:dyDescent="0.35">
      <c r="B846" s="4">
        <v>30008776</v>
      </c>
      <c r="C846" s="1" t="s">
        <v>1075</v>
      </c>
      <c r="D846" s="4" t="s">
        <v>86</v>
      </c>
      <c r="E846" s="3" t="s">
        <v>1225</v>
      </c>
      <c r="F846" s="3" t="s">
        <v>102</v>
      </c>
      <c r="G846">
        <v>4</v>
      </c>
      <c r="H846" s="4">
        <v>4</v>
      </c>
      <c r="I846" s="4">
        <v>5</v>
      </c>
      <c r="J846" s="4" t="s">
        <v>8</v>
      </c>
      <c r="K846" s="4" t="s">
        <v>7</v>
      </c>
      <c r="L846" s="11"/>
      <c r="M846" s="3"/>
      <c r="N846"/>
      <c r="O846" s="4"/>
      <c r="P846" s="1"/>
      <c r="Q846" s="22"/>
      <c r="R846"/>
      <c r="S846" s="11"/>
      <c r="T846" t="s">
        <v>71</v>
      </c>
      <c r="U846"/>
      <c r="V846" s="1"/>
      <c r="W846" s="1"/>
    </row>
    <row r="847" spans="2:23" x14ac:dyDescent="0.35">
      <c r="B847" s="4">
        <v>30008781</v>
      </c>
      <c r="C847" s="1" t="s">
        <v>1076</v>
      </c>
      <c r="D847" s="4" t="s">
        <v>86</v>
      </c>
      <c r="E847" s="3" t="s">
        <v>1225</v>
      </c>
      <c r="F847" s="3" t="s">
        <v>102</v>
      </c>
      <c r="G847">
        <v>9</v>
      </c>
      <c r="H847" s="4">
        <v>5</v>
      </c>
      <c r="I847" s="4">
        <v>4</v>
      </c>
      <c r="J847" s="4" t="s">
        <v>8</v>
      </c>
      <c r="K847" s="4" t="s">
        <v>9</v>
      </c>
      <c r="L847" s="11">
        <v>1002690589</v>
      </c>
      <c r="M847" s="3">
        <v>4</v>
      </c>
      <c r="N847">
        <v>4502640423</v>
      </c>
      <c r="O847" s="4">
        <v>2</v>
      </c>
      <c r="P847" s="1" t="s">
        <v>1360</v>
      </c>
      <c r="Q847" s="22">
        <v>46241</v>
      </c>
      <c r="R847"/>
      <c r="S847" s="11"/>
      <c r="T847" t="s">
        <v>71</v>
      </c>
      <c r="U847"/>
      <c r="V847" s="1"/>
      <c r="W847" s="1"/>
    </row>
    <row r="848" spans="2:23" x14ac:dyDescent="0.35">
      <c r="B848" s="4">
        <v>30008788</v>
      </c>
      <c r="C848" s="1" t="s">
        <v>1029</v>
      </c>
      <c r="D848" s="4" t="s">
        <v>86</v>
      </c>
      <c r="E848" s="3"/>
      <c r="F848" s="3" t="s">
        <v>102</v>
      </c>
      <c r="G848">
        <v>5</v>
      </c>
      <c r="H848" s="4">
        <v>4</v>
      </c>
      <c r="I848" s="4">
        <v>6</v>
      </c>
      <c r="J848" s="4" t="s">
        <v>8</v>
      </c>
      <c r="K848" s="4" t="s">
        <v>7</v>
      </c>
      <c r="L848" s="11"/>
      <c r="M848" s="3"/>
      <c r="N848"/>
      <c r="O848" s="4"/>
      <c r="P848" s="1"/>
      <c r="Q848" s="22"/>
      <c r="R848"/>
      <c r="S848" s="11"/>
      <c r="T848" t="s">
        <v>66</v>
      </c>
      <c r="U848"/>
      <c r="V848" s="1"/>
      <c r="W848" s="1"/>
    </row>
    <row r="849" spans="2:23" x14ac:dyDescent="0.35">
      <c r="B849" s="4">
        <v>30008789</v>
      </c>
      <c r="C849" s="1" t="s">
        <v>1030</v>
      </c>
      <c r="D849" s="4" t="s">
        <v>86</v>
      </c>
      <c r="E849" s="3" t="s">
        <v>1225</v>
      </c>
      <c r="F849" s="3" t="s">
        <v>102</v>
      </c>
      <c r="G849">
        <v>5</v>
      </c>
      <c r="H849" s="4">
        <v>4</v>
      </c>
      <c r="I849" s="4">
        <v>6</v>
      </c>
      <c r="J849" s="4" t="s">
        <v>8</v>
      </c>
      <c r="K849" s="4" t="s">
        <v>7</v>
      </c>
      <c r="L849" s="11"/>
      <c r="M849" s="3"/>
      <c r="N849"/>
      <c r="O849" s="4"/>
      <c r="P849" s="1"/>
      <c r="Q849" s="22"/>
      <c r="R849"/>
      <c r="S849" s="11"/>
      <c r="T849" t="s">
        <v>66</v>
      </c>
      <c r="U849"/>
      <c r="V849" s="1"/>
      <c r="W849" s="1"/>
    </row>
    <row r="850" spans="2:23" x14ac:dyDescent="0.35">
      <c r="B850" s="4">
        <v>30008790</v>
      </c>
      <c r="C850" s="1" t="s">
        <v>1031</v>
      </c>
      <c r="D850" s="4" t="s">
        <v>86</v>
      </c>
      <c r="E850" s="3"/>
      <c r="F850" s="3" t="s">
        <v>102</v>
      </c>
      <c r="G850">
        <v>5</v>
      </c>
      <c r="H850" s="4">
        <v>4</v>
      </c>
      <c r="I850" s="4">
        <v>8</v>
      </c>
      <c r="J850" s="4" t="s">
        <v>8</v>
      </c>
      <c r="K850" s="4" t="s">
        <v>7</v>
      </c>
      <c r="L850" s="11"/>
      <c r="M850" s="3"/>
      <c r="N850"/>
      <c r="O850" s="4"/>
      <c r="P850" s="1"/>
      <c r="Q850" s="22"/>
      <c r="R850"/>
      <c r="S850" s="11"/>
      <c r="T850" t="s">
        <v>66</v>
      </c>
      <c r="U850"/>
      <c r="V850" s="1"/>
      <c r="W850" s="1"/>
    </row>
    <row r="851" spans="2:23" x14ac:dyDescent="0.35">
      <c r="B851" s="4">
        <v>30008791</v>
      </c>
      <c r="C851" s="1" t="s">
        <v>1032</v>
      </c>
      <c r="D851" s="4" t="s">
        <v>86</v>
      </c>
      <c r="E851" s="3"/>
      <c r="F851" s="3" t="s">
        <v>102</v>
      </c>
      <c r="G851">
        <v>5</v>
      </c>
      <c r="H851" s="4">
        <v>4</v>
      </c>
      <c r="I851" s="4">
        <v>8</v>
      </c>
      <c r="J851" s="4" t="s">
        <v>8</v>
      </c>
      <c r="K851" s="4" t="s">
        <v>7</v>
      </c>
      <c r="L851" s="11"/>
      <c r="M851" s="3"/>
      <c r="N851"/>
      <c r="O851" s="4"/>
      <c r="P851" s="1"/>
      <c r="Q851" s="22"/>
      <c r="R851"/>
      <c r="S851" s="11"/>
      <c r="T851" t="s">
        <v>66</v>
      </c>
      <c r="U851"/>
      <c r="V851" s="1"/>
      <c r="W851" s="1"/>
    </row>
    <row r="852" spans="2:23" x14ac:dyDescent="0.35">
      <c r="B852" s="4">
        <v>30008792</v>
      </c>
      <c r="C852" s="1" t="s">
        <v>540</v>
      </c>
      <c r="D852" s="4" t="s">
        <v>86</v>
      </c>
      <c r="E852" s="3"/>
      <c r="F852" s="3" t="s">
        <v>68</v>
      </c>
      <c r="G852">
        <v>10</v>
      </c>
      <c r="H852" s="4">
        <v>10</v>
      </c>
      <c r="I852" s="4">
        <v>21</v>
      </c>
      <c r="J852" s="4" t="s">
        <v>8</v>
      </c>
      <c r="K852" s="4" t="s">
        <v>14</v>
      </c>
      <c r="L852" s="11"/>
      <c r="M852" s="3"/>
      <c r="N852"/>
      <c r="O852" s="4"/>
      <c r="P852" s="1"/>
      <c r="Q852" s="22"/>
      <c r="R852"/>
      <c r="S852" s="11"/>
      <c r="T852" t="s">
        <v>69</v>
      </c>
      <c r="U852"/>
      <c r="V852" s="1"/>
      <c r="W852" s="1"/>
    </row>
    <row r="853" spans="2:23" x14ac:dyDescent="0.35">
      <c r="B853" s="4">
        <v>30008795</v>
      </c>
      <c r="C853" s="1" t="s">
        <v>541</v>
      </c>
      <c r="D853" s="4" t="s">
        <v>86</v>
      </c>
      <c r="E853" s="3"/>
      <c r="F853" s="3" t="s">
        <v>68</v>
      </c>
      <c r="G853">
        <v>10</v>
      </c>
      <c r="H853" s="4">
        <v>10</v>
      </c>
      <c r="I853" s="4">
        <v>18</v>
      </c>
      <c r="J853" s="4" t="s">
        <v>8</v>
      </c>
      <c r="K853" s="4" t="s">
        <v>7</v>
      </c>
      <c r="L853" s="11"/>
      <c r="M853" s="3"/>
      <c r="N853"/>
      <c r="O853" s="4"/>
      <c r="P853" s="1"/>
      <c r="Q853" s="22"/>
      <c r="R853"/>
      <c r="S853" s="11"/>
      <c r="T853" t="s">
        <v>66</v>
      </c>
      <c r="U853"/>
      <c r="V853" s="1"/>
      <c r="W853" s="1"/>
    </row>
    <row r="854" spans="2:23" x14ac:dyDescent="0.35">
      <c r="B854" s="4">
        <v>30008796</v>
      </c>
      <c r="C854" s="1" t="s">
        <v>542</v>
      </c>
      <c r="D854" s="4" t="s">
        <v>86</v>
      </c>
      <c r="E854" s="3"/>
      <c r="F854" s="3" t="s">
        <v>68</v>
      </c>
      <c r="G854">
        <v>10</v>
      </c>
      <c r="H854" s="4">
        <v>10</v>
      </c>
      <c r="I854" s="4">
        <v>10</v>
      </c>
      <c r="J854" s="4" t="s">
        <v>8</v>
      </c>
      <c r="K854" s="4" t="s">
        <v>7</v>
      </c>
      <c r="L854" s="11"/>
      <c r="M854" s="3"/>
      <c r="N854"/>
      <c r="O854" s="4"/>
      <c r="P854" s="1"/>
      <c r="Q854" s="22"/>
      <c r="R854"/>
      <c r="S854" s="11"/>
      <c r="T854" t="s">
        <v>66</v>
      </c>
      <c r="U854"/>
      <c r="V854" s="1"/>
      <c r="W854" s="1"/>
    </row>
    <row r="855" spans="2:23" x14ac:dyDescent="0.35">
      <c r="B855" s="4">
        <v>30008798</v>
      </c>
      <c r="C855" s="1" t="s">
        <v>1033</v>
      </c>
      <c r="D855" s="4" t="s">
        <v>86</v>
      </c>
      <c r="E855" s="3"/>
      <c r="F855" s="3" t="s">
        <v>102</v>
      </c>
      <c r="G855">
        <v>18</v>
      </c>
      <c r="H855" s="4">
        <v>8</v>
      </c>
      <c r="I855" s="4">
        <v>48</v>
      </c>
      <c r="J855" s="4" t="s">
        <v>8</v>
      </c>
      <c r="K855" s="4" t="s">
        <v>14</v>
      </c>
      <c r="L855" s="11"/>
      <c r="M855" s="3"/>
      <c r="N855"/>
      <c r="O855" s="4"/>
      <c r="P855" s="1"/>
      <c r="Q855" s="22"/>
      <c r="R855"/>
      <c r="S855" s="11"/>
      <c r="T855" t="s">
        <v>66</v>
      </c>
      <c r="U855"/>
      <c r="V855" s="1"/>
      <c r="W855" s="1"/>
    </row>
    <row r="856" spans="2:23" x14ac:dyDescent="0.35">
      <c r="B856" s="4">
        <v>30008799</v>
      </c>
      <c r="C856" s="1" t="s">
        <v>1034</v>
      </c>
      <c r="D856" s="4" t="s">
        <v>86</v>
      </c>
      <c r="E856" s="3" t="s">
        <v>1225</v>
      </c>
      <c r="F856" s="3" t="s">
        <v>102</v>
      </c>
      <c r="G856">
        <v>18</v>
      </c>
      <c r="H856" s="4">
        <v>8</v>
      </c>
      <c r="I856" s="4">
        <v>48</v>
      </c>
      <c r="J856" s="4" t="s">
        <v>8</v>
      </c>
      <c r="K856" s="4" t="s">
        <v>14</v>
      </c>
      <c r="L856" s="11"/>
      <c r="M856" s="3"/>
      <c r="N856"/>
      <c r="O856" s="4"/>
      <c r="P856" s="1"/>
      <c r="Q856" s="22"/>
      <c r="R856"/>
      <c r="S856" s="11"/>
      <c r="T856" t="s">
        <v>66</v>
      </c>
      <c r="U856"/>
      <c r="V856" s="1"/>
      <c r="W856" s="1"/>
    </row>
    <row r="857" spans="2:23" x14ac:dyDescent="0.35">
      <c r="B857" s="4">
        <v>30008800</v>
      </c>
      <c r="C857" s="1" t="s">
        <v>1035</v>
      </c>
      <c r="D857" s="4" t="s">
        <v>86</v>
      </c>
      <c r="E857" s="3"/>
      <c r="F857" s="3" t="s">
        <v>102</v>
      </c>
      <c r="G857">
        <v>9</v>
      </c>
      <c r="H857" s="4">
        <v>16</v>
      </c>
      <c r="I857" s="4">
        <v>48</v>
      </c>
      <c r="J857" s="4" t="s">
        <v>8</v>
      </c>
      <c r="K857" s="4" t="s">
        <v>14</v>
      </c>
      <c r="L857" s="11"/>
      <c r="M857" s="3"/>
      <c r="N857"/>
      <c r="O857" s="4"/>
      <c r="P857" s="1"/>
      <c r="Q857" s="22"/>
      <c r="R857"/>
      <c r="S857" s="11"/>
      <c r="T857" t="s">
        <v>66</v>
      </c>
      <c r="U857"/>
      <c r="V857" s="1"/>
      <c r="W857" s="1"/>
    </row>
    <row r="858" spans="2:23" x14ac:dyDescent="0.35">
      <c r="B858" s="4">
        <v>30008801</v>
      </c>
      <c r="C858" s="1" t="s">
        <v>1036</v>
      </c>
      <c r="D858" s="4" t="s">
        <v>86</v>
      </c>
      <c r="E858" s="3" t="s">
        <v>1225</v>
      </c>
      <c r="F858" s="3" t="s">
        <v>102</v>
      </c>
      <c r="G858">
        <v>17</v>
      </c>
      <c r="H858" s="4">
        <v>16</v>
      </c>
      <c r="I858" s="4">
        <v>24</v>
      </c>
      <c r="J858" s="4" t="s">
        <v>8</v>
      </c>
      <c r="K858" s="4" t="s">
        <v>7</v>
      </c>
      <c r="L858" s="11"/>
      <c r="M858" s="3"/>
      <c r="N858"/>
      <c r="O858" s="4"/>
      <c r="P858" s="1"/>
      <c r="Q858" s="22"/>
      <c r="R858"/>
      <c r="S858" s="11"/>
      <c r="T858" t="s">
        <v>66</v>
      </c>
      <c r="U858"/>
      <c r="V858" s="1"/>
      <c r="W858" s="1"/>
    </row>
    <row r="859" spans="2:23" x14ac:dyDescent="0.35">
      <c r="B859" s="4">
        <v>30008802</v>
      </c>
      <c r="C859" s="1" t="s">
        <v>1037</v>
      </c>
      <c r="D859" s="4" t="s">
        <v>86</v>
      </c>
      <c r="E859" s="3"/>
      <c r="F859" s="3" t="s">
        <v>102</v>
      </c>
      <c r="G859">
        <v>9</v>
      </c>
      <c r="H859" s="4">
        <v>16</v>
      </c>
      <c r="I859" s="4">
        <v>40</v>
      </c>
      <c r="J859" s="4" t="s">
        <v>8</v>
      </c>
      <c r="K859" s="4" t="s">
        <v>14</v>
      </c>
      <c r="L859" s="11"/>
      <c r="M859" s="3"/>
      <c r="N859"/>
      <c r="O859" s="4"/>
      <c r="P859" s="1"/>
      <c r="Q859" s="22"/>
      <c r="R859"/>
      <c r="S859" s="11"/>
      <c r="T859" t="s">
        <v>66</v>
      </c>
      <c r="U859"/>
      <c r="V859" s="1"/>
      <c r="W859" s="1"/>
    </row>
    <row r="860" spans="2:23" x14ac:dyDescent="0.35">
      <c r="B860" s="4">
        <v>30008803</v>
      </c>
      <c r="C860" s="1" t="s">
        <v>1078</v>
      </c>
      <c r="D860" s="4" t="s">
        <v>86</v>
      </c>
      <c r="E860" s="3" t="s">
        <v>1225</v>
      </c>
      <c r="F860" s="3" t="s">
        <v>102</v>
      </c>
      <c r="G860">
        <v>2</v>
      </c>
      <c r="H860" s="4">
        <v>1</v>
      </c>
      <c r="I860" s="4">
        <v>1</v>
      </c>
      <c r="J860" s="4" t="s">
        <v>8</v>
      </c>
      <c r="K860" s="4" t="s">
        <v>9</v>
      </c>
      <c r="L860" s="11">
        <v>1002690589</v>
      </c>
      <c r="M860" s="3">
        <v>1</v>
      </c>
      <c r="N860">
        <v>4502611854</v>
      </c>
      <c r="O860" s="4">
        <v>1</v>
      </c>
      <c r="P860" s="1" t="s">
        <v>1360</v>
      </c>
      <c r="Q860" s="22">
        <v>46185</v>
      </c>
      <c r="R860"/>
      <c r="S860" s="11"/>
      <c r="T860" t="s">
        <v>71</v>
      </c>
      <c r="U860"/>
      <c r="V860" s="1"/>
      <c r="W860" s="1"/>
    </row>
    <row r="861" spans="2:23" x14ac:dyDescent="0.35">
      <c r="B861" s="4">
        <v>30008805</v>
      </c>
      <c r="C861" s="1" t="s">
        <v>1080</v>
      </c>
      <c r="D861" s="4" t="s">
        <v>86</v>
      </c>
      <c r="E861" s="3"/>
      <c r="F861" s="3" t="s">
        <v>102</v>
      </c>
      <c r="G861">
        <v>3</v>
      </c>
      <c r="H861" s="4">
        <v>2</v>
      </c>
      <c r="I861" s="4">
        <v>2</v>
      </c>
      <c r="J861" s="4" t="s">
        <v>8</v>
      </c>
      <c r="K861" s="4" t="s">
        <v>9</v>
      </c>
      <c r="L861" s="11">
        <v>1002690589</v>
      </c>
      <c r="M861" s="3">
        <v>1</v>
      </c>
      <c r="N861">
        <v>4502575379</v>
      </c>
      <c r="O861" s="4">
        <v>1</v>
      </c>
      <c r="P861" s="1" t="s">
        <v>1360</v>
      </c>
      <c r="Q861" s="22">
        <v>46115</v>
      </c>
      <c r="R861"/>
      <c r="S861" s="11"/>
      <c r="T861" t="s">
        <v>71</v>
      </c>
      <c r="U861"/>
      <c r="V861" s="1"/>
      <c r="W861" s="1"/>
    </row>
    <row r="862" spans="2:23" x14ac:dyDescent="0.35">
      <c r="B862" s="4">
        <v>30008806</v>
      </c>
      <c r="C862" s="1" t="s">
        <v>543</v>
      </c>
      <c r="D862" s="4" t="s">
        <v>86</v>
      </c>
      <c r="E862" s="3"/>
      <c r="F862" s="3" t="s">
        <v>102</v>
      </c>
      <c r="G862">
        <v>5</v>
      </c>
      <c r="H862" s="4">
        <v>4</v>
      </c>
      <c r="I862" s="4">
        <v>23</v>
      </c>
      <c r="J862" s="4" t="s">
        <v>8</v>
      </c>
      <c r="K862" s="4" t="s">
        <v>14</v>
      </c>
      <c r="L862" s="11"/>
      <c r="M862" s="3"/>
      <c r="N862"/>
      <c r="O862" s="4"/>
      <c r="P862" s="1"/>
      <c r="Q862" s="22"/>
      <c r="R862"/>
      <c r="S862" s="11"/>
      <c r="T862" t="s">
        <v>66</v>
      </c>
      <c r="U862"/>
      <c r="V862" s="1"/>
      <c r="W862" s="1"/>
    </row>
    <row r="863" spans="2:23" x14ac:dyDescent="0.35">
      <c r="B863" s="4">
        <v>30008808</v>
      </c>
      <c r="C863" s="1" t="s">
        <v>1038</v>
      </c>
      <c r="D863" s="4" t="s">
        <v>86</v>
      </c>
      <c r="E863" s="3"/>
      <c r="F863" s="3" t="s">
        <v>102</v>
      </c>
      <c r="G863">
        <v>5</v>
      </c>
      <c r="H863" s="4">
        <v>4</v>
      </c>
      <c r="I863" s="4">
        <v>11</v>
      </c>
      <c r="J863" s="4" t="s">
        <v>8</v>
      </c>
      <c r="K863" s="4" t="s">
        <v>14</v>
      </c>
      <c r="L863" s="11"/>
      <c r="M863" s="3"/>
      <c r="N863"/>
      <c r="O863" s="4"/>
      <c r="P863" s="1"/>
      <c r="Q863" s="22"/>
      <c r="R863"/>
      <c r="S863" s="11"/>
      <c r="T863" t="s">
        <v>66</v>
      </c>
      <c r="U863"/>
      <c r="V863" s="1"/>
      <c r="W863" s="1"/>
    </row>
    <row r="864" spans="2:23" x14ac:dyDescent="0.35">
      <c r="B864" s="4">
        <v>30008809</v>
      </c>
      <c r="C864" s="1" t="s">
        <v>1081</v>
      </c>
      <c r="D864" s="4" t="s">
        <v>86</v>
      </c>
      <c r="E864" s="3"/>
      <c r="F864" s="3" t="s">
        <v>102</v>
      </c>
      <c r="G864">
        <v>5</v>
      </c>
      <c r="H864" s="4">
        <v>8</v>
      </c>
      <c r="I864" s="4">
        <v>13</v>
      </c>
      <c r="J864" s="4" t="s">
        <v>8</v>
      </c>
      <c r="K864" s="4" t="s">
        <v>7</v>
      </c>
      <c r="L864" s="11"/>
      <c r="M864" s="3"/>
      <c r="N864"/>
      <c r="O864" s="4"/>
      <c r="P864" s="1"/>
      <c r="Q864" s="22"/>
      <c r="R864"/>
      <c r="S864" s="11"/>
      <c r="T864" t="s">
        <v>66</v>
      </c>
      <c r="U864"/>
      <c r="V864" s="1"/>
      <c r="W864" s="1"/>
    </row>
    <row r="865" spans="2:23" x14ac:dyDescent="0.35">
      <c r="B865" s="4">
        <v>30008810</v>
      </c>
      <c r="C865" s="1" t="s">
        <v>1082</v>
      </c>
      <c r="D865" s="4" t="s">
        <v>86</v>
      </c>
      <c r="E865" s="3"/>
      <c r="F865" s="3" t="s">
        <v>102</v>
      </c>
      <c r="G865">
        <v>5</v>
      </c>
      <c r="H865" s="4">
        <v>4</v>
      </c>
      <c r="I865" s="4">
        <v>5</v>
      </c>
      <c r="J865" s="4" t="s">
        <v>8</v>
      </c>
      <c r="K865" s="4" t="s">
        <v>7</v>
      </c>
      <c r="L865" s="11"/>
      <c r="M865" s="3"/>
      <c r="N865"/>
      <c r="O865" s="4"/>
      <c r="P865" s="1"/>
      <c r="Q865" s="22"/>
      <c r="R865"/>
      <c r="S865" s="11"/>
      <c r="T865" t="s">
        <v>66</v>
      </c>
      <c r="U865"/>
      <c r="V865" s="1"/>
      <c r="W865" s="1"/>
    </row>
    <row r="866" spans="2:23" x14ac:dyDescent="0.35">
      <c r="B866" s="4">
        <v>30008811</v>
      </c>
      <c r="C866" s="1" t="s">
        <v>1039</v>
      </c>
      <c r="D866" s="4" t="s">
        <v>86</v>
      </c>
      <c r="E866" s="3" t="s">
        <v>1225</v>
      </c>
      <c r="F866" s="3" t="s">
        <v>102</v>
      </c>
      <c r="G866">
        <v>3</v>
      </c>
      <c r="H866" s="4">
        <v>2</v>
      </c>
      <c r="I866" s="4">
        <v>3</v>
      </c>
      <c r="J866" s="4" t="s">
        <v>8</v>
      </c>
      <c r="K866" s="4" t="s">
        <v>7</v>
      </c>
      <c r="L866" s="11"/>
      <c r="M866" s="3"/>
      <c r="N866"/>
      <c r="O866" s="4"/>
      <c r="P866" s="1"/>
      <c r="Q866" s="22"/>
      <c r="R866"/>
      <c r="S866" s="11"/>
      <c r="T866" t="s">
        <v>71</v>
      </c>
      <c r="U866"/>
      <c r="V866" s="1"/>
      <c r="W866" s="1"/>
    </row>
    <row r="867" spans="2:23" x14ac:dyDescent="0.35">
      <c r="B867" s="4">
        <v>30008812</v>
      </c>
      <c r="C867" s="1" t="s">
        <v>1040</v>
      </c>
      <c r="D867" s="4" t="s">
        <v>86</v>
      </c>
      <c r="E867" s="3" t="s">
        <v>1225</v>
      </c>
      <c r="F867" s="3" t="s">
        <v>102</v>
      </c>
      <c r="G867">
        <v>3</v>
      </c>
      <c r="H867" s="4">
        <v>2</v>
      </c>
      <c r="I867" s="4">
        <v>3</v>
      </c>
      <c r="J867" s="4" t="s">
        <v>8</v>
      </c>
      <c r="K867" s="4" t="s">
        <v>7</v>
      </c>
      <c r="L867" s="11"/>
      <c r="M867" s="3"/>
      <c r="N867"/>
      <c r="O867" s="4"/>
      <c r="P867" s="1"/>
      <c r="Q867" s="22"/>
      <c r="R867"/>
      <c r="S867" s="11"/>
      <c r="T867" t="s">
        <v>71</v>
      </c>
      <c r="U867"/>
      <c r="V867" s="1"/>
      <c r="W867" s="1"/>
    </row>
    <row r="868" spans="2:23" x14ac:dyDescent="0.35">
      <c r="B868" s="4">
        <v>30008813</v>
      </c>
      <c r="C868" s="1" t="s">
        <v>1041</v>
      </c>
      <c r="D868" s="4" t="s">
        <v>86</v>
      </c>
      <c r="E868" s="3" t="s">
        <v>1225</v>
      </c>
      <c r="F868" s="3" t="s">
        <v>102</v>
      </c>
      <c r="G868">
        <v>3</v>
      </c>
      <c r="H868" s="4">
        <v>2</v>
      </c>
      <c r="I868" s="4">
        <v>3</v>
      </c>
      <c r="J868" s="4" t="s">
        <v>8</v>
      </c>
      <c r="K868" s="4" t="s">
        <v>7</v>
      </c>
      <c r="L868" s="69"/>
      <c r="M868" s="3"/>
      <c r="N868"/>
      <c r="O868" s="4"/>
      <c r="P868" s="1"/>
      <c r="Q868" s="22"/>
      <c r="R868"/>
      <c r="S868" s="11"/>
      <c r="T868" t="s">
        <v>71</v>
      </c>
      <c r="U868"/>
      <c r="V868" s="1"/>
      <c r="W868" s="1"/>
    </row>
    <row r="869" spans="2:23" x14ac:dyDescent="0.35">
      <c r="B869" s="4">
        <v>30008814</v>
      </c>
      <c r="C869" s="1" t="s">
        <v>1042</v>
      </c>
      <c r="D869" s="4" t="s">
        <v>86</v>
      </c>
      <c r="E869" s="3" t="s">
        <v>1225</v>
      </c>
      <c r="F869" s="3" t="s">
        <v>102</v>
      </c>
      <c r="G869">
        <v>5</v>
      </c>
      <c r="H869" s="4">
        <v>4</v>
      </c>
      <c r="I869" s="4">
        <v>6</v>
      </c>
      <c r="J869" s="4" t="s">
        <v>8</v>
      </c>
      <c r="K869" s="4" t="s">
        <v>7</v>
      </c>
      <c r="L869" s="11"/>
      <c r="M869" s="3"/>
      <c r="N869"/>
      <c r="O869" s="4"/>
      <c r="P869" s="1"/>
      <c r="Q869" s="22"/>
      <c r="R869"/>
      <c r="S869" s="11"/>
      <c r="T869" t="s">
        <v>71</v>
      </c>
      <c r="U869"/>
      <c r="V869" s="1"/>
      <c r="W869" s="1"/>
    </row>
    <row r="870" spans="2:23" x14ac:dyDescent="0.35">
      <c r="B870" s="4">
        <v>30008815</v>
      </c>
      <c r="C870" s="1" t="s">
        <v>1043</v>
      </c>
      <c r="D870" s="4" t="s">
        <v>86</v>
      </c>
      <c r="E870" s="3"/>
      <c r="F870" s="3" t="s">
        <v>102</v>
      </c>
      <c r="G870">
        <v>3</v>
      </c>
      <c r="H870" s="4">
        <v>2</v>
      </c>
      <c r="I870" s="4">
        <v>3</v>
      </c>
      <c r="J870" s="4" t="s">
        <v>8</v>
      </c>
      <c r="K870" s="4" t="s">
        <v>7</v>
      </c>
      <c r="L870" s="11"/>
      <c r="M870" s="3"/>
      <c r="N870"/>
      <c r="O870" s="4"/>
      <c r="P870" s="1"/>
      <c r="Q870" s="22"/>
      <c r="R870"/>
      <c r="S870" s="11"/>
      <c r="T870" t="s">
        <v>71</v>
      </c>
      <c r="U870"/>
      <c r="V870" s="1"/>
      <c r="W870" s="1"/>
    </row>
    <row r="871" spans="2:23" x14ac:dyDescent="0.35">
      <c r="B871" s="4">
        <v>30008817</v>
      </c>
      <c r="C871" s="1" t="s">
        <v>1045</v>
      </c>
      <c r="D871" s="4" t="s">
        <v>86</v>
      </c>
      <c r="E871" s="3"/>
      <c r="F871" s="3" t="s">
        <v>102</v>
      </c>
      <c r="G871">
        <v>3</v>
      </c>
      <c r="H871" s="4">
        <v>2</v>
      </c>
      <c r="I871" s="4">
        <v>3</v>
      </c>
      <c r="J871" s="4" t="s">
        <v>8</v>
      </c>
      <c r="K871" s="4" t="s">
        <v>7</v>
      </c>
      <c r="L871" s="11"/>
      <c r="M871" s="3"/>
      <c r="N871"/>
      <c r="O871" s="4"/>
      <c r="P871" s="1"/>
      <c r="Q871" s="22"/>
      <c r="R871"/>
      <c r="S871" s="11"/>
      <c r="T871" t="s">
        <v>71</v>
      </c>
      <c r="U871"/>
      <c r="V871" s="1"/>
      <c r="W871" s="1"/>
    </row>
    <row r="872" spans="2:23" x14ac:dyDescent="0.35">
      <c r="B872" s="4">
        <v>30008818</v>
      </c>
      <c r="C872" s="1" t="s">
        <v>544</v>
      </c>
      <c r="D872" s="4" t="s">
        <v>86</v>
      </c>
      <c r="E872" s="3"/>
      <c r="F872" s="3" t="s">
        <v>68</v>
      </c>
      <c r="G872">
        <v>8</v>
      </c>
      <c r="H872" s="4">
        <v>8</v>
      </c>
      <c r="I872" s="4">
        <v>8</v>
      </c>
      <c r="J872" s="4" t="s">
        <v>8</v>
      </c>
      <c r="K872" s="4" t="s">
        <v>7</v>
      </c>
      <c r="L872" s="11"/>
      <c r="M872" s="3"/>
      <c r="N872"/>
      <c r="O872" s="4"/>
      <c r="P872" s="1"/>
      <c r="Q872" s="22"/>
      <c r="R872"/>
      <c r="S872" s="11"/>
      <c r="T872" t="s">
        <v>71</v>
      </c>
      <c r="U872"/>
      <c r="V872" s="1"/>
      <c r="W872" s="1"/>
    </row>
    <row r="873" spans="2:23" x14ac:dyDescent="0.35">
      <c r="B873" s="4">
        <v>30008847</v>
      </c>
      <c r="C873" s="1" t="s">
        <v>545</v>
      </c>
      <c r="D873" s="4" t="s">
        <v>86</v>
      </c>
      <c r="E873" s="3"/>
      <c r="F873" s="3" t="s">
        <v>68</v>
      </c>
      <c r="G873">
        <v>4</v>
      </c>
      <c r="H873" s="4">
        <v>4</v>
      </c>
      <c r="I873" s="4">
        <v>10</v>
      </c>
      <c r="J873" s="4" t="s">
        <v>8</v>
      </c>
      <c r="K873" s="4" t="s">
        <v>14</v>
      </c>
      <c r="L873" s="11"/>
      <c r="M873" s="3"/>
      <c r="N873"/>
      <c r="O873" s="4"/>
      <c r="P873" s="1"/>
      <c r="Q873" s="22"/>
      <c r="R873"/>
      <c r="S873" s="11"/>
      <c r="T873" t="s">
        <v>66</v>
      </c>
      <c r="U873"/>
      <c r="V873" s="1"/>
      <c r="W873" s="1"/>
    </row>
    <row r="874" spans="2:23" x14ac:dyDescent="0.35">
      <c r="B874" s="4">
        <v>30008854</v>
      </c>
      <c r="C874" s="1" t="s">
        <v>546</v>
      </c>
      <c r="D874" s="4" t="s">
        <v>86</v>
      </c>
      <c r="E874" s="3"/>
      <c r="F874" s="3" t="s">
        <v>68</v>
      </c>
      <c r="G874">
        <v>32</v>
      </c>
      <c r="H874" s="4">
        <v>32</v>
      </c>
      <c r="I874" s="4">
        <v>32</v>
      </c>
      <c r="J874" s="4" t="s">
        <v>8</v>
      </c>
      <c r="K874" s="4" t="s">
        <v>7</v>
      </c>
      <c r="L874" s="11"/>
      <c r="M874" s="3"/>
      <c r="N874"/>
      <c r="O874" s="4"/>
      <c r="P874" s="1"/>
      <c r="Q874" s="22"/>
      <c r="R874"/>
      <c r="S874" s="11"/>
      <c r="T874" t="s">
        <v>66</v>
      </c>
      <c r="U874"/>
      <c r="V874" s="1"/>
      <c r="W874" s="1"/>
    </row>
    <row r="875" spans="2:23" x14ac:dyDescent="0.35">
      <c r="B875" s="4">
        <v>30008856</v>
      </c>
      <c r="C875" s="1" t="s">
        <v>1046</v>
      </c>
      <c r="D875" s="4" t="s">
        <v>86</v>
      </c>
      <c r="E875" s="3"/>
      <c r="F875" s="3" t="s">
        <v>102</v>
      </c>
      <c r="G875">
        <v>5</v>
      </c>
      <c r="H875" s="4">
        <v>4</v>
      </c>
      <c r="I875" s="4">
        <v>11</v>
      </c>
      <c r="J875" s="4" t="s">
        <v>8</v>
      </c>
      <c r="K875" s="4" t="s">
        <v>14</v>
      </c>
      <c r="L875" s="11"/>
      <c r="M875" s="3"/>
      <c r="N875"/>
      <c r="O875" s="4"/>
      <c r="P875" s="1"/>
      <c r="Q875" s="22"/>
      <c r="R875"/>
      <c r="S875" s="11"/>
      <c r="T875" t="s">
        <v>66</v>
      </c>
      <c r="U875"/>
      <c r="V875" s="1"/>
      <c r="W875" s="1"/>
    </row>
    <row r="876" spans="2:23" x14ac:dyDescent="0.35">
      <c r="B876" s="4">
        <v>30008857</v>
      </c>
      <c r="C876" s="1" t="s">
        <v>1047</v>
      </c>
      <c r="D876" s="4" t="s">
        <v>86</v>
      </c>
      <c r="E876" s="3"/>
      <c r="F876" s="3" t="s">
        <v>102</v>
      </c>
      <c r="G876">
        <v>5</v>
      </c>
      <c r="H876" s="4">
        <v>4</v>
      </c>
      <c r="I876" s="4">
        <v>12</v>
      </c>
      <c r="J876" s="4" t="s">
        <v>8</v>
      </c>
      <c r="K876" s="4" t="s">
        <v>14</v>
      </c>
      <c r="L876" s="11"/>
      <c r="M876" s="3"/>
      <c r="N876"/>
      <c r="O876" s="4"/>
      <c r="P876" s="1"/>
      <c r="Q876" s="22"/>
      <c r="R876"/>
      <c r="S876" s="11"/>
      <c r="T876" t="s">
        <v>66</v>
      </c>
      <c r="U876"/>
      <c r="V876" s="1"/>
      <c r="W876" s="1"/>
    </row>
    <row r="877" spans="2:23" x14ac:dyDescent="0.35">
      <c r="B877" s="4">
        <v>30008858</v>
      </c>
      <c r="C877" s="1" t="s">
        <v>1048</v>
      </c>
      <c r="D877" s="4" t="s">
        <v>86</v>
      </c>
      <c r="E877" s="3"/>
      <c r="F877" s="3" t="s">
        <v>102</v>
      </c>
      <c r="G877">
        <v>5</v>
      </c>
      <c r="H877" s="4">
        <v>4</v>
      </c>
      <c r="I877" s="4">
        <v>17</v>
      </c>
      <c r="J877" s="4" t="s">
        <v>8</v>
      </c>
      <c r="K877" s="4" t="s">
        <v>14</v>
      </c>
      <c r="L877" s="11"/>
      <c r="M877" s="3"/>
      <c r="N877"/>
      <c r="O877" s="4"/>
      <c r="P877" s="1"/>
      <c r="Q877" s="22"/>
      <c r="R877"/>
      <c r="S877" s="11"/>
      <c r="T877" t="s">
        <v>66</v>
      </c>
      <c r="U877"/>
      <c r="V877" s="1"/>
      <c r="W877" s="1"/>
    </row>
    <row r="878" spans="2:23" x14ac:dyDescent="0.35">
      <c r="B878" s="4">
        <v>30008859</v>
      </c>
      <c r="C878" s="1" t="s">
        <v>1049</v>
      </c>
      <c r="D878" s="4" t="s">
        <v>86</v>
      </c>
      <c r="E878" s="3"/>
      <c r="F878" s="3" t="s">
        <v>102</v>
      </c>
      <c r="G878">
        <v>5</v>
      </c>
      <c r="H878" s="4">
        <v>4</v>
      </c>
      <c r="I878" s="4">
        <v>13</v>
      </c>
      <c r="J878" s="4" t="s">
        <v>8</v>
      </c>
      <c r="K878" s="4" t="s">
        <v>14</v>
      </c>
      <c r="L878" s="11"/>
      <c r="M878" s="3"/>
      <c r="N878"/>
      <c r="O878" s="4"/>
      <c r="P878" s="1"/>
      <c r="Q878" s="22"/>
      <c r="R878"/>
      <c r="S878" s="11"/>
      <c r="T878" t="s">
        <v>66</v>
      </c>
      <c r="U878"/>
      <c r="V878" s="1"/>
      <c r="W878" s="1"/>
    </row>
    <row r="879" spans="2:23" x14ac:dyDescent="0.35">
      <c r="B879" s="4">
        <v>30008931</v>
      </c>
      <c r="C879" s="1" t="s">
        <v>547</v>
      </c>
      <c r="D879" s="4" t="s">
        <v>86</v>
      </c>
      <c r="E879" s="3"/>
      <c r="F879" s="3" t="s">
        <v>68</v>
      </c>
      <c r="G879">
        <v>20</v>
      </c>
      <c r="H879" s="4">
        <v>6</v>
      </c>
      <c r="I879" s="4">
        <v>23</v>
      </c>
      <c r="J879" s="4" t="s">
        <v>8</v>
      </c>
      <c r="K879" s="4" t="s">
        <v>7</v>
      </c>
      <c r="L879" s="11"/>
      <c r="M879" s="3"/>
      <c r="N879"/>
      <c r="O879" s="4"/>
      <c r="P879" s="1"/>
      <c r="Q879" s="22"/>
      <c r="R879"/>
      <c r="S879" s="11"/>
      <c r="T879" t="s">
        <v>70</v>
      </c>
      <c r="U879"/>
      <c r="V879" s="1"/>
      <c r="W879" s="1"/>
    </row>
    <row r="880" spans="2:23" x14ac:dyDescent="0.35">
      <c r="B880" s="4">
        <v>30008973</v>
      </c>
      <c r="C880" s="1" t="s">
        <v>548</v>
      </c>
      <c r="D880" s="4" t="s">
        <v>86</v>
      </c>
      <c r="E880" s="3"/>
      <c r="F880" s="3" t="s">
        <v>68</v>
      </c>
      <c r="G880">
        <v>8</v>
      </c>
      <c r="H880" s="4">
        <v>10</v>
      </c>
      <c r="I880" s="4">
        <v>12</v>
      </c>
      <c r="J880" s="4" t="s">
        <v>8</v>
      </c>
      <c r="K880" s="4" t="s">
        <v>7</v>
      </c>
      <c r="L880" s="11"/>
      <c r="M880" s="3"/>
      <c r="N880"/>
      <c r="O880" s="4"/>
      <c r="P880" s="1"/>
      <c r="Q880" s="22"/>
      <c r="R880"/>
      <c r="S880" s="11"/>
      <c r="T880" t="s">
        <v>1602</v>
      </c>
      <c r="U880"/>
      <c r="V880" s="1"/>
      <c r="W880" s="1"/>
    </row>
    <row r="881" spans="2:23" x14ac:dyDescent="0.35">
      <c r="B881" s="4">
        <v>30009410</v>
      </c>
      <c r="C881" s="1" t="s">
        <v>46</v>
      </c>
      <c r="D881" s="4" t="s">
        <v>86</v>
      </c>
      <c r="E881" s="3"/>
      <c r="F881" s="3" t="s">
        <v>68</v>
      </c>
      <c r="G881">
        <v>20</v>
      </c>
      <c r="H881" s="4">
        <v>50</v>
      </c>
      <c r="I881" s="4">
        <v>39</v>
      </c>
      <c r="J881" s="4" t="s">
        <v>8</v>
      </c>
      <c r="K881" s="4" t="s">
        <v>7</v>
      </c>
      <c r="L881" s="11"/>
      <c r="M881" s="3"/>
      <c r="N881"/>
      <c r="O881" s="4"/>
      <c r="P881" s="1"/>
      <c r="Q881" s="22"/>
      <c r="R881"/>
      <c r="S881" s="11"/>
      <c r="T881" t="s">
        <v>67</v>
      </c>
      <c r="U881"/>
      <c r="V881" s="1"/>
      <c r="W881" s="1"/>
    </row>
    <row r="882" spans="2:23" x14ac:dyDescent="0.35">
      <c r="B882" s="4">
        <v>30009554</v>
      </c>
      <c r="C882" s="1" t="s">
        <v>549</v>
      </c>
      <c r="D882" s="4" t="s">
        <v>86</v>
      </c>
      <c r="E882" s="3"/>
      <c r="F882" s="3" t="s">
        <v>68</v>
      </c>
      <c r="G882">
        <v>3</v>
      </c>
      <c r="H882" s="4">
        <v>4</v>
      </c>
      <c r="I882" s="4">
        <v>2</v>
      </c>
      <c r="J882" s="4" t="s">
        <v>8</v>
      </c>
      <c r="K882" s="4" t="s">
        <v>9</v>
      </c>
      <c r="L882" s="11">
        <v>1002716956</v>
      </c>
      <c r="M882" s="3">
        <v>4</v>
      </c>
      <c r="N882"/>
      <c r="O882" s="4"/>
      <c r="P882" s="1"/>
      <c r="Q882" s="22"/>
      <c r="R882"/>
      <c r="S882" s="11"/>
      <c r="T882" t="s">
        <v>67</v>
      </c>
      <c r="U882"/>
      <c r="V882" s="1"/>
      <c r="W882" s="1"/>
    </row>
    <row r="883" spans="2:23" x14ac:dyDescent="0.35">
      <c r="B883" s="4">
        <v>30010099</v>
      </c>
      <c r="C883" s="1" t="s">
        <v>1496</v>
      </c>
      <c r="D883" s="4" t="s">
        <v>86</v>
      </c>
      <c r="E883" s="3"/>
      <c r="F883" s="3" t="s">
        <v>68</v>
      </c>
      <c r="G883">
        <v>3</v>
      </c>
      <c r="H883" s="4">
        <v>2</v>
      </c>
      <c r="I883" s="4">
        <v>0</v>
      </c>
      <c r="J883" s="4" t="s">
        <v>8</v>
      </c>
      <c r="K883" s="4" t="s">
        <v>13</v>
      </c>
      <c r="L883" s="11" t="s">
        <v>6896</v>
      </c>
      <c r="M883" s="3"/>
      <c r="N883"/>
      <c r="O883" s="4"/>
      <c r="P883" s="1"/>
      <c r="Q883" s="22"/>
      <c r="R883"/>
      <c r="S883" s="11" t="s">
        <v>6886</v>
      </c>
      <c r="T883" t="s">
        <v>70</v>
      </c>
      <c r="U883"/>
      <c r="V883" s="1"/>
      <c r="W883" s="1"/>
    </row>
    <row r="884" spans="2:23" x14ac:dyDescent="0.35">
      <c r="B884" s="4">
        <v>30010232</v>
      </c>
      <c r="C884" s="1" t="s">
        <v>550</v>
      </c>
      <c r="D884" s="4" t="s">
        <v>86</v>
      </c>
      <c r="E884" s="3"/>
      <c r="F884" s="3" t="s">
        <v>68</v>
      </c>
      <c r="G884">
        <v>6</v>
      </c>
      <c r="H884" s="4">
        <v>6</v>
      </c>
      <c r="I884" s="4">
        <v>14</v>
      </c>
      <c r="J884" s="4" t="s">
        <v>8</v>
      </c>
      <c r="K884" s="4" t="s">
        <v>14</v>
      </c>
      <c r="L884" s="11"/>
      <c r="M884" s="3"/>
      <c r="N884"/>
      <c r="O884" s="4"/>
      <c r="P884" s="1"/>
      <c r="Q884" s="22"/>
      <c r="R884"/>
      <c r="S884" s="11"/>
      <c r="T884" t="s">
        <v>1602</v>
      </c>
      <c r="U884"/>
      <c r="V884" s="1"/>
      <c r="W884" s="1"/>
    </row>
    <row r="885" spans="2:23" x14ac:dyDescent="0.35">
      <c r="B885" s="4">
        <v>30010233</v>
      </c>
      <c r="C885" s="1" t="s">
        <v>551</v>
      </c>
      <c r="D885" s="4" t="s">
        <v>86</v>
      </c>
      <c r="E885" s="3"/>
      <c r="F885" s="3" t="s">
        <v>68</v>
      </c>
      <c r="G885">
        <v>6</v>
      </c>
      <c r="H885" s="4">
        <v>10</v>
      </c>
      <c r="I885" s="4">
        <v>13</v>
      </c>
      <c r="J885" s="4" t="s">
        <v>8</v>
      </c>
      <c r="K885" s="4" t="s">
        <v>7</v>
      </c>
      <c r="L885" s="11"/>
      <c r="M885" s="3"/>
      <c r="N885"/>
      <c r="O885" s="4"/>
      <c r="P885" s="1"/>
      <c r="Q885" s="22"/>
      <c r="R885"/>
      <c r="S885" s="11"/>
      <c r="T885" t="s">
        <v>1602</v>
      </c>
      <c r="U885"/>
      <c r="V885" s="1"/>
      <c r="W885" s="1"/>
    </row>
    <row r="886" spans="2:23" x14ac:dyDescent="0.35">
      <c r="B886" s="4">
        <v>30010878</v>
      </c>
      <c r="C886" s="1" t="s">
        <v>552</v>
      </c>
      <c r="D886" s="4" t="s">
        <v>86</v>
      </c>
      <c r="E886" s="3"/>
      <c r="F886" s="3" t="s">
        <v>68</v>
      </c>
      <c r="G886">
        <v>21</v>
      </c>
      <c r="H886" s="4">
        <v>20</v>
      </c>
      <c r="I886" s="4">
        <v>21</v>
      </c>
      <c r="J886" s="4" t="s">
        <v>8</v>
      </c>
      <c r="K886" s="4" t="s">
        <v>7</v>
      </c>
      <c r="L886" s="11"/>
      <c r="M886" s="3"/>
      <c r="N886"/>
      <c r="O886" s="4"/>
      <c r="P886" s="1"/>
      <c r="Q886" s="22"/>
      <c r="R886"/>
      <c r="S886" s="11"/>
      <c r="T886" t="s">
        <v>70</v>
      </c>
      <c r="U886"/>
      <c r="V886" s="1"/>
      <c r="W886" s="1"/>
    </row>
    <row r="887" spans="2:23" x14ac:dyDescent="0.35">
      <c r="B887" s="4">
        <v>30010879</v>
      </c>
      <c r="C887" s="1" t="s">
        <v>1591</v>
      </c>
      <c r="D887" s="4" t="s">
        <v>86</v>
      </c>
      <c r="E887" s="3"/>
      <c r="F887" s="3" t="s">
        <v>102</v>
      </c>
      <c r="G887">
        <v>7</v>
      </c>
      <c r="H887" s="4">
        <v>12</v>
      </c>
      <c r="I887" s="4">
        <v>9</v>
      </c>
      <c r="J887" s="4" t="s">
        <v>8</v>
      </c>
      <c r="K887" s="4" t="s">
        <v>7</v>
      </c>
      <c r="L887" s="11"/>
      <c r="M887" s="3"/>
      <c r="N887"/>
      <c r="O887" s="4"/>
      <c r="P887" s="1"/>
      <c r="Q887" s="22"/>
      <c r="R887"/>
      <c r="S887" s="11"/>
      <c r="T887" t="s">
        <v>70</v>
      </c>
      <c r="U887"/>
      <c r="V887" s="1"/>
      <c r="W887" s="1"/>
    </row>
    <row r="888" spans="2:23" x14ac:dyDescent="0.35">
      <c r="B888" s="4">
        <v>30010881</v>
      </c>
      <c r="C888" s="1" t="s">
        <v>553</v>
      </c>
      <c r="D888" s="4" t="s">
        <v>86</v>
      </c>
      <c r="E888" s="3"/>
      <c r="F888" s="3" t="s">
        <v>68</v>
      </c>
      <c r="G888">
        <v>16</v>
      </c>
      <c r="H888" s="4">
        <v>20</v>
      </c>
      <c r="I888" s="4">
        <v>25</v>
      </c>
      <c r="J888" s="4" t="s">
        <v>8</v>
      </c>
      <c r="K888" s="4" t="s">
        <v>7</v>
      </c>
      <c r="L888" s="11"/>
      <c r="M888" s="3"/>
      <c r="N888"/>
      <c r="O888" s="4"/>
      <c r="P888" s="1"/>
      <c r="Q888" s="22"/>
      <c r="R888"/>
      <c r="S888" s="11"/>
      <c r="T888" t="s">
        <v>70</v>
      </c>
      <c r="U888"/>
      <c r="V888" s="1"/>
      <c r="W888" s="1"/>
    </row>
    <row r="889" spans="2:23" x14ac:dyDescent="0.35">
      <c r="B889" s="4">
        <v>30010885</v>
      </c>
      <c r="C889" s="1" t="s">
        <v>790</v>
      </c>
      <c r="D889" s="4" t="s">
        <v>86</v>
      </c>
      <c r="E889" s="3"/>
      <c r="F889" s="3" t="s">
        <v>68</v>
      </c>
      <c r="G889">
        <v>20</v>
      </c>
      <c r="H889" s="4">
        <v>6</v>
      </c>
      <c r="I889" s="4">
        <v>42</v>
      </c>
      <c r="J889" s="4" t="s">
        <v>8</v>
      </c>
      <c r="K889" s="4" t="s">
        <v>14</v>
      </c>
      <c r="L889" s="11"/>
      <c r="M889" s="3"/>
      <c r="N889"/>
      <c r="O889" s="4"/>
      <c r="P889" s="1"/>
      <c r="Q889" s="22"/>
      <c r="R889"/>
      <c r="S889" s="11"/>
      <c r="T889" t="s">
        <v>70</v>
      </c>
      <c r="U889"/>
      <c r="V889" s="1"/>
      <c r="W889" s="1"/>
    </row>
    <row r="890" spans="2:23" x14ac:dyDescent="0.35">
      <c r="B890" s="4">
        <v>30010898</v>
      </c>
      <c r="C890" s="1" t="s">
        <v>554</v>
      </c>
      <c r="D890" s="4" t="s">
        <v>86</v>
      </c>
      <c r="E890" s="3"/>
      <c r="F890" s="3" t="s">
        <v>68</v>
      </c>
      <c r="G890">
        <v>15</v>
      </c>
      <c r="H890" s="4">
        <v>20</v>
      </c>
      <c r="I890" s="4">
        <v>45</v>
      </c>
      <c r="J890" s="4" t="s">
        <v>8</v>
      </c>
      <c r="K890" s="4" t="s">
        <v>14</v>
      </c>
      <c r="L890" s="11"/>
      <c r="M890" s="3"/>
      <c r="N890"/>
      <c r="O890" s="4"/>
      <c r="P890" s="1"/>
      <c r="Q890" s="22"/>
      <c r="R890"/>
      <c r="S890" s="11"/>
      <c r="T890" t="s">
        <v>70</v>
      </c>
      <c r="U890"/>
      <c r="V890" s="1"/>
      <c r="W890" s="1"/>
    </row>
    <row r="891" spans="2:23" x14ac:dyDescent="0.35">
      <c r="B891" s="4">
        <v>30010902</v>
      </c>
      <c r="C891" s="1" t="s">
        <v>1522</v>
      </c>
      <c r="D891" s="4" t="s">
        <v>86</v>
      </c>
      <c r="E891" s="3"/>
      <c r="F891" s="3" t="s">
        <v>68</v>
      </c>
      <c r="G891">
        <v>12</v>
      </c>
      <c r="H891" s="4">
        <v>12</v>
      </c>
      <c r="I891" s="4">
        <v>1</v>
      </c>
      <c r="J891" s="4" t="s">
        <v>8</v>
      </c>
      <c r="K891" s="4" t="s">
        <v>9</v>
      </c>
      <c r="L891" s="11"/>
      <c r="M891" s="3"/>
      <c r="N891">
        <v>4502712083</v>
      </c>
      <c r="O891" s="4">
        <v>12</v>
      </c>
      <c r="P891" s="1" t="s">
        <v>1452</v>
      </c>
      <c r="Q891" s="22">
        <v>46279</v>
      </c>
      <c r="R891"/>
      <c r="S891" s="11"/>
      <c r="T891" t="s">
        <v>70</v>
      </c>
      <c r="U891"/>
      <c r="V891" s="1"/>
      <c r="W891" s="1"/>
    </row>
    <row r="892" spans="2:23" x14ac:dyDescent="0.35">
      <c r="B892" s="4">
        <v>30010905</v>
      </c>
      <c r="C892" s="1" t="s">
        <v>555</v>
      </c>
      <c r="D892" s="4" t="s">
        <v>86</v>
      </c>
      <c r="E892" s="3"/>
      <c r="F892" s="3" t="s">
        <v>68</v>
      </c>
      <c r="G892">
        <v>12</v>
      </c>
      <c r="H892" s="4">
        <v>4</v>
      </c>
      <c r="I892" s="4">
        <v>10</v>
      </c>
      <c r="J892" s="4" t="s">
        <v>8</v>
      </c>
      <c r="K892" s="4" t="s">
        <v>9</v>
      </c>
      <c r="L892" s="11"/>
      <c r="M892" s="3"/>
      <c r="N892">
        <v>4502711054</v>
      </c>
      <c r="O892" s="4">
        <v>6</v>
      </c>
      <c r="P892" s="1" t="s">
        <v>1452</v>
      </c>
      <c r="Q892" s="22">
        <v>46268</v>
      </c>
      <c r="R892"/>
      <c r="S892" s="11"/>
      <c r="T892" t="s">
        <v>70</v>
      </c>
      <c r="U892"/>
      <c r="V892" s="1"/>
      <c r="W892" s="1"/>
    </row>
    <row r="893" spans="2:23" x14ac:dyDescent="0.35">
      <c r="B893" s="4">
        <v>30010908</v>
      </c>
      <c r="C893" s="1" t="s">
        <v>1457</v>
      </c>
      <c r="D893" s="4" t="s">
        <v>86</v>
      </c>
      <c r="E893" s="3"/>
      <c r="F893" s="3" t="s">
        <v>68</v>
      </c>
      <c r="G893">
        <v>4</v>
      </c>
      <c r="H893" s="4">
        <v>2</v>
      </c>
      <c r="I893" s="4">
        <v>7</v>
      </c>
      <c r="J893" s="4" t="s">
        <v>8</v>
      </c>
      <c r="K893" s="4" t="s">
        <v>14</v>
      </c>
      <c r="L893" s="11"/>
      <c r="M893" s="3"/>
      <c r="N893"/>
      <c r="O893" s="4"/>
      <c r="P893" s="1"/>
      <c r="Q893" s="22"/>
      <c r="R893"/>
      <c r="S893" s="11"/>
      <c r="T893" t="s">
        <v>70</v>
      </c>
      <c r="U893"/>
      <c r="V893" s="1"/>
      <c r="W893" s="1"/>
    </row>
    <row r="894" spans="2:23" x14ac:dyDescent="0.35">
      <c r="B894" s="4">
        <v>30010915</v>
      </c>
      <c r="C894" s="1" t="s">
        <v>1083</v>
      </c>
      <c r="D894" s="4" t="s">
        <v>86</v>
      </c>
      <c r="E894" s="3"/>
      <c r="F894" s="3" t="s">
        <v>68</v>
      </c>
      <c r="G894">
        <v>30</v>
      </c>
      <c r="H894" s="4">
        <v>30</v>
      </c>
      <c r="I894" s="4">
        <v>53</v>
      </c>
      <c r="J894" s="4" t="s">
        <v>8</v>
      </c>
      <c r="K894" s="4" t="s">
        <v>7</v>
      </c>
      <c r="L894" s="11"/>
      <c r="M894" s="3"/>
      <c r="N894"/>
      <c r="O894" s="4"/>
      <c r="P894" s="1"/>
      <c r="Q894" s="22"/>
      <c r="R894"/>
      <c r="S894" s="11"/>
      <c r="T894" t="s">
        <v>66</v>
      </c>
      <c r="U894"/>
      <c r="V894" s="1"/>
      <c r="W894" s="1"/>
    </row>
    <row r="895" spans="2:23" x14ac:dyDescent="0.35">
      <c r="B895" s="4">
        <v>30010919</v>
      </c>
      <c r="C895" s="1" t="s">
        <v>1458</v>
      </c>
      <c r="D895" s="4" t="s">
        <v>86</v>
      </c>
      <c r="E895" s="3"/>
      <c r="F895" s="3" t="s">
        <v>68</v>
      </c>
      <c r="G895">
        <v>9</v>
      </c>
      <c r="H895" s="4">
        <v>3</v>
      </c>
      <c r="I895" s="4">
        <v>11</v>
      </c>
      <c r="J895" s="4" t="s">
        <v>8</v>
      </c>
      <c r="K895" s="4" t="s">
        <v>7</v>
      </c>
      <c r="L895" s="11"/>
      <c r="M895" s="3"/>
      <c r="N895"/>
      <c r="O895" s="4"/>
      <c r="P895" s="1"/>
      <c r="Q895" s="22"/>
      <c r="R895"/>
      <c r="S895" s="11"/>
      <c r="T895" t="s">
        <v>70</v>
      </c>
      <c r="U895"/>
      <c r="V895" s="1"/>
      <c r="W895" s="1"/>
    </row>
    <row r="896" spans="2:23" x14ac:dyDescent="0.35">
      <c r="B896" s="4">
        <v>30010929</v>
      </c>
      <c r="C896" s="1" t="s">
        <v>556</v>
      </c>
      <c r="D896" s="4" t="s">
        <v>86</v>
      </c>
      <c r="E896" s="3"/>
      <c r="F896" s="3" t="s">
        <v>68</v>
      </c>
      <c r="G896">
        <v>35</v>
      </c>
      <c r="H896" s="4">
        <v>15</v>
      </c>
      <c r="I896" s="4">
        <v>41</v>
      </c>
      <c r="J896" s="4" t="s">
        <v>8</v>
      </c>
      <c r="K896" s="4" t="s">
        <v>7</v>
      </c>
      <c r="L896" s="11"/>
      <c r="M896" s="3"/>
      <c r="N896"/>
      <c r="O896" s="4"/>
      <c r="P896" s="1"/>
      <c r="Q896" s="22"/>
      <c r="R896"/>
      <c r="S896" s="11"/>
      <c r="T896" t="s">
        <v>70</v>
      </c>
      <c r="U896"/>
      <c r="V896" s="1"/>
      <c r="W896" s="1"/>
    </row>
    <row r="897" spans="2:23" x14ac:dyDescent="0.35">
      <c r="B897" s="4">
        <v>30010930</v>
      </c>
      <c r="C897" s="1" t="s">
        <v>1459</v>
      </c>
      <c r="D897" s="4" t="s">
        <v>86</v>
      </c>
      <c r="E897" s="3"/>
      <c r="F897" s="3" t="s">
        <v>68</v>
      </c>
      <c r="G897">
        <v>6</v>
      </c>
      <c r="H897" s="4">
        <v>2</v>
      </c>
      <c r="I897" s="4">
        <v>6</v>
      </c>
      <c r="J897" s="4" t="s">
        <v>8</v>
      </c>
      <c r="K897" s="4" t="s">
        <v>7</v>
      </c>
      <c r="L897" s="11"/>
      <c r="M897" s="3"/>
      <c r="N897"/>
      <c r="O897" s="4"/>
      <c r="P897" s="1"/>
      <c r="Q897" s="22"/>
      <c r="R897"/>
      <c r="S897" s="11"/>
      <c r="T897" t="s">
        <v>70</v>
      </c>
      <c r="U897"/>
      <c r="V897" s="1"/>
      <c r="W897" s="1"/>
    </row>
    <row r="898" spans="2:23" x14ac:dyDescent="0.35">
      <c r="B898" s="4">
        <v>30010933</v>
      </c>
      <c r="C898" s="1" t="s">
        <v>558</v>
      </c>
      <c r="D898" s="4" t="s">
        <v>86</v>
      </c>
      <c r="E898" s="3"/>
      <c r="F898" s="3" t="s">
        <v>68</v>
      </c>
      <c r="G898">
        <v>20</v>
      </c>
      <c r="H898" s="4">
        <v>6</v>
      </c>
      <c r="I898" s="4">
        <v>23</v>
      </c>
      <c r="J898" s="4" t="s">
        <v>8</v>
      </c>
      <c r="K898" s="4" t="s">
        <v>7</v>
      </c>
      <c r="L898" s="11"/>
      <c r="M898" s="3"/>
      <c r="N898"/>
      <c r="O898" s="4"/>
      <c r="P898" s="1"/>
      <c r="Q898" s="22"/>
      <c r="R898"/>
      <c r="S898" s="11"/>
      <c r="T898" t="s">
        <v>70</v>
      </c>
      <c r="U898"/>
      <c r="V898" s="1"/>
      <c r="W898" s="1"/>
    </row>
    <row r="899" spans="2:23" x14ac:dyDescent="0.35">
      <c r="B899" s="4">
        <v>30010934</v>
      </c>
      <c r="C899" s="1" t="s">
        <v>559</v>
      </c>
      <c r="D899" s="4" t="s">
        <v>86</v>
      </c>
      <c r="E899" s="3"/>
      <c r="F899" s="3" t="s">
        <v>68</v>
      </c>
      <c r="G899">
        <v>13</v>
      </c>
      <c r="H899" s="4">
        <v>15</v>
      </c>
      <c r="I899" s="4">
        <v>6</v>
      </c>
      <c r="J899" s="4" t="s">
        <v>8</v>
      </c>
      <c r="K899" s="4" t="s">
        <v>9</v>
      </c>
      <c r="L899" s="11">
        <v>1002706194</v>
      </c>
      <c r="M899" s="3"/>
      <c r="N899">
        <v>4502713633</v>
      </c>
      <c r="O899" s="4">
        <v>20</v>
      </c>
      <c r="P899" s="1" t="s">
        <v>1452</v>
      </c>
      <c r="Q899" s="22">
        <v>46282</v>
      </c>
      <c r="R899"/>
      <c r="S899" s="11"/>
      <c r="T899" t="s">
        <v>70</v>
      </c>
      <c r="U899"/>
      <c r="V899" s="1"/>
      <c r="W899" s="1"/>
    </row>
    <row r="900" spans="2:23" x14ac:dyDescent="0.35">
      <c r="B900" s="4">
        <v>30010935</v>
      </c>
      <c r="C900" s="1" t="s">
        <v>560</v>
      </c>
      <c r="D900" s="4" t="s">
        <v>86</v>
      </c>
      <c r="E900" s="3"/>
      <c r="F900" s="3" t="s">
        <v>68</v>
      </c>
      <c r="G900">
        <v>8</v>
      </c>
      <c r="H900" s="4">
        <v>10</v>
      </c>
      <c r="I900" s="4">
        <v>18</v>
      </c>
      <c r="J900" s="4" t="s">
        <v>8</v>
      </c>
      <c r="K900" s="4" t="s">
        <v>7</v>
      </c>
      <c r="L900" s="11"/>
      <c r="M900" s="3"/>
      <c r="N900"/>
      <c r="O900" s="4"/>
      <c r="P900" s="1"/>
      <c r="Q900" s="22"/>
      <c r="R900"/>
      <c r="S900" s="11"/>
      <c r="T900" t="s">
        <v>70</v>
      </c>
      <c r="U900"/>
      <c r="V900" s="1"/>
      <c r="W900" s="1"/>
    </row>
    <row r="901" spans="2:23" x14ac:dyDescent="0.35">
      <c r="B901" s="4">
        <v>30010938</v>
      </c>
      <c r="C901" s="1" t="s">
        <v>561</v>
      </c>
      <c r="D901" s="4" t="s">
        <v>86</v>
      </c>
      <c r="E901" s="3"/>
      <c r="F901" s="3" t="s">
        <v>68</v>
      </c>
      <c r="G901">
        <v>2</v>
      </c>
      <c r="H901" s="4">
        <v>4</v>
      </c>
      <c r="I901" s="4">
        <v>32</v>
      </c>
      <c r="J901" s="4" t="s">
        <v>8</v>
      </c>
      <c r="K901" s="4" t="s">
        <v>14</v>
      </c>
      <c r="L901" s="11"/>
      <c r="M901" s="3"/>
      <c r="N901"/>
      <c r="O901" s="4"/>
      <c r="P901" s="1"/>
      <c r="Q901" s="22"/>
      <c r="R901"/>
      <c r="S901" s="11"/>
      <c r="T901" t="s">
        <v>70</v>
      </c>
      <c r="U901"/>
      <c r="V901" s="1"/>
      <c r="W901" s="1"/>
    </row>
    <row r="902" spans="2:23" x14ac:dyDescent="0.35">
      <c r="B902" s="4">
        <v>30010939</v>
      </c>
      <c r="C902" s="1" t="s">
        <v>562</v>
      </c>
      <c r="D902" s="4" t="s">
        <v>86</v>
      </c>
      <c r="E902" s="3"/>
      <c r="F902" s="3" t="s">
        <v>68</v>
      </c>
      <c r="G902">
        <v>28</v>
      </c>
      <c r="H902" s="4">
        <v>10</v>
      </c>
      <c r="I902" s="4">
        <v>41</v>
      </c>
      <c r="J902" s="4" t="s">
        <v>8</v>
      </c>
      <c r="K902" s="4" t="s">
        <v>14</v>
      </c>
      <c r="L902" s="11"/>
      <c r="M902" s="3"/>
      <c r="N902"/>
      <c r="O902" s="4"/>
      <c r="P902" s="1"/>
      <c r="Q902" s="22"/>
      <c r="R902"/>
      <c r="S902" s="11"/>
      <c r="T902" t="s">
        <v>70</v>
      </c>
      <c r="U902"/>
      <c r="V902" s="1"/>
      <c r="W902" s="1"/>
    </row>
    <row r="903" spans="2:23" x14ac:dyDescent="0.35">
      <c r="B903" s="4">
        <v>30010940</v>
      </c>
      <c r="C903" s="1" t="s">
        <v>563</v>
      </c>
      <c r="D903" s="4" t="s">
        <v>86</v>
      </c>
      <c r="E903" s="3"/>
      <c r="F903" s="3" t="s">
        <v>68</v>
      </c>
      <c r="G903">
        <v>4</v>
      </c>
      <c r="H903" s="4">
        <v>8</v>
      </c>
      <c r="I903" s="4">
        <v>20</v>
      </c>
      <c r="J903" s="4" t="s">
        <v>8</v>
      </c>
      <c r="K903" s="4" t="s">
        <v>14</v>
      </c>
      <c r="L903" s="11"/>
      <c r="M903" s="3"/>
      <c r="N903"/>
      <c r="O903" s="4"/>
      <c r="P903" s="1"/>
      <c r="Q903" s="22"/>
      <c r="R903"/>
      <c r="S903" s="11"/>
      <c r="T903" t="s">
        <v>70</v>
      </c>
      <c r="U903"/>
      <c r="V903" s="1"/>
      <c r="W903" s="1"/>
    </row>
    <row r="904" spans="2:23" x14ac:dyDescent="0.35">
      <c r="B904" s="4">
        <v>30010941</v>
      </c>
      <c r="C904" s="1" t="s">
        <v>564</v>
      </c>
      <c r="D904" s="4" t="s">
        <v>86</v>
      </c>
      <c r="E904" s="3"/>
      <c r="F904" s="3" t="s">
        <v>68</v>
      </c>
      <c r="G904">
        <v>10</v>
      </c>
      <c r="H904" s="4">
        <v>15</v>
      </c>
      <c r="I904" s="4">
        <v>25</v>
      </c>
      <c r="J904" s="4" t="s">
        <v>8</v>
      </c>
      <c r="K904" s="4" t="s">
        <v>7</v>
      </c>
      <c r="L904" s="11"/>
      <c r="M904" s="3"/>
      <c r="N904"/>
      <c r="O904" s="4"/>
      <c r="P904" s="1"/>
      <c r="Q904" s="22"/>
      <c r="R904"/>
      <c r="S904" s="11"/>
      <c r="T904" t="s">
        <v>70</v>
      </c>
      <c r="U904"/>
      <c r="V904" s="1"/>
      <c r="W904" s="1"/>
    </row>
    <row r="905" spans="2:23" x14ac:dyDescent="0.35">
      <c r="B905" s="4">
        <v>30010942</v>
      </c>
      <c r="C905" s="1" t="s">
        <v>565</v>
      </c>
      <c r="D905" s="4" t="s">
        <v>86</v>
      </c>
      <c r="E905" s="3"/>
      <c r="F905" s="3" t="s">
        <v>68</v>
      </c>
      <c r="G905">
        <v>30</v>
      </c>
      <c r="H905" s="4">
        <v>10</v>
      </c>
      <c r="I905" s="4">
        <v>43</v>
      </c>
      <c r="J905" s="4" t="s">
        <v>8</v>
      </c>
      <c r="K905" s="4" t="s">
        <v>14</v>
      </c>
      <c r="L905" s="11"/>
      <c r="M905" s="3"/>
      <c r="N905"/>
      <c r="O905" s="4"/>
      <c r="P905" s="1"/>
      <c r="Q905" s="22"/>
      <c r="R905"/>
      <c r="S905" s="11"/>
      <c r="T905" t="s">
        <v>70</v>
      </c>
      <c r="U905"/>
      <c r="V905" s="1"/>
      <c r="W905" s="1"/>
    </row>
    <row r="906" spans="2:23" x14ac:dyDescent="0.35">
      <c r="B906" s="4">
        <v>30010944</v>
      </c>
      <c r="C906" s="1" t="s">
        <v>1460</v>
      </c>
      <c r="D906" s="4" t="s">
        <v>86</v>
      </c>
      <c r="E906" s="3"/>
      <c r="F906" s="3" t="s">
        <v>68</v>
      </c>
      <c r="G906">
        <v>5</v>
      </c>
      <c r="H906" s="4">
        <v>2</v>
      </c>
      <c r="I906" s="4">
        <v>5</v>
      </c>
      <c r="J906" s="4" t="s">
        <v>8</v>
      </c>
      <c r="K906" s="4" t="s">
        <v>7</v>
      </c>
      <c r="L906" s="11"/>
      <c r="M906" s="3"/>
      <c r="N906"/>
      <c r="O906" s="4"/>
      <c r="P906" s="1"/>
      <c r="Q906" s="22"/>
      <c r="R906"/>
      <c r="S906" s="11"/>
      <c r="T906" t="s">
        <v>70</v>
      </c>
      <c r="U906"/>
      <c r="V906" s="1"/>
      <c r="W906" s="1"/>
    </row>
    <row r="907" spans="2:23" x14ac:dyDescent="0.35">
      <c r="B907" s="4">
        <v>30010949</v>
      </c>
      <c r="C907" s="1" t="s">
        <v>566</v>
      </c>
      <c r="D907" s="4" t="s">
        <v>86</v>
      </c>
      <c r="E907" s="3"/>
      <c r="F907" s="3" t="s">
        <v>68</v>
      </c>
      <c r="G907">
        <v>10</v>
      </c>
      <c r="H907" s="4">
        <v>15</v>
      </c>
      <c r="I907" s="4">
        <v>20</v>
      </c>
      <c r="J907" s="4" t="s">
        <v>8</v>
      </c>
      <c r="K907" s="4" t="s">
        <v>7</v>
      </c>
      <c r="L907" s="11"/>
      <c r="M907" s="3"/>
      <c r="N907"/>
      <c r="O907" s="4"/>
      <c r="P907" s="1"/>
      <c r="Q907" s="22"/>
      <c r="R907"/>
      <c r="S907" s="11"/>
      <c r="T907" t="s">
        <v>70</v>
      </c>
      <c r="U907"/>
      <c r="V907" s="1"/>
      <c r="W907" s="1"/>
    </row>
    <row r="908" spans="2:23" x14ac:dyDescent="0.35">
      <c r="B908" s="4">
        <v>30010955</v>
      </c>
      <c r="C908" s="1" t="s">
        <v>1461</v>
      </c>
      <c r="D908" s="4" t="s">
        <v>86</v>
      </c>
      <c r="E908" s="3"/>
      <c r="F908" s="3" t="s">
        <v>68</v>
      </c>
      <c r="G908">
        <v>13</v>
      </c>
      <c r="H908" s="4">
        <v>8</v>
      </c>
      <c r="I908" s="4">
        <v>11</v>
      </c>
      <c r="J908" s="4" t="s">
        <v>8</v>
      </c>
      <c r="K908" s="4" t="s">
        <v>9</v>
      </c>
      <c r="L908" s="11">
        <v>1002673993</v>
      </c>
      <c r="M908" s="3"/>
      <c r="N908"/>
      <c r="O908" s="4"/>
      <c r="P908" s="1"/>
      <c r="Q908" s="22"/>
      <c r="R908"/>
      <c r="S908" s="11"/>
      <c r="T908" t="s">
        <v>70</v>
      </c>
      <c r="U908"/>
      <c r="V908" s="1"/>
      <c r="W908" s="1"/>
    </row>
    <row r="909" spans="2:23" x14ac:dyDescent="0.35">
      <c r="B909" s="4">
        <v>30010966</v>
      </c>
      <c r="C909" s="1" t="s">
        <v>1462</v>
      </c>
      <c r="D909" s="4" t="s">
        <v>86</v>
      </c>
      <c r="E909" s="3"/>
      <c r="F909" s="3" t="s">
        <v>68</v>
      </c>
      <c r="G909">
        <v>13</v>
      </c>
      <c r="H909" s="4">
        <v>15</v>
      </c>
      <c r="I909" s="4">
        <v>24</v>
      </c>
      <c r="J909" s="4" t="s">
        <v>8</v>
      </c>
      <c r="K909" s="4" t="s">
        <v>7</v>
      </c>
      <c r="L909" s="11"/>
      <c r="M909" s="3"/>
      <c r="N909"/>
      <c r="O909" s="4"/>
      <c r="P909" s="1"/>
      <c r="Q909" s="22"/>
      <c r="R909"/>
      <c r="S909" s="11"/>
      <c r="T909" t="s">
        <v>70</v>
      </c>
      <c r="U909"/>
      <c r="V909" s="1"/>
      <c r="W909" s="1"/>
    </row>
    <row r="910" spans="2:23" x14ac:dyDescent="0.35">
      <c r="B910" s="4">
        <v>30010968</v>
      </c>
      <c r="C910" s="1" t="s">
        <v>1463</v>
      </c>
      <c r="D910" s="4" t="s">
        <v>86</v>
      </c>
      <c r="E910" s="3"/>
      <c r="F910" s="3" t="s">
        <v>68</v>
      </c>
      <c r="G910">
        <v>10</v>
      </c>
      <c r="H910" s="4">
        <v>4</v>
      </c>
      <c r="I910" s="4">
        <v>13</v>
      </c>
      <c r="J910" s="4" t="s">
        <v>8</v>
      </c>
      <c r="K910" s="4" t="s">
        <v>7</v>
      </c>
      <c r="L910" s="11"/>
      <c r="M910" s="3"/>
      <c r="N910"/>
      <c r="O910" s="4"/>
      <c r="P910" s="1"/>
      <c r="Q910" s="22"/>
      <c r="R910"/>
      <c r="S910" s="11"/>
      <c r="T910" t="s">
        <v>70</v>
      </c>
      <c r="U910"/>
      <c r="V910" s="1"/>
      <c r="W910" s="1"/>
    </row>
    <row r="911" spans="2:23" x14ac:dyDescent="0.35">
      <c r="B911" s="4">
        <v>30010971</v>
      </c>
      <c r="C911" s="1" t="s">
        <v>1464</v>
      </c>
      <c r="D911" s="4" t="s">
        <v>86</v>
      </c>
      <c r="E911" s="3"/>
      <c r="F911" s="3" t="s">
        <v>68</v>
      </c>
      <c r="G911">
        <v>10</v>
      </c>
      <c r="H911" s="4">
        <v>10</v>
      </c>
      <c r="I911" s="4">
        <v>40</v>
      </c>
      <c r="J911" s="4" t="s">
        <v>8</v>
      </c>
      <c r="K911" s="4" t="s">
        <v>14</v>
      </c>
      <c r="L911" s="11"/>
      <c r="M911" s="3"/>
      <c r="N911"/>
      <c r="O911" s="4"/>
      <c r="P911" s="1"/>
      <c r="Q911" s="22"/>
      <c r="R911"/>
      <c r="S911" s="11"/>
      <c r="T911" t="s">
        <v>70</v>
      </c>
      <c r="U911"/>
      <c r="V911" s="1"/>
      <c r="W911" s="1"/>
    </row>
    <row r="912" spans="2:23" x14ac:dyDescent="0.35">
      <c r="B912" s="4">
        <v>30010974</v>
      </c>
      <c r="C912" s="1" t="s">
        <v>1084</v>
      </c>
      <c r="D912" s="4" t="s">
        <v>86</v>
      </c>
      <c r="E912" s="3"/>
      <c r="F912" s="3" t="s">
        <v>68</v>
      </c>
      <c r="G912">
        <v>30</v>
      </c>
      <c r="H912" s="4">
        <v>30</v>
      </c>
      <c r="I912" s="4">
        <v>55</v>
      </c>
      <c r="J912" s="4" t="s">
        <v>8</v>
      </c>
      <c r="K912" s="4" t="s">
        <v>7</v>
      </c>
      <c r="L912" s="11"/>
      <c r="M912" s="3"/>
      <c r="N912"/>
      <c r="O912" s="4"/>
      <c r="P912" s="1"/>
      <c r="Q912" s="22"/>
      <c r="R912"/>
      <c r="S912" s="11"/>
      <c r="T912" t="s">
        <v>70</v>
      </c>
      <c r="U912"/>
      <c r="V912" s="1"/>
      <c r="W912" s="1"/>
    </row>
    <row r="913" spans="2:23" x14ac:dyDescent="0.35">
      <c r="B913" s="4">
        <v>30010977</v>
      </c>
      <c r="C913" s="1" t="s">
        <v>1550</v>
      </c>
      <c r="D913" s="4" t="s">
        <v>86</v>
      </c>
      <c r="E913" s="3"/>
      <c r="F913" s="3" t="s">
        <v>68</v>
      </c>
      <c r="G913">
        <v>6</v>
      </c>
      <c r="H913" s="4">
        <v>6</v>
      </c>
      <c r="I913" s="4">
        <v>13</v>
      </c>
      <c r="J913" s="4" t="s">
        <v>8</v>
      </c>
      <c r="K913" s="4" t="s">
        <v>14</v>
      </c>
      <c r="L913" s="11"/>
      <c r="M913" s="3"/>
      <c r="N913"/>
      <c r="O913" s="4"/>
      <c r="P913" s="1"/>
      <c r="Q913" s="22"/>
      <c r="R913"/>
      <c r="S913" s="11"/>
      <c r="T913" t="s">
        <v>70</v>
      </c>
      <c r="U913"/>
      <c r="V913" s="1"/>
      <c r="W913" s="1"/>
    </row>
    <row r="914" spans="2:23" x14ac:dyDescent="0.35">
      <c r="B914" s="4">
        <v>30010982</v>
      </c>
      <c r="C914" s="1" t="s">
        <v>567</v>
      </c>
      <c r="D914" s="4" t="s">
        <v>86</v>
      </c>
      <c r="E914" s="3"/>
      <c r="F914" s="3" t="s">
        <v>68</v>
      </c>
      <c r="G914">
        <v>20</v>
      </c>
      <c r="H914" s="4">
        <v>50</v>
      </c>
      <c r="I914" s="4">
        <v>30</v>
      </c>
      <c r="J914" s="4" t="s">
        <v>8</v>
      </c>
      <c r="K914" s="4" t="s">
        <v>7</v>
      </c>
      <c r="L914" s="11"/>
      <c r="M914" s="3"/>
      <c r="N914"/>
      <c r="O914" s="4"/>
      <c r="P914" s="1"/>
      <c r="Q914" s="22"/>
      <c r="R914"/>
      <c r="S914" s="11"/>
      <c r="T914" t="s">
        <v>70</v>
      </c>
      <c r="U914"/>
      <c r="V914" s="1"/>
      <c r="W914" s="1"/>
    </row>
    <row r="915" spans="2:23" x14ac:dyDescent="0.35">
      <c r="B915" s="4">
        <v>30010984</v>
      </c>
      <c r="C915" s="1" t="s">
        <v>1553</v>
      </c>
      <c r="D915" s="4" t="s">
        <v>86</v>
      </c>
      <c r="E915" s="3"/>
      <c r="F915" s="3" t="s">
        <v>68</v>
      </c>
      <c r="G915">
        <v>2</v>
      </c>
      <c r="H915" s="4">
        <v>2</v>
      </c>
      <c r="I915" s="4">
        <v>2</v>
      </c>
      <c r="J915" s="4" t="s">
        <v>8</v>
      </c>
      <c r="K915" s="4" t="s">
        <v>7</v>
      </c>
      <c r="L915" s="11"/>
      <c r="M915" s="3"/>
      <c r="N915"/>
      <c r="O915" s="4"/>
      <c r="P915" s="1"/>
      <c r="Q915" s="22"/>
      <c r="R915"/>
      <c r="S915" s="11"/>
      <c r="T915" t="s">
        <v>70</v>
      </c>
      <c r="U915"/>
      <c r="V915" s="1"/>
      <c r="W915" s="1"/>
    </row>
    <row r="916" spans="2:23" x14ac:dyDescent="0.35">
      <c r="B916" s="4">
        <v>30010985</v>
      </c>
      <c r="C916" s="1" t="s">
        <v>1395</v>
      </c>
      <c r="D916" s="4" t="s">
        <v>86</v>
      </c>
      <c r="E916" s="3"/>
      <c r="F916" s="3" t="s">
        <v>68</v>
      </c>
      <c r="G916">
        <v>10</v>
      </c>
      <c r="H916" s="4">
        <v>30</v>
      </c>
      <c r="I916" s="4">
        <v>21</v>
      </c>
      <c r="J916" s="4" t="s">
        <v>8</v>
      </c>
      <c r="K916" s="4" t="s">
        <v>7</v>
      </c>
      <c r="L916" s="11"/>
      <c r="M916" s="3"/>
      <c r="N916"/>
      <c r="O916" s="4"/>
      <c r="P916" s="1"/>
      <c r="Q916" s="22"/>
      <c r="R916"/>
      <c r="S916" s="11"/>
      <c r="T916" t="s">
        <v>70</v>
      </c>
      <c r="U916"/>
      <c r="V916" s="1"/>
      <c r="W916" s="1"/>
    </row>
    <row r="917" spans="2:23" x14ac:dyDescent="0.35">
      <c r="B917" s="4">
        <v>30011129</v>
      </c>
      <c r="C917" s="1" t="s">
        <v>1288</v>
      </c>
      <c r="D917" s="4" t="s">
        <v>86</v>
      </c>
      <c r="E917" s="3"/>
      <c r="F917" s="3" t="s">
        <v>68</v>
      </c>
      <c r="G917">
        <v>5</v>
      </c>
      <c r="H917" s="4">
        <v>5</v>
      </c>
      <c r="I917" s="4">
        <v>7</v>
      </c>
      <c r="J917" s="4" t="s">
        <v>8</v>
      </c>
      <c r="K917" s="4" t="s">
        <v>7</v>
      </c>
      <c r="L917" s="11"/>
      <c r="M917" s="3"/>
      <c r="N917"/>
      <c r="O917" s="4"/>
      <c r="P917" s="1"/>
      <c r="Q917" s="22"/>
      <c r="R917"/>
      <c r="S917" s="11" t="s">
        <v>6887</v>
      </c>
      <c r="T917" t="s">
        <v>70</v>
      </c>
      <c r="U917"/>
      <c r="V917" s="1"/>
      <c r="W917" s="1"/>
    </row>
    <row r="918" spans="2:23" x14ac:dyDescent="0.35">
      <c r="B918" s="4">
        <v>30011130</v>
      </c>
      <c r="C918" s="1" t="s">
        <v>1309</v>
      </c>
      <c r="D918" s="4" t="s">
        <v>86</v>
      </c>
      <c r="E918" s="3"/>
      <c r="F918" s="3" t="s">
        <v>68</v>
      </c>
      <c r="G918">
        <v>5</v>
      </c>
      <c r="H918" s="4">
        <v>15</v>
      </c>
      <c r="I918" s="4">
        <v>14</v>
      </c>
      <c r="J918" s="4" t="s">
        <v>8</v>
      </c>
      <c r="K918" s="4" t="s">
        <v>7</v>
      </c>
      <c r="L918" s="11"/>
      <c r="M918" s="3"/>
      <c r="N918"/>
      <c r="O918" s="4"/>
      <c r="P918" s="1"/>
      <c r="Q918" s="22"/>
      <c r="R918"/>
      <c r="S918" s="11"/>
      <c r="T918" t="s">
        <v>70</v>
      </c>
      <c r="U918"/>
      <c r="V918" s="1"/>
      <c r="W918" s="1"/>
    </row>
    <row r="919" spans="2:23" x14ac:dyDescent="0.35">
      <c r="B919" s="4">
        <v>30011131</v>
      </c>
      <c r="C919" s="1" t="s">
        <v>1333</v>
      </c>
      <c r="D919" s="4" t="s">
        <v>86</v>
      </c>
      <c r="E919" s="3"/>
      <c r="F919" s="3" t="s">
        <v>68</v>
      </c>
      <c r="G919">
        <v>5</v>
      </c>
      <c r="H919" s="4">
        <v>10</v>
      </c>
      <c r="I919" s="4">
        <v>6</v>
      </c>
      <c r="J919" s="4" t="s">
        <v>8</v>
      </c>
      <c r="K919" s="4" t="s">
        <v>7</v>
      </c>
      <c r="L919" s="11"/>
      <c r="M919" s="3"/>
      <c r="N919"/>
      <c r="O919" s="4"/>
      <c r="P919" s="1"/>
      <c r="Q919" s="22"/>
      <c r="R919"/>
      <c r="S919" s="11"/>
      <c r="T919" t="s">
        <v>70</v>
      </c>
      <c r="U919"/>
      <c r="V919" s="1"/>
      <c r="W919" s="1"/>
    </row>
    <row r="920" spans="2:23" x14ac:dyDescent="0.35">
      <c r="B920" s="4">
        <v>30011261</v>
      </c>
      <c r="C920" s="1" t="s">
        <v>1310</v>
      </c>
      <c r="D920" s="4" t="s">
        <v>86</v>
      </c>
      <c r="E920" s="3"/>
      <c r="F920" s="3" t="s">
        <v>68</v>
      </c>
      <c r="G920">
        <v>2</v>
      </c>
      <c r="H920" s="4">
        <v>2</v>
      </c>
      <c r="I920" s="4">
        <v>3</v>
      </c>
      <c r="J920" s="4" t="s">
        <v>8</v>
      </c>
      <c r="K920" s="4" t="s">
        <v>7</v>
      </c>
      <c r="L920" s="11"/>
      <c r="M920" s="3"/>
      <c r="N920"/>
      <c r="O920" s="4"/>
      <c r="P920" s="1"/>
      <c r="Q920" s="22"/>
      <c r="R920"/>
      <c r="S920" s="11"/>
      <c r="T920" t="s">
        <v>70</v>
      </c>
      <c r="U920"/>
      <c r="V920" s="1"/>
      <c r="W920" s="1"/>
    </row>
    <row r="921" spans="2:23" x14ac:dyDescent="0.35">
      <c r="B921" s="4">
        <v>30011572</v>
      </c>
      <c r="C921" s="1" t="s">
        <v>568</v>
      </c>
      <c r="D921" s="4" t="s">
        <v>86</v>
      </c>
      <c r="E921" s="3"/>
      <c r="F921" s="3" t="s">
        <v>102</v>
      </c>
      <c r="G921">
        <v>5</v>
      </c>
      <c r="H921" s="4">
        <v>4</v>
      </c>
      <c r="I921" s="4">
        <v>7</v>
      </c>
      <c r="J921" s="4" t="s">
        <v>8</v>
      </c>
      <c r="K921" s="4" t="s">
        <v>7</v>
      </c>
      <c r="L921" s="11"/>
      <c r="M921" s="3"/>
      <c r="N921"/>
      <c r="O921" s="4"/>
      <c r="P921" s="1"/>
      <c r="Q921" s="22"/>
      <c r="R921"/>
      <c r="S921" s="11"/>
      <c r="T921" t="s">
        <v>71</v>
      </c>
      <c r="U921"/>
      <c r="V921" s="1"/>
      <c r="W921" s="1"/>
    </row>
    <row r="922" spans="2:23" x14ac:dyDescent="0.35">
      <c r="B922" s="4">
        <v>30011756</v>
      </c>
      <c r="C922" s="1" t="s">
        <v>1050</v>
      </c>
      <c r="D922" s="4" t="s">
        <v>86</v>
      </c>
      <c r="E922" s="3" t="s">
        <v>1225</v>
      </c>
      <c r="F922" s="3" t="s">
        <v>102</v>
      </c>
      <c r="G922">
        <v>5</v>
      </c>
      <c r="H922" s="4">
        <v>4</v>
      </c>
      <c r="I922" s="4">
        <v>8</v>
      </c>
      <c r="J922" s="4" t="s">
        <v>8</v>
      </c>
      <c r="K922" s="4" t="s">
        <v>7</v>
      </c>
      <c r="L922" s="11"/>
      <c r="M922" s="3"/>
      <c r="N922"/>
      <c r="O922" s="4"/>
      <c r="P922" s="1"/>
      <c r="Q922" s="22"/>
      <c r="R922"/>
      <c r="S922" s="11" t="s">
        <v>6856</v>
      </c>
      <c r="T922" t="s">
        <v>66</v>
      </c>
      <c r="U922"/>
      <c r="V922" s="1"/>
      <c r="W922" s="1"/>
    </row>
    <row r="923" spans="2:23" x14ac:dyDescent="0.35">
      <c r="B923" s="4">
        <v>30012032</v>
      </c>
      <c r="C923" s="1" t="s">
        <v>1369</v>
      </c>
      <c r="D923" s="4" t="s">
        <v>86</v>
      </c>
      <c r="E923" s="3"/>
      <c r="F923" s="3" t="s">
        <v>68</v>
      </c>
      <c r="G923">
        <v>3</v>
      </c>
      <c r="H923" s="4">
        <v>6</v>
      </c>
      <c r="I923" s="4">
        <v>5</v>
      </c>
      <c r="J923" s="4" t="s">
        <v>8</v>
      </c>
      <c r="K923" s="4" t="s">
        <v>7</v>
      </c>
      <c r="L923" s="11"/>
      <c r="M923" s="3"/>
      <c r="N923"/>
      <c r="O923" s="4"/>
      <c r="P923" s="1"/>
      <c r="Q923" s="22"/>
      <c r="R923"/>
      <c r="S923" s="11"/>
      <c r="T923" t="s">
        <v>71</v>
      </c>
      <c r="U923"/>
      <c r="V923" s="1"/>
      <c r="W923" s="1"/>
    </row>
    <row r="924" spans="2:23" x14ac:dyDescent="0.35">
      <c r="B924" s="4">
        <v>30012569</v>
      </c>
      <c r="C924" s="1" t="s">
        <v>569</v>
      </c>
      <c r="D924" s="4" t="s">
        <v>86</v>
      </c>
      <c r="E924" s="3"/>
      <c r="F924" s="3" t="s">
        <v>68</v>
      </c>
      <c r="G924">
        <v>100</v>
      </c>
      <c r="H924" s="4">
        <v>300</v>
      </c>
      <c r="I924" s="4">
        <v>380</v>
      </c>
      <c r="J924" s="4" t="s">
        <v>8</v>
      </c>
      <c r="K924" s="4" t="s">
        <v>7</v>
      </c>
      <c r="L924" s="11"/>
      <c r="M924" s="3"/>
      <c r="N924"/>
      <c r="O924" s="4"/>
      <c r="P924" s="1"/>
      <c r="Q924" s="22"/>
      <c r="R924"/>
      <c r="S924" s="11"/>
      <c r="T924" t="s">
        <v>1602</v>
      </c>
      <c r="U924"/>
      <c r="V924" s="1"/>
      <c r="W924" s="1"/>
    </row>
    <row r="925" spans="2:23" x14ac:dyDescent="0.35">
      <c r="B925" s="4">
        <v>30013011</v>
      </c>
      <c r="C925" s="1" t="s">
        <v>1504</v>
      </c>
      <c r="D925" s="4" t="s">
        <v>86</v>
      </c>
      <c r="E925" s="3"/>
      <c r="F925" s="3" t="s">
        <v>68</v>
      </c>
      <c r="G925">
        <v>4</v>
      </c>
      <c r="H925" s="4">
        <v>4</v>
      </c>
      <c r="I925" s="4">
        <v>5</v>
      </c>
      <c r="J925" s="4" t="s">
        <v>8</v>
      </c>
      <c r="K925" s="4" t="s">
        <v>7</v>
      </c>
      <c r="L925" s="11"/>
      <c r="M925" s="3"/>
      <c r="N925"/>
      <c r="O925" s="4"/>
      <c r="P925" s="1"/>
      <c r="Q925" s="22"/>
      <c r="R925"/>
      <c r="S925" s="11"/>
      <c r="T925" t="s">
        <v>71</v>
      </c>
      <c r="U925"/>
      <c r="V925" s="1"/>
      <c r="W925" s="1"/>
    </row>
    <row r="926" spans="2:23" x14ac:dyDescent="0.35">
      <c r="B926" s="4">
        <v>30013936</v>
      </c>
      <c r="C926" s="1" t="s">
        <v>884</v>
      </c>
      <c r="D926" s="4" t="s">
        <v>86</v>
      </c>
      <c r="E926" s="3"/>
      <c r="F926" s="3" t="s">
        <v>102</v>
      </c>
      <c r="G926">
        <v>1</v>
      </c>
      <c r="H926" s="4">
        <v>2</v>
      </c>
      <c r="I926" s="4">
        <v>2</v>
      </c>
      <c r="J926" s="4" t="s">
        <v>8</v>
      </c>
      <c r="K926" s="4" t="s">
        <v>7</v>
      </c>
      <c r="L926" s="11"/>
      <c r="M926" s="3"/>
      <c r="N926"/>
      <c r="O926" s="4"/>
      <c r="P926" s="1"/>
      <c r="Q926" s="22"/>
      <c r="R926"/>
      <c r="S926" s="11"/>
      <c r="T926" t="s">
        <v>71</v>
      </c>
      <c r="U926"/>
      <c r="V926" s="1"/>
      <c r="W926" s="1"/>
    </row>
    <row r="927" spans="2:23" x14ac:dyDescent="0.35">
      <c r="B927" s="4">
        <v>30014008</v>
      </c>
      <c r="C927" s="1" t="s">
        <v>570</v>
      </c>
      <c r="D927" s="4" t="s">
        <v>86</v>
      </c>
      <c r="E927" s="3"/>
      <c r="F927" s="3" t="s">
        <v>68</v>
      </c>
      <c r="G927">
        <v>6</v>
      </c>
      <c r="H927" s="4">
        <v>10</v>
      </c>
      <c r="I927" s="4">
        <v>19</v>
      </c>
      <c r="J927" s="4" t="s">
        <v>8</v>
      </c>
      <c r="K927" s="4" t="s">
        <v>14</v>
      </c>
      <c r="L927" s="11"/>
      <c r="M927" s="3"/>
      <c r="N927"/>
      <c r="O927" s="4"/>
      <c r="P927" s="1"/>
      <c r="Q927" s="22"/>
      <c r="R927"/>
      <c r="S927" s="11"/>
      <c r="T927" t="s">
        <v>70</v>
      </c>
      <c r="U927"/>
      <c r="V927" s="1"/>
      <c r="W927" s="1"/>
    </row>
    <row r="928" spans="2:23" x14ac:dyDescent="0.35">
      <c r="B928" s="4">
        <v>30014442</v>
      </c>
      <c r="C928" s="1" t="s">
        <v>571</v>
      </c>
      <c r="D928" s="4" t="s">
        <v>86</v>
      </c>
      <c r="E928" s="3"/>
      <c r="F928" s="3" t="s">
        <v>68</v>
      </c>
      <c r="G928">
        <v>2</v>
      </c>
      <c r="H928" s="4">
        <v>2</v>
      </c>
      <c r="I928" s="4">
        <v>3</v>
      </c>
      <c r="J928" s="4" t="s">
        <v>8</v>
      </c>
      <c r="K928" s="4" t="s">
        <v>7</v>
      </c>
      <c r="L928" s="11"/>
      <c r="M928" s="3"/>
      <c r="N928"/>
      <c r="O928" s="4"/>
      <c r="P928" s="1"/>
      <c r="Q928" s="22"/>
      <c r="R928"/>
      <c r="S928" s="11"/>
      <c r="T928" t="s">
        <v>70</v>
      </c>
      <c r="U928"/>
      <c r="V928" s="1"/>
      <c r="W928" s="1"/>
    </row>
    <row r="929" spans="2:23" x14ac:dyDescent="0.35">
      <c r="B929" s="4">
        <v>30014899</v>
      </c>
      <c r="C929" s="1" t="s">
        <v>572</v>
      </c>
      <c r="D929" s="4" t="s">
        <v>86</v>
      </c>
      <c r="E929" s="3"/>
      <c r="F929" s="3" t="s">
        <v>68</v>
      </c>
      <c r="G929">
        <v>2</v>
      </c>
      <c r="H929" s="4">
        <v>2</v>
      </c>
      <c r="I929" s="4">
        <v>2</v>
      </c>
      <c r="J929" s="4" t="s">
        <v>8</v>
      </c>
      <c r="K929" s="4" t="s">
        <v>7</v>
      </c>
      <c r="L929" s="11"/>
      <c r="M929" s="3"/>
      <c r="N929"/>
      <c r="O929" s="4"/>
      <c r="P929" s="1"/>
      <c r="Q929" s="22"/>
      <c r="R929"/>
      <c r="S929" s="11"/>
      <c r="T929" t="s">
        <v>69</v>
      </c>
      <c r="U929"/>
      <c r="V929" s="1"/>
      <c r="W929" s="1"/>
    </row>
    <row r="930" spans="2:23" x14ac:dyDescent="0.35">
      <c r="B930" s="4">
        <v>30014925</v>
      </c>
      <c r="C930" s="1" t="s">
        <v>1566</v>
      </c>
      <c r="D930" s="4" t="s">
        <v>86</v>
      </c>
      <c r="E930" s="3"/>
      <c r="F930" s="3" t="s">
        <v>68</v>
      </c>
      <c r="G930">
        <v>46</v>
      </c>
      <c r="H930" s="4">
        <v>91</v>
      </c>
      <c r="I930" s="4">
        <v>91</v>
      </c>
      <c r="J930" s="4" t="s">
        <v>25</v>
      </c>
      <c r="K930" s="4" t="s">
        <v>7</v>
      </c>
      <c r="L930" s="11"/>
      <c r="M930" s="3"/>
      <c r="N930"/>
      <c r="O930" s="4"/>
      <c r="P930" s="1"/>
      <c r="Q930" s="22"/>
      <c r="R930"/>
      <c r="S930" s="11"/>
      <c r="T930" t="s">
        <v>66</v>
      </c>
      <c r="U930"/>
      <c r="V930" s="1"/>
      <c r="W930" s="1"/>
    </row>
    <row r="931" spans="2:23" x14ac:dyDescent="0.35">
      <c r="B931" s="4">
        <v>30015346</v>
      </c>
      <c r="C931" s="1" t="s">
        <v>1334</v>
      </c>
      <c r="D931" s="4" t="s">
        <v>86</v>
      </c>
      <c r="E931" s="3"/>
      <c r="F931" s="3" t="s">
        <v>68</v>
      </c>
      <c r="G931">
        <v>3</v>
      </c>
      <c r="H931" s="4">
        <v>6</v>
      </c>
      <c r="I931" s="4">
        <v>6</v>
      </c>
      <c r="J931" s="4" t="s">
        <v>8</v>
      </c>
      <c r="K931" s="4" t="s">
        <v>7</v>
      </c>
      <c r="L931" s="11"/>
      <c r="M931" s="3"/>
      <c r="N931"/>
      <c r="O931" s="4"/>
      <c r="P931" s="1"/>
      <c r="Q931" s="22"/>
      <c r="R931"/>
      <c r="S931" s="11"/>
      <c r="T931" t="s">
        <v>70</v>
      </c>
      <c r="U931"/>
      <c r="V931" s="1"/>
      <c r="W931" s="1"/>
    </row>
    <row r="932" spans="2:23" x14ac:dyDescent="0.35">
      <c r="B932" s="4">
        <v>30016730</v>
      </c>
      <c r="C932" s="1" t="s">
        <v>573</v>
      </c>
      <c r="D932" s="4" t="s">
        <v>86</v>
      </c>
      <c r="E932" s="3"/>
      <c r="F932" s="3" t="s">
        <v>68</v>
      </c>
      <c r="G932">
        <v>2</v>
      </c>
      <c r="H932" s="4">
        <v>1</v>
      </c>
      <c r="I932" s="4">
        <v>3</v>
      </c>
      <c r="J932" s="4" t="s">
        <v>8</v>
      </c>
      <c r="K932" s="4" t="s">
        <v>7</v>
      </c>
      <c r="L932" s="11"/>
      <c r="M932" s="3"/>
      <c r="N932"/>
      <c r="O932" s="4"/>
      <c r="P932" s="1"/>
      <c r="Q932" s="22"/>
      <c r="R932"/>
      <c r="S932" s="11"/>
      <c r="T932" t="s">
        <v>1603</v>
      </c>
      <c r="U932"/>
      <c r="V932" s="1"/>
      <c r="W932" s="1"/>
    </row>
    <row r="933" spans="2:23" x14ac:dyDescent="0.35">
      <c r="B933" s="4">
        <v>30016955</v>
      </c>
      <c r="C933" s="1" t="s">
        <v>885</v>
      </c>
      <c r="D933" s="4" t="s">
        <v>86</v>
      </c>
      <c r="E933" s="3" t="s">
        <v>1225</v>
      </c>
      <c r="F933" s="3" t="s">
        <v>102</v>
      </c>
      <c r="G933">
        <v>7</v>
      </c>
      <c r="H933" s="4">
        <v>6</v>
      </c>
      <c r="I933" s="4">
        <v>9</v>
      </c>
      <c r="J933" s="4" t="s">
        <v>8</v>
      </c>
      <c r="K933" s="4" t="s">
        <v>7</v>
      </c>
      <c r="L933" s="11"/>
      <c r="M933" s="3"/>
      <c r="N933"/>
      <c r="O933" s="4"/>
      <c r="P933" s="1"/>
      <c r="Q933" s="22"/>
      <c r="R933"/>
      <c r="S933" s="11"/>
      <c r="T933" t="s">
        <v>71</v>
      </c>
      <c r="U933"/>
      <c r="V933" s="1"/>
      <c r="W933" s="1"/>
    </row>
    <row r="934" spans="2:23" x14ac:dyDescent="0.35">
      <c r="B934" s="4">
        <v>30017121</v>
      </c>
      <c r="C934" s="1" t="s">
        <v>1145</v>
      </c>
      <c r="D934" s="4" t="s">
        <v>86</v>
      </c>
      <c r="E934" s="3" t="s">
        <v>1225</v>
      </c>
      <c r="F934" s="3" t="s">
        <v>102</v>
      </c>
      <c r="G934">
        <v>21</v>
      </c>
      <c r="H934" s="4">
        <v>20</v>
      </c>
      <c r="I934" s="4">
        <v>36</v>
      </c>
      <c r="J934" s="4" t="s">
        <v>8</v>
      </c>
      <c r="K934" s="4" t="s">
        <v>7</v>
      </c>
      <c r="L934" s="11"/>
      <c r="M934" s="3"/>
      <c r="N934"/>
      <c r="O934" s="4"/>
      <c r="P934" s="1"/>
      <c r="Q934" s="22"/>
      <c r="R934"/>
      <c r="S934" s="11"/>
      <c r="T934" t="s">
        <v>66</v>
      </c>
      <c r="U934"/>
      <c r="V934" s="1"/>
      <c r="W934" s="1"/>
    </row>
    <row r="935" spans="2:23" x14ac:dyDescent="0.35">
      <c r="B935" s="4">
        <v>30017146</v>
      </c>
      <c r="C935" s="1" t="s">
        <v>1146</v>
      </c>
      <c r="D935" s="4" t="s">
        <v>86</v>
      </c>
      <c r="E935" s="3"/>
      <c r="F935" s="3" t="s">
        <v>102</v>
      </c>
      <c r="G935">
        <v>3</v>
      </c>
      <c r="H935" s="4">
        <v>2</v>
      </c>
      <c r="I935" s="4">
        <v>21</v>
      </c>
      <c r="J935" s="4" t="s">
        <v>8</v>
      </c>
      <c r="K935" s="4" t="s">
        <v>14</v>
      </c>
      <c r="L935" s="11"/>
      <c r="M935" s="3"/>
      <c r="N935"/>
      <c r="O935" s="4"/>
      <c r="P935" s="1"/>
      <c r="Q935" s="22"/>
      <c r="R935"/>
      <c r="S935" s="11"/>
      <c r="T935" t="s">
        <v>66</v>
      </c>
      <c r="U935"/>
      <c r="V935" s="1"/>
      <c r="W935" s="1"/>
    </row>
    <row r="936" spans="2:23" x14ac:dyDescent="0.35">
      <c r="B936" s="4">
        <v>30017155</v>
      </c>
      <c r="C936" s="1" t="s">
        <v>1147</v>
      </c>
      <c r="D936" s="4" t="s">
        <v>86</v>
      </c>
      <c r="E936" s="3"/>
      <c r="F936" s="3" t="s">
        <v>102</v>
      </c>
      <c r="G936">
        <v>8</v>
      </c>
      <c r="H936" s="4">
        <v>9</v>
      </c>
      <c r="I936" s="4">
        <v>6</v>
      </c>
      <c r="J936" s="4" t="s">
        <v>8</v>
      </c>
      <c r="K936" s="4" t="s">
        <v>9</v>
      </c>
      <c r="L936" s="11"/>
      <c r="M936" s="3"/>
      <c r="N936">
        <v>4502709905</v>
      </c>
      <c r="O936" s="4">
        <v>10</v>
      </c>
      <c r="P936" s="1" t="s">
        <v>1574</v>
      </c>
      <c r="Q936" s="22">
        <v>46258</v>
      </c>
      <c r="R936"/>
      <c r="S936" s="11"/>
      <c r="T936" t="s">
        <v>66</v>
      </c>
      <c r="U936"/>
      <c r="V936" s="1"/>
      <c r="W936" s="1"/>
    </row>
    <row r="937" spans="2:23" x14ac:dyDescent="0.35">
      <c r="B937" s="4">
        <v>30017156</v>
      </c>
      <c r="C937" s="1" t="s">
        <v>886</v>
      </c>
      <c r="D937" s="4" t="s">
        <v>86</v>
      </c>
      <c r="E937" s="3"/>
      <c r="F937" s="3" t="s">
        <v>102</v>
      </c>
      <c r="G937">
        <v>5</v>
      </c>
      <c r="H937" s="4">
        <v>4</v>
      </c>
      <c r="I937" s="4">
        <v>6</v>
      </c>
      <c r="J937" s="4" t="s">
        <v>8</v>
      </c>
      <c r="K937" s="4" t="s">
        <v>7</v>
      </c>
      <c r="L937" s="11"/>
      <c r="M937" s="3"/>
      <c r="N937"/>
      <c r="O937" s="4"/>
      <c r="P937" s="1"/>
      <c r="Q937" s="22"/>
      <c r="R937"/>
      <c r="S937" s="11"/>
      <c r="T937" t="s">
        <v>66</v>
      </c>
      <c r="U937"/>
      <c r="V937" s="1"/>
      <c r="W937" s="1"/>
    </row>
    <row r="938" spans="2:23" x14ac:dyDescent="0.35">
      <c r="B938" s="4">
        <v>30017165</v>
      </c>
      <c r="C938" s="1" t="s">
        <v>1148</v>
      </c>
      <c r="D938" s="4" t="s">
        <v>86</v>
      </c>
      <c r="E938" s="3"/>
      <c r="F938" s="3" t="s">
        <v>102</v>
      </c>
      <c r="G938">
        <v>3</v>
      </c>
      <c r="H938" s="4">
        <v>2</v>
      </c>
      <c r="I938" s="4">
        <v>14</v>
      </c>
      <c r="J938" s="4" t="s">
        <v>8</v>
      </c>
      <c r="K938" s="4" t="s">
        <v>14</v>
      </c>
      <c r="L938" s="11"/>
      <c r="M938" s="3"/>
      <c r="N938"/>
      <c r="O938" s="4"/>
      <c r="P938" s="1"/>
      <c r="Q938" s="22"/>
      <c r="R938"/>
      <c r="S938" s="11"/>
      <c r="T938" t="s">
        <v>66</v>
      </c>
      <c r="U938"/>
      <c r="V938" s="1"/>
      <c r="W938" s="1"/>
    </row>
    <row r="939" spans="2:23" x14ac:dyDescent="0.35">
      <c r="B939" s="4">
        <v>30017166</v>
      </c>
      <c r="C939" s="1" t="s">
        <v>1149</v>
      </c>
      <c r="D939" s="4" t="s">
        <v>86</v>
      </c>
      <c r="E939" s="3"/>
      <c r="F939" s="3" t="s">
        <v>102</v>
      </c>
      <c r="G939">
        <v>25</v>
      </c>
      <c r="H939" s="4">
        <v>24</v>
      </c>
      <c r="I939" s="4">
        <v>27</v>
      </c>
      <c r="J939" s="4" t="s">
        <v>8</v>
      </c>
      <c r="K939" s="4" t="s">
        <v>7</v>
      </c>
      <c r="L939" s="11"/>
      <c r="M939" s="3"/>
      <c r="N939"/>
      <c r="O939" s="4"/>
      <c r="P939" s="1"/>
      <c r="Q939" s="22"/>
      <c r="R939"/>
      <c r="S939" s="11"/>
      <c r="T939" t="s">
        <v>66</v>
      </c>
      <c r="U939"/>
      <c r="V939" s="1"/>
      <c r="W939" s="1"/>
    </row>
    <row r="940" spans="2:23" x14ac:dyDescent="0.35">
      <c r="B940" s="4">
        <v>30017311</v>
      </c>
      <c r="C940" s="1" t="s">
        <v>1150</v>
      </c>
      <c r="D940" s="4" t="s">
        <v>86</v>
      </c>
      <c r="E940" s="3"/>
      <c r="F940" s="3" t="s">
        <v>102</v>
      </c>
      <c r="G940">
        <v>25</v>
      </c>
      <c r="H940" s="4">
        <v>24</v>
      </c>
      <c r="I940" s="4">
        <v>27</v>
      </c>
      <c r="J940" s="4" t="s">
        <v>8</v>
      </c>
      <c r="K940" s="4" t="s">
        <v>7</v>
      </c>
      <c r="L940" s="11"/>
      <c r="M940" s="3"/>
      <c r="N940"/>
      <c r="O940" s="4"/>
      <c r="P940" s="1"/>
      <c r="Q940" s="22"/>
      <c r="R940"/>
      <c r="S940" s="11"/>
      <c r="T940" t="s">
        <v>70</v>
      </c>
      <c r="U940"/>
      <c r="V940" s="1"/>
      <c r="W940" s="1"/>
    </row>
    <row r="941" spans="2:23" x14ac:dyDescent="0.35">
      <c r="B941" s="4">
        <v>30017315</v>
      </c>
      <c r="C941" s="1" t="s">
        <v>887</v>
      </c>
      <c r="D941" s="4" t="s">
        <v>86</v>
      </c>
      <c r="E941" s="3"/>
      <c r="F941" s="3" t="s">
        <v>102</v>
      </c>
      <c r="G941">
        <v>3</v>
      </c>
      <c r="H941" s="4">
        <v>2</v>
      </c>
      <c r="I941" s="4">
        <v>4</v>
      </c>
      <c r="J941" s="4" t="s">
        <v>8</v>
      </c>
      <c r="K941" s="4" t="s">
        <v>7</v>
      </c>
      <c r="L941" s="11"/>
      <c r="M941" s="3"/>
      <c r="N941"/>
      <c r="O941" s="4"/>
      <c r="P941" s="1"/>
      <c r="Q941" s="22"/>
      <c r="R941"/>
      <c r="S941" s="11"/>
      <c r="T941" t="s">
        <v>66</v>
      </c>
      <c r="U941"/>
      <c r="V941" s="1"/>
      <c r="W941" s="1"/>
    </row>
    <row r="942" spans="2:23" x14ac:dyDescent="0.35">
      <c r="B942" s="4">
        <v>30017347</v>
      </c>
      <c r="C942" s="1" t="s">
        <v>1151</v>
      </c>
      <c r="D942" s="4" t="s">
        <v>86</v>
      </c>
      <c r="E942" s="3"/>
      <c r="F942" s="3" t="s">
        <v>102</v>
      </c>
      <c r="G942">
        <v>3</v>
      </c>
      <c r="H942" s="4">
        <v>2</v>
      </c>
      <c r="I942" s="4">
        <v>24</v>
      </c>
      <c r="J942" s="4" t="s">
        <v>8</v>
      </c>
      <c r="K942" s="4" t="s">
        <v>14</v>
      </c>
      <c r="L942" s="11"/>
      <c r="M942" s="3"/>
      <c r="N942"/>
      <c r="O942" s="4"/>
      <c r="P942" s="1"/>
      <c r="Q942" s="22"/>
      <c r="R942"/>
      <c r="S942" s="11"/>
      <c r="T942" t="s">
        <v>66</v>
      </c>
      <c r="U942"/>
      <c r="V942" s="1"/>
      <c r="W942" s="1"/>
    </row>
    <row r="943" spans="2:23" x14ac:dyDescent="0.35">
      <c r="B943" s="4">
        <v>30017440</v>
      </c>
      <c r="C943" s="1" t="s">
        <v>574</v>
      </c>
      <c r="D943" s="4" t="s">
        <v>86</v>
      </c>
      <c r="E943" s="3"/>
      <c r="F943" s="3" t="s">
        <v>68</v>
      </c>
      <c r="G943">
        <v>4</v>
      </c>
      <c r="H943" s="4">
        <v>4</v>
      </c>
      <c r="I943" s="4">
        <v>4</v>
      </c>
      <c r="J943" s="4" t="s">
        <v>8</v>
      </c>
      <c r="K943" s="4" t="s">
        <v>7</v>
      </c>
      <c r="L943" s="11"/>
      <c r="M943" s="3"/>
      <c r="N943"/>
      <c r="O943" s="4"/>
      <c r="P943" s="1"/>
      <c r="Q943" s="22"/>
      <c r="R943"/>
      <c r="S943" s="11"/>
      <c r="T943" t="s">
        <v>66</v>
      </c>
      <c r="U943"/>
      <c r="V943" s="1"/>
      <c r="W943" s="1"/>
    </row>
    <row r="944" spans="2:23" x14ac:dyDescent="0.35">
      <c r="B944" s="4">
        <v>30017563</v>
      </c>
      <c r="C944" s="1" t="s">
        <v>1152</v>
      </c>
      <c r="D944" s="4" t="s">
        <v>86</v>
      </c>
      <c r="E944" s="3"/>
      <c r="F944" s="3" t="s">
        <v>102</v>
      </c>
      <c r="G944">
        <v>25</v>
      </c>
      <c r="H944" s="4">
        <v>24</v>
      </c>
      <c r="I944" s="4">
        <v>34</v>
      </c>
      <c r="J944" s="4" t="s">
        <v>8</v>
      </c>
      <c r="K944" s="4" t="s">
        <v>7</v>
      </c>
      <c r="L944" s="11"/>
      <c r="M944" s="3"/>
      <c r="N944"/>
      <c r="O944" s="4"/>
      <c r="P944" s="1"/>
      <c r="Q944" s="22"/>
      <c r="R944"/>
      <c r="S944" s="11"/>
      <c r="T944" t="s">
        <v>66</v>
      </c>
      <c r="U944"/>
      <c r="V944" s="1"/>
      <c r="W944" s="1"/>
    </row>
    <row r="945" spans="2:23" x14ac:dyDescent="0.35">
      <c r="B945" s="4">
        <v>30017564</v>
      </c>
      <c r="C945" s="1" t="s">
        <v>847</v>
      </c>
      <c r="D945" s="4" t="s">
        <v>86</v>
      </c>
      <c r="E945" s="3"/>
      <c r="F945" s="3" t="s">
        <v>102</v>
      </c>
      <c r="G945">
        <v>1</v>
      </c>
      <c r="H945" s="4">
        <v>2</v>
      </c>
      <c r="I945" s="4">
        <v>1</v>
      </c>
      <c r="J945" s="4" t="s">
        <v>8</v>
      </c>
      <c r="K945" s="4" t="s">
        <v>7</v>
      </c>
      <c r="L945" s="11"/>
      <c r="M945" s="3"/>
      <c r="N945"/>
      <c r="O945" s="4"/>
      <c r="P945" s="1"/>
      <c r="Q945" s="22"/>
      <c r="R945"/>
      <c r="S945" s="11"/>
      <c r="T945" t="s">
        <v>66</v>
      </c>
      <c r="U945"/>
      <c r="V945" s="1"/>
      <c r="W945" s="1"/>
    </row>
    <row r="946" spans="2:23" x14ac:dyDescent="0.35">
      <c r="B946" s="4">
        <v>30017566</v>
      </c>
      <c r="C946" s="1" t="s">
        <v>888</v>
      </c>
      <c r="D946" s="4" t="s">
        <v>86</v>
      </c>
      <c r="E946" s="3"/>
      <c r="F946" s="3" t="s">
        <v>102</v>
      </c>
      <c r="G946">
        <v>2</v>
      </c>
      <c r="H946" s="4">
        <v>2</v>
      </c>
      <c r="I946" s="4">
        <v>5</v>
      </c>
      <c r="J946" s="4" t="s">
        <v>8</v>
      </c>
      <c r="K946" s="4" t="s">
        <v>14</v>
      </c>
      <c r="L946" s="11"/>
      <c r="M946" s="3"/>
      <c r="N946"/>
      <c r="O946" s="4"/>
      <c r="P946" s="1"/>
      <c r="Q946" s="22"/>
      <c r="R946"/>
      <c r="S946" s="11"/>
      <c r="T946" t="s">
        <v>66</v>
      </c>
      <c r="U946"/>
      <c r="V946" s="1"/>
      <c r="W946" s="1"/>
    </row>
    <row r="947" spans="2:23" x14ac:dyDescent="0.35">
      <c r="B947" s="4">
        <v>30017580</v>
      </c>
      <c r="C947" s="1" t="s">
        <v>1153</v>
      </c>
      <c r="D947" s="4" t="s">
        <v>86</v>
      </c>
      <c r="E947" s="3"/>
      <c r="F947" s="3" t="s">
        <v>102</v>
      </c>
      <c r="G947">
        <v>3</v>
      </c>
      <c r="H947" s="4">
        <v>2</v>
      </c>
      <c r="I947" s="4">
        <v>10</v>
      </c>
      <c r="J947" s="4" t="s">
        <v>8</v>
      </c>
      <c r="K947" s="4" t="s">
        <v>14</v>
      </c>
      <c r="L947" s="11"/>
      <c r="M947" s="3"/>
      <c r="N947"/>
      <c r="O947" s="4"/>
      <c r="P947" s="1"/>
      <c r="Q947" s="22"/>
      <c r="R947"/>
      <c r="S947" s="11"/>
      <c r="T947" t="s">
        <v>66</v>
      </c>
      <c r="U947"/>
      <c r="V947" s="1"/>
      <c r="W947" s="1"/>
    </row>
    <row r="948" spans="2:23" x14ac:dyDescent="0.35">
      <c r="B948" s="4">
        <v>30017646</v>
      </c>
      <c r="C948" s="1" t="s">
        <v>1311</v>
      </c>
      <c r="D948" s="4" t="s">
        <v>86</v>
      </c>
      <c r="E948" s="3"/>
      <c r="F948" s="3" t="s">
        <v>68</v>
      </c>
      <c r="G948">
        <v>4</v>
      </c>
      <c r="H948" s="4">
        <v>8</v>
      </c>
      <c r="I948" s="4">
        <v>10</v>
      </c>
      <c r="J948" s="4" t="s">
        <v>8</v>
      </c>
      <c r="K948" s="4" t="s">
        <v>7</v>
      </c>
      <c r="L948" s="11"/>
      <c r="M948" s="3"/>
      <c r="N948"/>
      <c r="O948" s="4"/>
      <c r="P948" s="1"/>
      <c r="Q948" s="22"/>
      <c r="R948"/>
      <c r="S948" s="11"/>
      <c r="T948" t="s">
        <v>66</v>
      </c>
      <c r="U948"/>
      <c r="V948" s="1"/>
      <c r="W948" s="1"/>
    </row>
    <row r="949" spans="2:23" x14ac:dyDescent="0.35">
      <c r="B949" s="4">
        <v>30017727</v>
      </c>
      <c r="C949" s="1" t="s">
        <v>848</v>
      </c>
      <c r="D949" s="4" t="s">
        <v>86</v>
      </c>
      <c r="E949" s="3"/>
      <c r="F949" s="3" t="s">
        <v>68</v>
      </c>
      <c r="G949">
        <v>2</v>
      </c>
      <c r="H949" s="4">
        <v>1</v>
      </c>
      <c r="I949" s="4">
        <v>2</v>
      </c>
      <c r="J949" s="4" t="s">
        <v>8</v>
      </c>
      <c r="K949" s="4" t="s">
        <v>7</v>
      </c>
      <c r="L949" s="11"/>
      <c r="M949" s="3"/>
      <c r="N949"/>
      <c r="O949" s="4"/>
      <c r="P949" s="1"/>
      <c r="Q949" s="22"/>
      <c r="R949"/>
      <c r="S949" s="11"/>
      <c r="T949" t="s">
        <v>70</v>
      </c>
      <c r="U949"/>
      <c r="V949" s="1"/>
      <c r="W949" s="1"/>
    </row>
    <row r="950" spans="2:23" x14ac:dyDescent="0.35">
      <c r="B950" s="4">
        <v>30017822</v>
      </c>
      <c r="C950" s="1" t="s">
        <v>1111</v>
      </c>
      <c r="D950" s="4" t="s">
        <v>86</v>
      </c>
      <c r="E950" s="3"/>
      <c r="F950" s="3" t="s">
        <v>68</v>
      </c>
      <c r="G950">
        <v>4</v>
      </c>
      <c r="H950" s="4">
        <v>2</v>
      </c>
      <c r="I950" s="4">
        <v>4</v>
      </c>
      <c r="J950" s="4" t="s">
        <v>8</v>
      </c>
      <c r="K950" s="4" t="s">
        <v>7</v>
      </c>
      <c r="L950" s="11"/>
      <c r="M950" s="3"/>
      <c r="N950"/>
      <c r="O950" s="4"/>
      <c r="P950" s="1"/>
      <c r="Q950" s="22"/>
      <c r="R950"/>
      <c r="S950" s="11"/>
      <c r="T950" t="s">
        <v>70</v>
      </c>
      <c r="U950"/>
      <c r="V950" s="1"/>
      <c r="W950" s="1"/>
    </row>
    <row r="951" spans="2:23" x14ac:dyDescent="0.35">
      <c r="B951" s="4">
        <v>30017887</v>
      </c>
      <c r="C951" s="1" t="s">
        <v>575</v>
      </c>
      <c r="D951" s="4" t="s">
        <v>86</v>
      </c>
      <c r="E951" s="3"/>
      <c r="F951" s="3" t="s">
        <v>68</v>
      </c>
      <c r="G951">
        <v>1</v>
      </c>
      <c r="H951" s="4">
        <v>1</v>
      </c>
      <c r="I951" s="4">
        <v>17</v>
      </c>
      <c r="J951" s="4" t="s">
        <v>8</v>
      </c>
      <c r="K951" s="4" t="s">
        <v>14</v>
      </c>
      <c r="L951" s="11"/>
      <c r="M951" s="3"/>
      <c r="N951"/>
      <c r="O951" s="4"/>
      <c r="P951" s="1"/>
      <c r="Q951" s="22"/>
      <c r="R951"/>
      <c r="S951" s="11"/>
      <c r="T951" t="s">
        <v>69</v>
      </c>
      <c r="U951"/>
      <c r="V951" s="1"/>
      <c r="W951" s="1"/>
    </row>
    <row r="952" spans="2:23" x14ac:dyDescent="0.35">
      <c r="B952" s="4">
        <v>30018133</v>
      </c>
      <c r="C952" s="1" t="s">
        <v>1425</v>
      </c>
      <c r="D952" s="4" t="s">
        <v>86</v>
      </c>
      <c r="E952" s="3"/>
      <c r="F952" s="3" t="s">
        <v>68</v>
      </c>
      <c r="G952">
        <v>10</v>
      </c>
      <c r="H952" s="4">
        <v>10</v>
      </c>
      <c r="I952" s="4">
        <v>43</v>
      </c>
      <c r="J952" s="4" t="s">
        <v>8</v>
      </c>
      <c r="K952" s="4" t="s">
        <v>14</v>
      </c>
      <c r="L952" s="11"/>
      <c r="M952" s="3"/>
      <c r="N952"/>
      <c r="O952" s="4"/>
      <c r="P952" s="1"/>
      <c r="Q952" s="22"/>
      <c r="R952"/>
      <c r="S952" s="11"/>
      <c r="T952" t="s">
        <v>66</v>
      </c>
      <c r="U952"/>
      <c r="V952" s="1"/>
      <c r="W952" s="1"/>
    </row>
    <row r="953" spans="2:23" x14ac:dyDescent="0.35">
      <c r="B953" s="4">
        <v>30018283</v>
      </c>
      <c r="C953" s="1" t="s">
        <v>889</v>
      </c>
      <c r="D953" s="4" t="s">
        <v>86</v>
      </c>
      <c r="E953" s="3"/>
      <c r="F953" s="3" t="s">
        <v>102</v>
      </c>
      <c r="G953">
        <v>5</v>
      </c>
      <c r="H953" s="4">
        <v>4</v>
      </c>
      <c r="I953" s="4">
        <v>14</v>
      </c>
      <c r="J953" s="4" t="s">
        <v>8</v>
      </c>
      <c r="K953" s="4" t="s">
        <v>14</v>
      </c>
      <c r="L953" s="11"/>
      <c r="M953" s="3"/>
      <c r="N953"/>
      <c r="O953" s="4"/>
      <c r="P953" s="1"/>
      <c r="Q953" s="22"/>
      <c r="R953"/>
      <c r="S953" s="11"/>
      <c r="T953" t="s">
        <v>66</v>
      </c>
      <c r="U953"/>
      <c r="V953" s="1"/>
      <c r="W953" s="1"/>
    </row>
    <row r="954" spans="2:23" x14ac:dyDescent="0.35">
      <c r="B954" s="4">
        <v>30018529</v>
      </c>
      <c r="C954" s="1" t="s">
        <v>577</v>
      </c>
      <c r="D954" s="4" t="s">
        <v>86</v>
      </c>
      <c r="E954" s="3"/>
      <c r="F954" s="3" t="s">
        <v>68</v>
      </c>
      <c r="G954">
        <v>10</v>
      </c>
      <c r="H954" s="4">
        <v>12</v>
      </c>
      <c r="I954" s="4">
        <v>10</v>
      </c>
      <c r="J954" s="4" t="s">
        <v>8</v>
      </c>
      <c r="K954" s="4" t="s">
        <v>7</v>
      </c>
      <c r="L954" s="11"/>
      <c r="M954" s="3"/>
      <c r="N954"/>
      <c r="O954" s="4"/>
      <c r="P954" s="1"/>
      <c r="Q954" s="22"/>
      <c r="R954"/>
      <c r="S954" s="11"/>
      <c r="T954" t="s">
        <v>70</v>
      </c>
      <c r="U954"/>
      <c r="V954" s="1"/>
      <c r="W954" s="1"/>
    </row>
    <row r="955" spans="2:23" x14ac:dyDescent="0.35">
      <c r="B955" s="4">
        <v>30020001</v>
      </c>
      <c r="C955" s="1" t="s">
        <v>578</v>
      </c>
      <c r="D955" s="4" t="s">
        <v>86</v>
      </c>
      <c r="E955" s="3"/>
      <c r="F955" s="3" t="s">
        <v>68</v>
      </c>
      <c r="G955">
        <v>4</v>
      </c>
      <c r="H955" s="4">
        <v>2</v>
      </c>
      <c r="I955" s="4">
        <v>6</v>
      </c>
      <c r="J955" s="4" t="s">
        <v>8</v>
      </c>
      <c r="K955" s="4" t="s">
        <v>7</v>
      </c>
      <c r="L955" s="11"/>
      <c r="M955" s="3"/>
      <c r="N955"/>
      <c r="O955" s="4"/>
      <c r="P955" s="1"/>
      <c r="Q955" s="22"/>
      <c r="R955"/>
      <c r="S955" s="11"/>
      <c r="T955" t="s">
        <v>70</v>
      </c>
      <c r="U955"/>
      <c r="V955" s="1"/>
      <c r="W955" s="1"/>
    </row>
    <row r="956" spans="2:23" x14ac:dyDescent="0.35">
      <c r="B956" s="4">
        <v>30020217</v>
      </c>
      <c r="C956" s="1" t="s">
        <v>579</v>
      </c>
      <c r="D956" s="4" t="s">
        <v>86</v>
      </c>
      <c r="E956" s="3"/>
      <c r="F956" s="3" t="s">
        <v>68</v>
      </c>
      <c r="G956">
        <v>2</v>
      </c>
      <c r="H956" s="4">
        <v>2</v>
      </c>
      <c r="I956" s="4">
        <v>3</v>
      </c>
      <c r="J956" s="4" t="s">
        <v>8</v>
      </c>
      <c r="K956" s="4" t="s">
        <v>7</v>
      </c>
      <c r="L956" s="11"/>
      <c r="M956" s="3"/>
      <c r="N956"/>
      <c r="O956" s="4"/>
      <c r="P956" s="1"/>
      <c r="Q956" s="22"/>
      <c r="R956"/>
      <c r="S956" s="11"/>
      <c r="T956" t="s">
        <v>70</v>
      </c>
      <c r="U956"/>
      <c r="V956" s="1"/>
      <c r="W956" s="1"/>
    </row>
    <row r="957" spans="2:23" x14ac:dyDescent="0.35">
      <c r="B957" s="4">
        <v>30020483</v>
      </c>
      <c r="C957" s="1" t="s">
        <v>580</v>
      </c>
      <c r="D957" s="4" t="s">
        <v>86</v>
      </c>
      <c r="E957" s="3"/>
      <c r="F957" s="3" t="s">
        <v>68</v>
      </c>
      <c r="G957">
        <v>120</v>
      </c>
      <c r="H957" s="4">
        <v>200</v>
      </c>
      <c r="I957" s="4">
        <v>160</v>
      </c>
      <c r="J957" s="4" t="s">
        <v>24</v>
      </c>
      <c r="K957" s="4" t="s">
        <v>7</v>
      </c>
      <c r="L957" s="11"/>
      <c r="M957" s="3"/>
      <c r="N957"/>
      <c r="O957" s="4"/>
      <c r="P957" s="1"/>
      <c r="Q957" s="22"/>
      <c r="R957"/>
      <c r="S957" s="11"/>
      <c r="T957" t="s">
        <v>1602</v>
      </c>
      <c r="U957"/>
      <c r="V957" s="1"/>
      <c r="W957" s="1"/>
    </row>
    <row r="958" spans="2:23" x14ac:dyDescent="0.35">
      <c r="B958" s="4">
        <v>30020723</v>
      </c>
      <c r="C958" s="1" t="s">
        <v>1312</v>
      </c>
      <c r="D958" s="4" t="s">
        <v>86</v>
      </c>
      <c r="E958" s="3"/>
      <c r="F958" s="3" t="s">
        <v>68</v>
      </c>
      <c r="G958">
        <v>10</v>
      </c>
      <c r="H958" s="4">
        <v>20</v>
      </c>
      <c r="I958" s="4">
        <v>77</v>
      </c>
      <c r="J958" s="4" t="s">
        <v>10</v>
      </c>
      <c r="K958" s="4" t="s">
        <v>14</v>
      </c>
      <c r="L958" s="11"/>
      <c r="M958" s="3"/>
      <c r="N958"/>
      <c r="O958" s="4"/>
      <c r="P958" s="1"/>
      <c r="Q958" s="22"/>
      <c r="R958"/>
      <c r="S958" s="11"/>
      <c r="T958" t="s">
        <v>66</v>
      </c>
      <c r="U958"/>
      <c r="V958" s="1"/>
      <c r="W958" s="1"/>
    </row>
    <row r="959" spans="2:23" x14ac:dyDescent="0.35">
      <c r="B959" s="4">
        <v>30021141</v>
      </c>
      <c r="C959" s="1" t="s">
        <v>1051</v>
      </c>
      <c r="D959" s="4" t="s">
        <v>86</v>
      </c>
      <c r="E959" s="3"/>
      <c r="F959" s="3" t="s">
        <v>102</v>
      </c>
      <c r="G959">
        <v>3</v>
      </c>
      <c r="H959" s="4">
        <v>4</v>
      </c>
      <c r="I959" s="4">
        <v>4</v>
      </c>
      <c r="J959" s="4" t="s">
        <v>8</v>
      </c>
      <c r="K959" s="4" t="s">
        <v>7</v>
      </c>
      <c r="L959" s="11"/>
      <c r="M959" s="3"/>
      <c r="N959"/>
      <c r="O959" s="4"/>
      <c r="P959" s="1"/>
      <c r="Q959" s="22"/>
      <c r="R959"/>
      <c r="S959" s="11"/>
      <c r="T959" t="s">
        <v>71</v>
      </c>
      <c r="U959"/>
      <c r="V959" s="1"/>
      <c r="W959" s="1"/>
    </row>
    <row r="960" spans="2:23" x14ac:dyDescent="0.35">
      <c r="B960" s="4">
        <v>30021204</v>
      </c>
      <c r="C960" s="1" t="s">
        <v>581</v>
      </c>
      <c r="D960" s="4" t="s">
        <v>86</v>
      </c>
      <c r="E960" s="3"/>
      <c r="F960" s="3" t="s">
        <v>68</v>
      </c>
      <c r="G960">
        <v>2</v>
      </c>
      <c r="H960" s="4">
        <v>4</v>
      </c>
      <c r="I960" s="4">
        <v>4</v>
      </c>
      <c r="J960" s="4" t="s">
        <v>8</v>
      </c>
      <c r="K960" s="4" t="s">
        <v>7</v>
      </c>
      <c r="L960" s="11"/>
      <c r="M960" s="3"/>
      <c r="N960"/>
      <c r="O960" s="4"/>
      <c r="P960" s="1"/>
      <c r="Q960" s="22"/>
      <c r="R960"/>
      <c r="S960" s="11"/>
      <c r="T960" t="s">
        <v>70</v>
      </c>
      <c r="U960"/>
      <c r="V960" s="1"/>
      <c r="W960" s="1"/>
    </row>
    <row r="961" spans="2:23" x14ac:dyDescent="0.35">
      <c r="B961" s="4">
        <v>30021359</v>
      </c>
      <c r="C961" s="1" t="s">
        <v>890</v>
      </c>
      <c r="D961" s="4" t="s">
        <v>86</v>
      </c>
      <c r="E961" s="3" t="s">
        <v>1225</v>
      </c>
      <c r="F961" s="3" t="s">
        <v>102</v>
      </c>
      <c r="G961">
        <v>201</v>
      </c>
      <c r="H961" s="4">
        <v>200</v>
      </c>
      <c r="I961" s="4">
        <v>289</v>
      </c>
      <c r="J961" s="4" t="s">
        <v>8</v>
      </c>
      <c r="K961" s="4" t="s">
        <v>7</v>
      </c>
      <c r="L961" s="11"/>
      <c r="M961" s="3"/>
      <c r="N961"/>
      <c r="O961" s="4"/>
      <c r="P961" s="1"/>
      <c r="Q961" s="22"/>
      <c r="R961"/>
      <c r="S961" s="11"/>
      <c r="T961" t="s">
        <v>71</v>
      </c>
      <c r="U961"/>
      <c r="V961" s="1"/>
      <c r="W961" s="1"/>
    </row>
    <row r="962" spans="2:23" x14ac:dyDescent="0.35">
      <c r="B962" s="4">
        <v>30021873</v>
      </c>
      <c r="C962" s="1" t="s">
        <v>1263</v>
      </c>
      <c r="D962" s="4" t="s">
        <v>86</v>
      </c>
      <c r="E962" s="3"/>
      <c r="F962" s="3" t="s">
        <v>68</v>
      </c>
      <c r="G962">
        <v>10</v>
      </c>
      <c r="H962" s="4">
        <v>30</v>
      </c>
      <c r="I962" s="4">
        <v>35</v>
      </c>
      <c r="J962" s="4" t="s">
        <v>8</v>
      </c>
      <c r="K962" s="4" t="s">
        <v>7</v>
      </c>
      <c r="L962" s="11"/>
      <c r="M962" s="3"/>
      <c r="N962"/>
      <c r="O962" s="4"/>
      <c r="P962" s="1"/>
      <c r="Q962" s="22"/>
      <c r="R962"/>
      <c r="S962" s="11"/>
      <c r="T962" t="s">
        <v>67</v>
      </c>
      <c r="U962"/>
      <c r="V962" s="1"/>
      <c r="W962" s="1"/>
    </row>
    <row r="963" spans="2:23" x14ac:dyDescent="0.35">
      <c r="B963" s="4">
        <v>30022995</v>
      </c>
      <c r="C963" s="1" t="s">
        <v>850</v>
      </c>
      <c r="D963" s="4" t="s">
        <v>86</v>
      </c>
      <c r="E963" s="3"/>
      <c r="F963" s="3" t="s">
        <v>102</v>
      </c>
      <c r="G963">
        <v>1</v>
      </c>
      <c r="H963" s="4">
        <v>2</v>
      </c>
      <c r="I963" s="4">
        <v>1</v>
      </c>
      <c r="J963" s="4" t="s">
        <v>8</v>
      </c>
      <c r="K963" s="4" t="s">
        <v>7</v>
      </c>
      <c r="L963" s="11"/>
      <c r="M963" s="3"/>
      <c r="N963"/>
      <c r="O963" s="4"/>
      <c r="P963" s="1"/>
      <c r="Q963" s="22"/>
      <c r="R963"/>
      <c r="S963" s="11"/>
      <c r="T963" t="s">
        <v>67</v>
      </c>
      <c r="U963"/>
      <c r="V963" s="1"/>
      <c r="W963" s="1"/>
    </row>
    <row r="964" spans="2:23" x14ac:dyDescent="0.35">
      <c r="B964" s="4">
        <v>30023355</v>
      </c>
      <c r="C964" s="1" t="s">
        <v>582</v>
      </c>
      <c r="D964" s="4" t="s">
        <v>86</v>
      </c>
      <c r="E964" s="3"/>
      <c r="F964" s="3" t="s">
        <v>68</v>
      </c>
      <c r="G964">
        <v>20</v>
      </c>
      <c r="H964" s="4">
        <v>6</v>
      </c>
      <c r="I964" s="4">
        <v>24</v>
      </c>
      <c r="J964" s="4" t="s">
        <v>8</v>
      </c>
      <c r="K964" s="4" t="s">
        <v>7</v>
      </c>
      <c r="L964" s="11"/>
      <c r="M964" s="3"/>
      <c r="N964"/>
      <c r="O964" s="4"/>
      <c r="P964" s="1"/>
      <c r="Q964" s="22"/>
      <c r="R964"/>
      <c r="S964" s="11"/>
      <c r="T964" t="s">
        <v>70</v>
      </c>
      <c r="U964"/>
      <c r="V964" s="1"/>
      <c r="W964" s="1"/>
    </row>
    <row r="965" spans="2:23" x14ac:dyDescent="0.35">
      <c r="B965" s="4">
        <v>30023357</v>
      </c>
      <c r="C965" s="1" t="s">
        <v>583</v>
      </c>
      <c r="D965" s="4" t="s">
        <v>86</v>
      </c>
      <c r="E965" s="3"/>
      <c r="F965" s="3" t="s">
        <v>68</v>
      </c>
      <c r="G965">
        <v>10</v>
      </c>
      <c r="H965" s="4">
        <v>10</v>
      </c>
      <c r="I965" s="4">
        <v>17</v>
      </c>
      <c r="J965" s="4" t="s">
        <v>8</v>
      </c>
      <c r="K965" s="4" t="s">
        <v>7</v>
      </c>
      <c r="L965" s="11"/>
      <c r="M965" s="3"/>
      <c r="N965"/>
      <c r="O965" s="4"/>
      <c r="P965" s="1"/>
      <c r="Q965" s="22"/>
      <c r="R965"/>
      <c r="S965" s="11"/>
      <c r="T965" t="s">
        <v>70</v>
      </c>
      <c r="U965"/>
      <c r="V965" s="1"/>
      <c r="W965" s="1"/>
    </row>
    <row r="966" spans="2:23" x14ac:dyDescent="0.35">
      <c r="B966" s="4">
        <v>30023359</v>
      </c>
      <c r="C966" s="1" t="s">
        <v>584</v>
      </c>
      <c r="D966" s="4" t="s">
        <v>86</v>
      </c>
      <c r="E966" s="3"/>
      <c r="F966" s="3" t="s">
        <v>68</v>
      </c>
      <c r="G966">
        <v>10</v>
      </c>
      <c r="H966" s="4">
        <v>4</v>
      </c>
      <c r="I966" s="4">
        <v>27</v>
      </c>
      <c r="J966" s="4" t="s">
        <v>8</v>
      </c>
      <c r="K966" s="4" t="s">
        <v>14</v>
      </c>
      <c r="L966" s="11"/>
      <c r="M966" s="3"/>
      <c r="N966"/>
      <c r="O966" s="4"/>
      <c r="P966" s="1"/>
      <c r="Q966" s="22"/>
      <c r="R966"/>
      <c r="S966" s="11"/>
      <c r="T966" t="s">
        <v>70</v>
      </c>
      <c r="U966"/>
      <c r="V966" s="1"/>
      <c r="W966" s="1"/>
    </row>
    <row r="967" spans="2:23" x14ac:dyDescent="0.35">
      <c r="B967" s="4">
        <v>30023360</v>
      </c>
      <c r="C967" s="1" t="s">
        <v>1466</v>
      </c>
      <c r="D967" s="4" t="s">
        <v>86</v>
      </c>
      <c r="E967" s="3"/>
      <c r="F967" s="3" t="s">
        <v>68</v>
      </c>
      <c r="G967">
        <v>5</v>
      </c>
      <c r="H967" s="4">
        <v>2</v>
      </c>
      <c r="I967" s="4">
        <v>9</v>
      </c>
      <c r="J967" s="4" t="s">
        <v>8</v>
      </c>
      <c r="K967" s="4" t="s">
        <v>14</v>
      </c>
      <c r="L967" s="11"/>
      <c r="M967" s="3"/>
      <c r="N967"/>
      <c r="O967" s="4"/>
      <c r="P967" s="1"/>
      <c r="Q967" s="22"/>
      <c r="R967"/>
      <c r="S967" s="11"/>
      <c r="T967" t="s">
        <v>70</v>
      </c>
      <c r="U967"/>
      <c r="V967" s="1"/>
      <c r="W967" s="1"/>
    </row>
    <row r="968" spans="2:23" x14ac:dyDescent="0.35">
      <c r="B968" s="4">
        <v>30023361</v>
      </c>
      <c r="C968" s="1" t="s">
        <v>585</v>
      </c>
      <c r="D968" s="4" t="s">
        <v>86</v>
      </c>
      <c r="E968" s="3"/>
      <c r="F968" s="3" t="s">
        <v>68</v>
      </c>
      <c r="G968">
        <v>6</v>
      </c>
      <c r="H968" s="4">
        <v>2</v>
      </c>
      <c r="I968" s="4">
        <v>8</v>
      </c>
      <c r="J968" s="4" t="s">
        <v>8</v>
      </c>
      <c r="K968" s="4" t="s">
        <v>7</v>
      </c>
      <c r="L968" s="11"/>
      <c r="M968" s="3"/>
      <c r="N968"/>
      <c r="O968" s="4"/>
      <c r="P968" s="1"/>
      <c r="Q968" s="22"/>
      <c r="R968"/>
      <c r="S968" s="11"/>
      <c r="T968" t="s">
        <v>70</v>
      </c>
      <c r="U968"/>
      <c r="V968" s="1"/>
      <c r="W968" s="1"/>
    </row>
    <row r="969" spans="2:23" x14ac:dyDescent="0.35">
      <c r="B969" s="4">
        <v>30023362</v>
      </c>
      <c r="C969" s="1" t="s">
        <v>1467</v>
      </c>
      <c r="D969" s="4" t="s">
        <v>86</v>
      </c>
      <c r="E969" s="3"/>
      <c r="F969" s="3" t="s">
        <v>68</v>
      </c>
      <c r="G969">
        <v>6</v>
      </c>
      <c r="H969" s="4">
        <v>6</v>
      </c>
      <c r="I969" s="4">
        <v>11</v>
      </c>
      <c r="J969" s="4" t="s">
        <v>8</v>
      </c>
      <c r="K969" s="4" t="s">
        <v>7</v>
      </c>
      <c r="L969" s="11"/>
      <c r="M969" s="3"/>
      <c r="N969"/>
      <c r="O969" s="4"/>
      <c r="P969" s="1"/>
      <c r="Q969" s="22"/>
      <c r="R969"/>
      <c r="S969" s="11"/>
      <c r="T969" t="s">
        <v>70</v>
      </c>
      <c r="U969"/>
      <c r="V969" s="1"/>
      <c r="W969" s="1"/>
    </row>
    <row r="970" spans="2:23" x14ac:dyDescent="0.35">
      <c r="B970" s="4">
        <v>30023375</v>
      </c>
      <c r="C970" s="1" t="s">
        <v>586</v>
      </c>
      <c r="D970" s="4" t="s">
        <v>86</v>
      </c>
      <c r="E970" s="3"/>
      <c r="F970" s="3" t="s">
        <v>68</v>
      </c>
      <c r="G970">
        <v>20</v>
      </c>
      <c r="H970" s="4">
        <v>6</v>
      </c>
      <c r="I970" s="4">
        <v>21</v>
      </c>
      <c r="J970" s="4" t="s">
        <v>8</v>
      </c>
      <c r="K970" s="4" t="s">
        <v>7</v>
      </c>
      <c r="L970" s="11"/>
      <c r="M970" s="3"/>
      <c r="N970"/>
      <c r="O970" s="4"/>
      <c r="P970" s="1"/>
      <c r="Q970" s="22"/>
      <c r="R970"/>
      <c r="S970" s="11"/>
      <c r="T970" t="s">
        <v>70</v>
      </c>
      <c r="U970"/>
      <c r="V970" s="1"/>
      <c r="W970" s="1"/>
    </row>
    <row r="971" spans="2:23" x14ac:dyDescent="0.35">
      <c r="B971" s="4">
        <v>30023376</v>
      </c>
      <c r="C971" s="1" t="s">
        <v>587</v>
      </c>
      <c r="D971" s="4" t="s">
        <v>86</v>
      </c>
      <c r="E971" s="3"/>
      <c r="F971" s="3" t="s">
        <v>68</v>
      </c>
      <c r="G971">
        <v>2</v>
      </c>
      <c r="H971" s="4">
        <v>4</v>
      </c>
      <c r="I971" s="4">
        <v>48</v>
      </c>
      <c r="J971" s="4" t="s">
        <v>8</v>
      </c>
      <c r="K971" s="4" t="s">
        <v>14</v>
      </c>
      <c r="L971" s="11"/>
      <c r="M971" s="3"/>
      <c r="N971"/>
      <c r="O971" s="4"/>
      <c r="P971" s="1"/>
      <c r="Q971" s="22"/>
      <c r="R971"/>
      <c r="S971" s="11"/>
      <c r="T971" t="s">
        <v>70</v>
      </c>
      <c r="U971"/>
      <c r="V971" s="1"/>
      <c r="W971" s="1"/>
    </row>
    <row r="972" spans="2:23" x14ac:dyDescent="0.35">
      <c r="B972" s="4">
        <v>30023377</v>
      </c>
      <c r="C972" s="1" t="s">
        <v>588</v>
      </c>
      <c r="D972" s="4" t="s">
        <v>86</v>
      </c>
      <c r="E972" s="3"/>
      <c r="F972" s="3" t="s">
        <v>68</v>
      </c>
      <c r="G972">
        <v>6</v>
      </c>
      <c r="H972" s="4">
        <v>10</v>
      </c>
      <c r="I972" s="4">
        <v>28</v>
      </c>
      <c r="J972" s="4" t="s">
        <v>8</v>
      </c>
      <c r="K972" s="4" t="s">
        <v>14</v>
      </c>
      <c r="L972" s="11"/>
      <c r="M972" s="3"/>
      <c r="N972"/>
      <c r="O972" s="4"/>
      <c r="P972" s="1"/>
      <c r="Q972" s="22"/>
      <c r="R972"/>
      <c r="S972" s="11"/>
      <c r="T972" t="s">
        <v>70</v>
      </c>
      <c r="U972"/>
      <c r="V972" s="1"/>
      <c r="W972" s="1"/>
    </row>
    <row r="973" spans="2:23" x14ac:dyDescent="0.35">
      <c r="B973" s="4">
        <v>30023379</v>
      </c>
      <c r="C973" s="1" t="s">
        <v>589</v>
      </c>
      <c r="D973" s="4" t="s">
        <v>86</v>
      </c>
      <c r="E973" s="3"/>
      <c r="F973" s="3" t="s">
        <v>68</v>
      </c>
      <c r="G973">
        <v>10</v>
      </c>
      <c r="H973" s="4">
        <v>4</v>
      </c>
      <c r="I973" s="4">
        <v>23</v>
      </c>
      <c r="J973" s="4" t="s">
        <v>8</v>
      </c>
      <c r="K973" s="4" t="s">
        <v>14</v>
      </c>
      <c r="L973" s="11"/>
      <c r="M973" s="3"/>
      <c r="N973"/>
      <c r="O973" s="4"/>
      <c r="P973" s="1"/>
      <c r="Q973" s="22"/>
      <c r="R973"/>
      <c r="S973" s="11"/>
      <c r="T973" t="s">
        <v>70</v>
      </c>
      <c r="U973"/>
      <c r="V973" s="1"/>
      <c r="W973" s="1"/>
    </row>
    <row r="974" spans="2:23" x14ac:dyDescent="0.35">
      <c r="B974" s="4">
        <v>30023381</v>
      </c>
      <c r="C974" s="1" t="s">
        <v>1468</v>
      </c>
      <c r="D974" s="4" t="s">
        <v>86</v>
      </c>
      <c r="E974" s="3"/>
      <c r="F974" s="3" t="s">
        <v>68</v>
      </c>
      <c r="G974">
        <v>10</v>
      </c>
      <c r="H974" s="4">
        <v>10</v>
      </c>
      <c r="I974" s="4">
        <v>11</v>
      </c>
      <c r="J974" s="4" t="s">
        <v>8</v>
      </c>
      <c r="K974" s="4" t="s">
        <v>7</v>
      </c>
      <c r="L974" s="11"/>
      <c r="M974" s="3"/>
      <c r="N974"/>
      <c r="O974" s="4"/>
      <c r="P974" s="1"/>
      <c r="Q974" s="22"/>
      <c r="R974"/>
      <c r="S974" s="11"/>
      <c r="T974" t="s">
        <v>70</v>
      </c>
      <c r="U974"/>
      <c r="V974" s="1"/>
      <c r="W974" s="1"/>
    </row>
    <row r="975" spans="2:23" x14ac:dyDescent="0.35">
      <c r="B975" s="4">
        <v>30023382</v>
      </c>
      <c r="C975" s="1" t="s">
        <v>1469</v>
      </c>
      <c r="D975" s="4" t="s">
        <v>86</v>
      </c>
      <c r="E975" s="3"/>
      <c r="F975" s="3" t="s">
        <v>68</v>
      </c>
      <c r="G975">
        <v>5</v>
      </c>
      <c r="H975" s="4">
        <v>2</v>
      </c>
      <c r="I975" s="4">
        <v>7</v>
      </c>
      <c r="J975" s="4" t="s">
        <v>8</v>
      </c>
      <c r="K975" s="4" t="s">
        <v>7</v>
      </c>
      <c r="L975" s="11"/>
      <c r="M975" s="3"/>
      <c r="N975"/>
      <c r="O975" s="4"/>
      <c r="P975" s="1"/>
      <c r="Q975" s="22"/>
      <c r="R975"/>
      <c r="S975" s="11"/>
      <c r="T975" t="s">
        <v>70</v>
      </c>
      <c r="U975"/>
      <c r="V975" s="1"/>
      <c r="W975" s="1"/>
    </row>
    <row r="976" spans="2:23" x14ac:dyDescent="0.35">
      <c r="B976" s="4">
        <v>30023407</v>
      </c>
      <c r="C976" s="1" t="s">
        <v>590</v>
      </c>
      <c r="D976" s="4" t="s">
        <v>86</v>
      </c>
      <c r="E976" s="3"/>
      <c r="F976" s="3" t="s">
        <v>68</v>
      </c>
      <c r="G976">
        <v>200</v>
      </c>
      <c r="H976" s="4">
        <v>200</v>
      </c>
      <c r="I976" s="4">
        <v>575</v>
      </c>
      <c r="J976" s="4" t="s">
        <v>25</v>
      </c>
      <c r="K976" s="4" t="s">
        <v>14</v>
      </c>
      <c r="L976" s="11"/>
      <c r="M976" s="3"/>
      <c r="N976">
        <v>4502710976</v>
      </c>
      <c r="O976" s="4">
        <v>200</v>
      </c>
      <c r="P976" s="1" t="s">
        <v>1609</v>
      </c>
      <c r="Q976" s="22">
        <v>46265</v>
      </c>
      <c r="R976"/>
      <c r="S976" s="11"/>
      <c r="T976" t="s">
        <v>66</v>
      </c>
      <c r="U976"/>
      <c r="V976" s="1"/>
      <c r="W976" s="1"/>
    </row>
    <row r="977" spans="2:23" x14ac:dyDescent="0.35">
      <c r="B977" s="4">
        <v>30023557</v>
      </c>
      <c r="C977" s="1" t="s">
        <v>591</v>
      </c>
      <c r="D977" s="4" t="s">
        <v>86</v>
      </c>
      <c r="E977" s="3" t="s">
        <v>1225</v>
      </c>
      <c r="F977" s="3" t="s">
        <v>102</v>
      </c>
      <c r="G977">
        <v>27</v>
      </c>
      <c r="H977" s="4">
        <v>26</v>
      </c>
      <c r="I977" s="4">
        <v>41</v>
      </c>
      <c r="J977" s="4" t="s">
        <v>8</v>
      </c>
      <c r="K977" s="4" t="s">
        <v>7</v>
      </c>
      <c r="L977" s="11"/>
      <c r="M977" s="3"/>
      <c r="N977"/>
      <c r="O977" s="4"/>
      <c r="P977" s="1"/>
      <c r="Q977" s="22"/>
      <c r="R977"/>
      <c r="S977" s="11"/>
      <c r="T977" t="s">
        <v>71</v>
      </c>
      <c r="U977"/>
      <c r="V977" s="1"/>
      <c r="W977" s="1"/>
    </row>
    <row r="978" spans="2:23" x14ac:dyDescent="0.35">
      <c r="B978" s="4">
        <v>30023656</v>
      </c>
      <c r="C978" s="1" t="s">
        <v>592</v>
      </c>
      <c r="D978" s="4" t="s">
        <v>86</v>
      </c>
      <c r="E978" s="3"/>
      <c r="F978" s="3" t="s">
        <v>68</v>
      </c>
      <c r="G978">
        <v>23</v>
      </c>
      <c r="H978" s="4">
        <v>32</v>
      </c>
      <c r="I978" s="4">
        <v>49</v>
      </c>
      <c r="J978" s="4" t="s">
        <v>8</v>
      </c>
      <c r="K978" s="4" t="s">
        <v>7</v>
      </c>
      <c r="L978" s="11"/>
      <c r="M978" s="3"/>
      <c r="N978"/>
      <c r="O978" s="4"/>
      <c r="P978" s="1"/>
      <c r="Q978" s="22"/>
      <c r="R978"/>
      <c r="S978" s="11"/>
      <c r="T978" t="s">
        <v>1602</v>
      </c>
      <c r="U978"/>
      <c r="V978" s="1"/>
      <c r="W978" s="1"/>
    </row>
    <row r="979" spans="2:23" x14ac:dyDescent="0.35">
      <c r="B979" s="4">
        <v>30023784</v>
      </c>
      <c r="C979" s="1" t="s">
        <v>593</v>
      </c>
      <c r="D979" s="4" t="s">
        <v>86</v>
      </c>
      <c r="E979" s="3"/>
      <c r="F979" s="3" t="s">
        <v>68</v>
      </c>
      <c r="G979">
        <v>32</v>
      </c>
      <c r="H979" s="4">
        <v>32</v>
      </c>
      <c r="I979" s="4">
        <v>44</v>
      </c>
      <c r="J979" s="4" t="s">
        <v>24</v>
      </c>
      <c r="K979" s="4" t="s">
        <v>7</v>
      </c>
      <c r="L979" s="11"/>
      <c r="M979" s="3"/>
      <c r="N979"/>
      <c r="O979" s="4"/>
      <c r="P979" s="1"/>
      <c r="Q979" s="22"/>
      <c r="R979"/>
      <c r="S979" s="11"/>
      <c r="T979" t="s">
        <v>69</v>
      </c>
      <c r="U979"/>
      <c r="V979" s="1"/>
      <c r="W979" s="1"/>
    </row>
    <row r="980" spans="2:23" x14ac:dyDescent="0.35">
      <c r="B980" s="4">
        <v>30023791</v>
      </c>
      <c r="C980" s="1" t="s">
        <v>1615</v>
      </c>
      <c r="D980" s="4" t="s">
        <v>86</v>
      </c>
      <c r="E980" s="3"/>
      <c r="F980" s="3" t="s">
        <v>68</v>
      </c>
      <c r="G980">
        <v>50</v>
      </c>
      <c r="H980" s="4">
        <v>36</v>
      </c>
      <c r="I980" s="4">
        <v>14</v>
      </c>
      <c r="J980" s="4" t="s">
        <v>8</v>
      </c>
      <c r="K980" s="4" t="s">
        <v>9</v>
      </c>
      <c r="L980" s="11"/>
      <c r="M980" s="3"/>
      <c r="N980">
        <v>4502710847</v>
      </c>
      <c r="O980" s="4">
        <v>36</v>
      </c>
      <c r="P980" s="1" t="s">
        <v>6844</v>
      </c>
      <c r="Q980" s="22">
        <v>46286</v>
      </c>
      <c r="R980"/>
      <c r="S980" s="11"/>
      <c r="T980" t="s">
        <v>70</v>
      </c>
      <c r="U980"/>
      <c r="V980" s="1"/>
      <c r="W980" s="1"/>
    </row>
    <row r="981" spans="2:23" x14ac:dyDescent="0.35">
      <c r="B981" s="4">
        <v>30023840</v>
      </c>
      <c r="C981" s="1" t="s">
        <v>595</v>
      </c>
      <c r="D981" s="4" t="s">
        <v>86</v>
      </c>
      <c r="E981" s="3"/>
      <c r="F981" s="3" t="s">
        <v>68</v>
      </c>
      <c r="G981">
        <v>10</v>
      </c>
      <c r="H981" s="4">
        <v>15</v>
      </c>
      <c r="I981" s="4">
        <v>11</v>
      </c>
      <c r="J981" s="4" t="s">
        <v>8</v>
      </c>
      <c r="K981" s="4" t="s">
        <v>7</v>
      </c>
      <c r="L981" s="11"/>
      <c r="M981" s="3"/>
      <c r="N981"/>
      <c r="O981" s="4"/>
      <c r="P981" s="1"/>
      <c r="Q981" s="22"/>
      <c r="R981"/>
      <c r="S981" s="11"/>
      <c r="T981" t="s">
        <v>67</v>
      </c>
      <c r="U981"/>
      <c r="V981" s="1"/>
      <c r="W981" s="1"/>
    </row>
    <row r="982" spans="2:23" x14ac:dyDescent="0.35">
      <c r="B982" s="4">
        <v>30023907</v>
      </c>
      <c r="C982" s="1" t="s">
        <v>596</v>
      </c>
      <c r="D982" s="4" t="s">
        <v>86</v>
      </c>
      <c r="E982" s="3"/>
      <c r="F982" s="3" t="s">
        <v>102</v>
      </c>
      <c r="G982">
        <v>13</v>
      </c>
      <c r="H982" s="4">
        <v>12</v>
      </c>
      <c r="I982" s="4">
        <v>41</v>
      </c>
      <c r="J982" s="4" t="s">
        <v>8</v>
      </c>
      <c r="K982" s="4" t="s">
        <v>14</v>
      </c>
      <c r="L982" s="11"/>
      <c r="M982" s="3"/>
      <c r="N982"/>
      <c r="O982" s="4"/>
      <c r="P982" s="1"/>
      <c r="Q982" s="22"/>
      <c r="R982"/>
      <c r="S982" s="11"/>
      <c r="T982" t="s">
        <v>66</v>
      </c>
      <c r="U982"/>
      <c r="V982" s="1"/>
      <c r="W982" s="1"/>
    </row>
    <row r="983" spans="2:23" x14ac:dyDescent="0.35">
      <c r="B983" s="4">
        <v>30023956</v>
      </c>
      <c r="C983" s="1" t="s">
        <v>1154</v>
      </c>
      <c r="D983" s="4" t="s">
        <v>86</v>
      </c>
      <c r="E983" s="3" t="s">
        <v>1225</v>
      </c>
      <c r="F983" s="3" t="s">
        <v>102</v>
      </c>
      <c r="G983">
        <v>2</v>
      </c>
      <c r="H983" s="4">
        <v>1</v>
      </c>
      <c r="I983" s="4">
        <v>2</v>
      </c>
      <c r="J983" s="4" t="s">
        <v>8</v>
      </c>
      <c r="K983" s="4" t="s">
        <v>7</v>
      </c>
      <c r="L983" s="11"/>
      <c r="M983" s="3"/>
      <c r="N983"/>
      <c r="O983" s="4"/>
      <c r="P983" s="1"/>
      <c r="Q983" s="22"/>
      <c r="R983"/>
      <c r="S983" s="11" t="s">
        <v>6885</v>
      </c>
      <c r="T983" t="s">
        <v>71</v>
      </c>
      <c r="U983"/>
      <c r="V983" s="1"/>
      <c r="W983" s="1"/>
    </row>
    <row r="984" spans="2:23" x14ac:dyDescent="0.35">
      <c r="B984" s="4">
        <v>30023958</v>
      </c>
      <c r="C984" s="1" t="s">
        <v>1155</v>
      </c>
      <c r="D984" s="4" t="s">
        <v>86</v>
      </c>
      <c r="E984" s="3" t="s">
        <v>1225</v>
      </c>
      <c r="F984" s="3" t="s">
        <v>102</v>
      </c>
      <c r="G984">
        <v>9</v>
      </c>
      <c r="H984" s="4">
        <v>8</v>
      </c>
      <c r="I984" s="4">
        <v>9</v>
      </c>
      <c r="J984" s="4" t="s">
        <v>8</v>
      </c>
      <c r="K984" s="4" t="s">
        <v>7</v>
      </c>
      <c r="L984" s="11"/>
      <c r="M984" s="3"/>
      <c r="N984"/>
      <c r="O984" s="4"/>
      <c r="P984" s="1"/>
      <c r="Q984" s="22"/>
      <c r="R984"/>
      <c r="S984" s="11"/>
      <c r="T984" t="s">
        <v>71</v>
      </c>
      <c r="U984"/>
      <c r="V984" s="1"/>
      <c r="W984" s="1"/>
    </row>
    <row r="985" spans="2:23" x14ac:dyDescent="0.35">
      <c r="B985" s="4">
        <v>30023959</v>
      </c>
      <c r="C985" s="1" t="s">
        <v>1156</v>
      </c>
      <c r="D985" s="4" t="s">
        <v>86</v>
      </c>
      <c r="E985" s="3" t="s">
        <v>1225</v>
      </c>
      <c r="F985" s="3" t="s">
        <v>102</v>
      </c>
      <c r="G985">
        <v>3</v>
      </c>
      <c r="H985" s="4">
        <v>2</v>
      </c>
      <c r="I985" s="4">
        <v>4</v>
      </c>
      <c r="J985" s="4" t="s">
        <v>8</v>
      </c>
      <c r="K985" s="4" t="s">
        <v>7</v>
      </c>
      <c r="L985" s="11"/>
      <c r="M985" s="3"/>
      <c r="N985"/>
      <c r="O985" s="4"/>
      <c r="P985" s="1"/>
      <c r="Q985" s="22"/>
      <c r="R985"/>
      <c r="S985" s="11"/>
      <c r="T985" t="s">
        <v>71</v>
      </c>
      <c r="U985"/>
      <c r="V985" s="1"/>
      <c r="W985" s="1"/>
    </row>
    <row r="986" spans="2:23" x14ac:dyDescent="0.35">
      <c r="B986" s="4">
        <v>30023962</v>
      </c>
      <c r="C986" s="1" t="s">
        <v>1157</v>
      </c>
      <c r="D986" s="4" t="s">
        <v>86</v>
      </c>
      <c r="E986" s="3"/>
      <c r="F986" s="3" t="s">
        <v>102</v>
      </c>
      <c r="G986">
        <v>2</v>
      </c>
      <c r="H986" s="4">
        <v>1</v>
      </c>
      <c r="I986" s="4">
        <v>3</v>
      </c>
      <c r="J986" s="4" t="s">
        <v>8</v>
      </c>
      <c r="K986" s="4" t="s">
        <v>7</v>
      </c>
      <c r="L986" s="11"/>
      <c r="M986" s="3"/>
      <c r="N986"/>
      <c r="O986" s="4"/>
      <c r="P986" s="1"/>
      <c r="Q986" s="22"/>
      <c r="R986"/>
      <c r="S986" s="11"/>
      <c r="T986" t="s">
        <v>71</v>
      </c>
      <c r="U986"/>
      <c r="V986" s="1"/>
      <c r="W986" s="1"/>
    </row>
    <row r="987" spans="2:23" x14ac:dyDescent="0.35">
      <c r="B987" s="4">
        <v>30023963</v>
      </c>
      <c r="C987" s="1" t="s">
        <v>1158</v>
      </c>
      <c r="D987" s="4" t="s">
        <v>86</v>
      </c>
      <c r="E987" s="3" t="s">
        <v>1225</v>
      </c>
      <c r="F987" s="3" t="s">
        <v>102</v>
      </c>
      <c r="G987">
        <v>12</v>
      </c>
      <c r="H987" s="4">
        <v>11</v>
      </c>
      <c r="I987" s="4">
        <v>13</v>
      </c>
      <c r="J987" s="4" t="s">
        <v>8</v>
      </c>
      <c r="K987" s="4" t="s">
        <v>7</v>
      </c>
      <c r="L987" s="11"/>
      <c r="M987" s="3"/>
      <c r="N987"/>
      <c r="O987" s="4"/>
      <c r="P987" s="1"/>
      <c r="Q987" s="22"/>
      <c r="R987"/>
      <c r="S987" s="11"/>
      <c r="T987" t="s">
        <v>71</v>
      </c>
      <c r="U987"/>
      <c r="V987" s="1"/>
      <c r="W987" s="1"/>
    </row>
    <row r="988" spans="2:23" x14ac:dyDescent="0.35">
      <c r="B988" s="4">
        <v>30023965</v>
      </c>
      <c r="C988" s="1" t="s">
        <v>1159</v>
      </c>
      <c r="D988" s="4" t="s">
        <v>86</v>
      </c>
      <c r="E988" s="3" t="s">
        <v>1225</v>
      </c>
      <c r="F988" s="3" t="s">
        <v>102</v>
      </c>
      <c r="G988">
        <v>6</v>
      </c>
      <c r="H988" s="4">
        <v>5</v>
      </c>
      <c r="I988" s="4">
        <v>6</v>
      </c>
      <c r="J988" s="4" t="s">
        <v>8</v>
      </c>
      <c r="K988" s="4" t="s">
        <v>7</v>
      </c>
      <c r="L988" s="11"/>
      <c r="M988" s="3"/>
      <c r="N988"/>
      <c r="O988" s="4"/>
      <c r="P988" s="1"/>
      <c r="Q988" s="22"/>
      <c r="R988"/>
      <c r="S988" s="11"/>
      <c r="T988" t="s">
        <v>71</v>
      </c>
      <c r="U988"/>
      <c r="V988" s="1"/>
      <c r="W988" s="1"/>
    </row>
    <row r="989" spans="2:23" x14ac:dyDescent="0.35">
      <c r="B989" s="4">
        <v>30024092</v>
      </c>
      <c r="C989" s="1" t="s">
        <v>1361</v>
      </c>
      <c r="D989" s="4" t="s">
        <v>86</v>
      </c>
      <c r="E989" s="3"/>
      <c r="F989" s="3" t="s">
        <v>68</v>
      </c>
      <c r="G989">
        <v>33</v>
      </c>
      <c r="H989" s="4">
        <v>54</v>
      </c>
      <c r="I989" s="4">
        <v>122</v>
      </c>
      <c r="J989" s="4" t="s">
        <v>8</v>
      </c>
      <c r="K989" s="4" t="s">
        <v>14</v>
      </c>
      <c r="L989" s="11"/>
      <c r="M989" s="3"/>
      <c r="N989"/>
      <c r="O989" s="4"/>
      <c r="P989" s="1"/>
      <c r="Q989" s="22"/>
      <c r="R989"/>
      <c r="S989" s="11"/>
      <c r="T989" t="s">
        <v>1603</v>
      </c>
      <c r="U989"/>
      <c r="V989" s="1"/>
      <c r="W989" s="1"/>
    </row>
    <row r="990" spans="2:23" x14ac:dyDescent="0.35">
      <c r="B990" s="4">
        <v>30024775</v>
      </c>
      <c r="C990" s="1" t="s">
        <v>891</v>
      </c>
      <c r="D990" s="4" t="s">
        <v>86</v>
      </c>
      <c r="E990" s="3"/>
      <c r="F990" s="3" t="s">
        <v>102</v>
      </c>
      <c r="G990">
        <v>5</v>
      </c>
      <c r="H990" s="4">
        <v>4</v>
      </c>
      <c r="I990" s="4">
        <v>16</v>
      </c>
      <c r="J990" s="4" t="s">
        <v>8</v>
      </c>
      <c r="K990" s="4" t="s">
        <v>14</v>
      </c>
      <c r="L990" s="11"/>
      <c r="M990" s="3"/>
      <c r="N990"/>
      <c r="O990" s="4"/>
      <c r="P990" s="1"/>
      <c r="Q990" s="22"/>
      <c r="R990"/>
      <c r="S990" s="11"/>
      <c r="T990" t="s">
        <v>66</v>
      </c>
      <c r="U990"/>
      <c r="V990" s="1"/>
      <c r="W990" s="1"/>
    </row>
    <row r="991" spans="2:23" x14ac:dyDescent="0.35">
      <c r="B991" s="4">
        <v>30024776</v>
      </c>
      <c r="C991" s="1" t="s">
        <v>892</v>
      </c>
      <c r="D991" s="4" t="s">
        <v>86</v>
      </c>
      <c r="E991" s="3"/>
      <c r="F991" s="3" t="s">
        <v>102</v>
      </c>
      <c r="G991">
        <v>5</v>
      </c>
      <c r="H991" s="4">
        <v>4</v>
      </c>
      <c r="I991" s="4">
        <v>10</v>
      </c>
      <c r="J991" s="4" t="s">
        <v>8</v>
      </c>
      <c r="K991" s="4" t="s">
        <v>14</v>
      </c>
      <c r="L991" s="11"/>
      <c r="M991" s="3"/>
      <c r="N991"/>
      <c r="O991" s="4"/>
      <c r="P991" s="1"/>
      <c r="Q991" s="22"/>
      <c r="R991"/>
      <c r="S991" s="11"/>
      <c r="T991" t="s">
        <v>66</v>
      </c>
      <c r="U991"/>
      <c r="V991" s="1"/>
      <c r="W991" s="1"/>
    </row>
    <row r="992" spans="2:23" x14ac:dyDescent="0.35">
      <c r="B992" s="4">
        <v>30024780</v>
      </c>
      <c r="C992" s="1" t="s">
        <v>852</v>
      </c>
      <c r="D992" s="4" t="s">
        <v>86</v>
      </c>
      <c r="E992" s="3"/>
      <c r="F992" s="3" t="s">
        <v>102</v>
      </c>
      <c r="G992">
        <v>5</v>
      </c>
      <c r="H992" s="4">
        <v>4</v>
      </c>
      <c r="I992" s="4">
        <v>11</v>
      </c>
      <c r="J992" s="4" t="s">
        <v>8</v>
      </c>
      <c r="K992" s="4" t="s">
        <v>14</v>
      </c>
      <c r="L992" s="11"/>
      <c r="M992" s="3"/>
      <c r="N992"/>
      <c r="O992" s="4"/>
      <c r="P992" s="1"/>
      <c r="Q992" s="22"/>
      <c r="R992"/>
      <c r="S992" s="11"/>
      <c r="T992" t="s">
        <v>67</v>
      </c>
      <c r="U992"/>
      <c r="V992" s="1"/>
      <c r="W992" s="1"/>
    </row>
    <row r="993" spans="2:23" x14ac:dyDescent="0.35">
      <c r="B993" s="4">
        <v>30024781</v>
      </c>
      <c r="C993" s="1" t="s">
        <v>893</v>
      </c>
      <c r="D993" s="4" t="s">
        <v>86</v>
      </c>
      <c r="E993" s="3"/>
      <c r="F993" s="3" t="s">
        <v>102</v>
      </c>
      <c r="G993">
        <v>5</v>
      </c>
      <c r="H993" s="4">
        <v>4</v>
      </c>
      <c r="I993" s="4">
        <v>6</v>
      </c>
      <c r="J993" s="4" t="s">
        <v>8</v>
      </c>
      <c r="K993" s="4" t="s">
        <v>7</v>
      </c>
      <c r="L993" s="11"/>
      <c r="M993" s="3"/>
      <c r="N993"/>
      <c r="O993" s="4"/>
      <c r="P993" s="1"/>
      <c r="Q993" s="22"/>
      <c r="R993"/>
      <c r="S993" s="11"/>
      <c r="T993" t="s">
        <v>66</v>
      </c>
      <c r="U993"/>
      <c r="V993" s="1"/>
      <c r="W993" s="1"/>
    </row>
    <row r="994" spans="2:23" x14ac:dyDescent="0.35">
      <c r="B994" s="4">
        <v>30024782</v>
      </c>
      <c r="C994" s="1" t="s">
        <v>853</v>
      </c>
      <c r="D994" s="4" t="s">
        <v>86</v>
      </c>
      <c r="E994" s="3"/>
      <c r="F994" s="3" t="s">
        <v>102</v>
      </c>
      <c r="G994">
        <v>5</v>
      </c>
      <c r="H994" s="4">
        <v>4</v>
      </c>
      <c r="I994" s="4">
        <v>6</v>
      </c>
      <c r="J994" s="4" t="s">
        <v>8</v>
      </c>
      <c r="K994" s="4" t="s">
        <v>7</v>
      </c>
      <c r="L994" s="11"/>
      <c r="M994" s="3"/>
      <c r="N994"/>
      <c r="O994" s="4"/>
      <c r="P994" s="1"/>
      <c r="Q994" s="22"/>
      <c r="R994"/>
      <c r="S994" s="11"/>
      <c r="T994" t="s">
        <v>67</v>
      </c>
      <c r="U994"/>
      <c r="V994" s="1"/>
      <c r="W994" s="1"/>
    </row>
    <row r="995" spans="2:23" x14ac:dyDescent="0.35">
      <c r="B995" s="4">
        <v>30024783</v>
      </c>
      <c r="C995" s="1" t="s">
        <v>597</v>
      </c>
      <c r="D995" s="4" t="s">
        <v>86</v>
      </c>
      <c r="E995" s="3"/>
      <c r="F995" s="3" t="s">
        <v>68</v>
      </c>
      <c r="G995">
        <v>1</v>
      </c>
      <c r="H995" s="4">
        <v>1</v>
      </c>
      <c r="I995" s="4">
        <v>26</v>
      </c>
      <c r="J995" s="4" t="s">
        <v>8</v>
      </c>
      <c r="K995" s="4" t="s">
        <v>14</v>
      </c>
      <c r="L995" s="11"/>
      <c r="M995" s="3"/>
      <c r="N995"/>
      <c r="O995" s="4"/>
      <c r="P995" s="1"/>
      <c r="Q995" s="22"/>
      <c r="R995"/>
      <c r="S995" s="11"/>
      <c r="T995" t="s">
        <v>66</v>
      </c>
      <c r="U995"/>
      <c r="V995" s="1"/>
      <c r="W995" s="1"/>
    </row>
    <row r="996" spans="2:23" x14ac:dyDescent="0.35">
      <c r="B996" s="4">
        <v>30024784</v>
      </c>
      <c r="C996" s="1" t="s">
        <v>1160</v>
      </c>
      <c r="D996" s="4" t="s">
        <v>86</v>
      </c>
      <c r="E996" s="3"/>
      <c r="F996" s="3" t="s">
        <v>102</v>
      </c>
      <c r="G996">
        <v>3</v>
      </c>
      <c r="H996" s="4">
        <v>2</v>
      </c>
      <c r="I996" s="4">
        <v>4</v>
      </c>
      <c r="J996" s="4" t="s">
        <v>8</v>
      </c>
      <c r="K996" s="4" t="s">
        <v>7</v>
      </c>
      <c r="L996" s="11"/>
      <c r="M996" s="3"/>
      <c r="N996"/>
      <c r="O996" s="4"/>
      <c r="P996" s="1"/>
      <c r="Q996" s="22"/>
      <c r="R996"/>
      <c r="S996" s="11"/>
      <c r="T996" t="s">
        <v>66</v>
      </c>
      <c r="U996"/>
      <c r="V996" s="1"/>
      <c r="W996" s="1"/>
    </row>
    <row r="997" spans="2:23" x14ac:dyDescent="0.35">
      <c r="B997" s="4">
        <v>30024785</v>
      </c>
      <c r="C997" s="1" t="s">
        <v>894</v>
      </c>
      <c r="D997" s="4" t="s">
        <v>86</v>
      </c>
      <c r="E997" s="3"/>
      <c r="F997" s="3" t="s">
        <v>102</v>
      </c>
      <c r="G997">
        <v>5</v>
      </c>
      <c r="H997" s="4">
        <v>4</v>
      </c>
      <c r="I997" s="4">
        <v>16</v>
      </c>
      <c r="J997" s="4" t="s">
        <v>8</v>
      </c>
      <c r="K997" s="4" t="s">
        <v>14</v>
      </c>
      <c r="L997" s="11"/>
      <c r="M997" s="3"/>
      <c r="N997"/>
      <c r="O997" s="4"/>
      <c r="P997" s="1"/>
      <c r="Q997" s="22"/>
      <c r="R997"/>
      <c r="S997" s="11"/>
      <c r="T997" t="s">
        <v>66</v>
      </c>
      <c r="U997"/>
      <c r="V997" s="1"/>
      <c r="W997" s="1"/>
    </row>
    <row r="998" spans="2:23" x14ac:dyDescent="0.35">
      <c r="B998" s="4">
        <v>30024786</v>
      </c>
      <c r="C998" s="1" t="s">
        <v>895</v>
      </c>
      <c r="D998" s="4" t="s">
        <v>86</v>
      </c>
      <c r="E998" s="3" t="s">
        <v>1225</v>
      </c>
      <c r="F998" s="3" t="s">
        <v>102</v>
      </c>
      <c r="G998">
        <v>5</v>
      </c>
      <c r="H998" s="4">
        <v>4</v>
      </c>
      <c r="I998" s="4">
        <v>7</v>
      </c>
      <c r="J998" s="4" t="s">
        <v>8</v>
      </c>
      <c r="K998" s="4" t="s">
        <v>7</v>
      </c>
      <c r="L998" s="11"/>
      <c r="M998" s="3"/>
      <c r="N998"/>
      <c r="O998" s="4"/>
      <c r="P998" s="1"/>
      <c r="Q998" s="22"/>
      <c r="R998"/>
      <c r="S998" s="11"/>
      <c r="T998" t="s">
        <v>66</v>
      </c>
      <c r="U998"/>
      <c r="V998" s="1"/>
      <c r="W998" s="1"/>
    </row>
    <row r="999" spans="2:23" x14ac:dyDescent="0.35">
      <c r="B999" s="4">
        <v>30024787</v>
      </c>
      <c r="C999" s="1" t="s">
        <v>896</v>
      </c>
      <c r="D999" s="4" t="s">
        <v>86</v>
      </c>
      <c r="E999" s="3" t="s">
        <v>1225</v>
      </c>
      <c r="F999" s="3" t="s">
        <v>102</v>
      </c>
      <c r="G999">
        <v>5</v>
      </c>
      <c r="H999" s="4">
        <v>4</v>
      </c>
      <c r="I999" s="4">
        <v>7</v>
      </c>
      <c r="J999" s="4" t="s">
        <v>8</v>
      </c>
      <c r="K999" s="4" t="s">
        <v>7</v>
      </c>
      <c r="L999" s="11"/>
      <c r="M999" s="3"/>
      <c r="N999"/>
      <c r="O999" s="4"/>
      <c r="P999" s="1"/>
      <c r="Q999" s="22"/>
      <c r="R999"/>
      <c r="S999" s="11"/>
      <c r="T999" t="s">
        <v>66</v>
      </c>
      <c r="U999"/>
      <c r="V999" s="1"/>
      <c r="W999" s="1"/>
    </row>
    <row r="1000" spans="2:23" x14ac:dyDescent="0.35">
      <c r="B1000" s="4">
        <v>30024790</v>
      </c>
      <c r="C1000" s="1" t="s">
        <v>854</v>
      </c>
      <c r="D1000" s="4" t="s">
        <v>86</v>
      </c>
      <c r="E1000" s="3" t="s">
        <v>1225</v>
      </c>
      <c r="F1000" s="3" t="s">
        <v>102</v>
      </c>
      <c r="G1000">
        <v>5</v>
      </c>
      <c r="H1000" s="4">
        <v>4</v>
      </c>
      <c r="I1000" s="4">
        <v>14</v>
      </c>
      <c r="J1000" s="4" t="s">
        <v>8</v>
      </c>
      <c r="K1000" s="4" t="s">
        <v>14</v>
      </c>
      <c r="L1000" s="11"/>
      <c r="M1000" s="3"/>
      <c r="N1000"/>
      <c r="O1000" s="4"/>
      <c r="P1000" s="1"/>
      <c r="Q1000" s="22"/>
      <c r="R1000"/>
      <c r="S1000" s="11"/>
      <c r="T1000" t="s">
        <v>66</v>
      </c>
      <c r="U1000"/>
      <c r="V1000" s="1"/>
      <c r="W1000" s="1"/>
    </row>
    <row r="1001" spans="2:23" x14ac:dyDescent="0.35">
      <c r="B1001" s="4">
        <v>30024791</v>
      </c>
      <c r="C1001" s="1" t="s">
        <v>897</v>
      </c>
      <c r="D1001" s="4" t="s">
        <v>86</v>
      </c>
      <c r="E1001" s="3"/>
      <c r="F1001" s="3" t="s">
        <v>102</v>
      </c>
      <c r="G1001">
        <v>5</v>
      </c>
      <c r="H1001" s="4">
        <v>4</v>
      </c>
      <c r="I1001" s="4">
        <v>8</v>
      </c>
      <c r="J1001" s="4" t="s">
        <v>8</v>
      </c>
      <c r="K1001" s="4" t="s">
        <v>7</v>
      </c>
      <c r="L1001" s="11"/>
      <c r="M1001" s="3"/>
      <c r="N1001"/>
      <c r="O1001" s="4"/>
      <c r="P1001" s="1"/>
      <c r="Q1001" s="22"/>
      <c r="R1001"/>
      <c r="S1001" s="11"/>
      <c r="T1001" t="s">
        <v>66</v>
      </c>
      <c r="U1001"/>
      <c r="V1001" s="1"/>
      <c r="W1001" s="1"/>
    </row>
    <row r="1002" spans="2:23" x14ac:dyDescent="0.35">
      <c r="B1002" s="4">
        <v>30024792</v>
      </c>
      <c r="C1002" s="1" t="s">
        <v>855</v>
      </c>
      <c r="D1002" s="4" t="s">
        <v>86</v>
      </c>
      <c r="E1002" s="3"/>
      <c r="F1002" s="3" t="s">
        <v>102</v>
      </c>
      <c r="G1002">
        <v>5</v>
      </c>
      <c r="H1002" s="4">
        <v>4</v>
      </c>
      <c r="I1002" s="4">
        <v>10</v>
      </c>
      <c r="J1002" s="4" t="s">
        <v>8</v>
      </c>
      <c r="K1002" s="4" t="s">
        <v>14</v>
      </c>
      <c r="L1002" s="11"/>
      <c r="M1002" s="3"/>
      <c r="N1002"/>
      <c r="O1002" s="4"/>
      <c r="P1002" s="1"/>
      <c r="Q1002" s="22"/>
      <c r="R1002"/>
      <c r="S1002" s="11"/>
      <c r="T1002" t="s">
        <v>67</v>
      </c>
      <c r="U1002"/>
      <c r="V1002" s="1"/>
      <c r="W1002" s="1"/>
    </row>
    <row r="1003" spans="2:23" x14ac:dyDescent="0.35">
      <c r="B1003" s="4">
        <v>30024794</v>
      </c>
      <c r="C1003" s="1" t="s">
        <v>1161</v>
      </c>
      <c r="D1003" s="4" t="s">
        <v>86</v>
      </c>
      <c r="E1003" s="3" t="s">
        <v>1225</v>
      </c>
      <c r="F1003" s="3" t="s">
        <v>102</v>
      </c>
      <c r="G1003">
        <v>8</v>
      </c>
      <c r="H1003" s="4">
        <v>8</v>
      </c>
      <c r="I1003" s="4">
        <v>5</v>
      </c>
      <c r="J1003" s="4" t="s">
        <v>8</v>
      </c>
      <c r="K1003" s="4" t="s">
        <v>9</v>
      </c>
      <c r="L1003" s="11"/>
      <c r="M1003" s="3"/>
      <c r="N1003">
        <v>4502709905</v>
      </c>
      <c r="O1003" s="4">
        <v>10</v>
      </c>
      <c r="P1003" s="1" t="s">
        <v>1574</v>
      </c>
      <c r="Q1003" s="22">
        <v>46258</v>
      </c>
      <c r="R1003"/>
      <c r="S1003" s="11"/>
      <c r="T1003" t="s">
        <v>66</v>
      </c>
      <c r="U1003"/>
      <c r="V1003" s="1"/>
      <c r="W1003" s="1"/>
    </row>
    <row r="1004" spans="2:23" x14ac:dyDescent="0.35">
      <c r="B1004" s="4">
        <v>30024795</v>
      </c>
      <c r="C1004" s="1" t="s">
        <v>1592</v>
      </c>
      <c r="D1004" s="4" t="s">
        <v>86</v>
      </c>
      <c r="E1004" s="3"/>
      <c r="F1004" s="3" t="s">
        <v>102</v>
      </c>
      <c r="G1004">
        <v>5</v>
      </c>
      <c r="H1004" s="4">
        <v>4</v>
      </c>
      <c r="I1004" s="4">
        <v>9</v>
      </c>
      <c r="J1004" s="4" t="s">
        <v>8</v>
      </c>
      <c r="K1004" s="4" t="s">
        <v>7</v>
      </c>
      <c r="L1004" s="11"/>
      <c r="M1004" s="3"/>
      <c r="N1004"/>
      <c r="O1004" s="4"/>
      <c r="P1004" s="1"/>
      <c r="Q1004" s="22"/>
      <c r="R1004"/>
      <c r="S1004" s="11" t="s">
        <v>6888</v>
      </c>
      <c r="T1004" t="s">
        <v>66</v>
      </c>
      <c r="U1004"/>
      <c r="V1004" s="1"/>
      <c r="W1004" s="1"/>
    </row>
    <row r="1005" spans="2:23" x14ac:dyDescent="0.35">
      <c r="B1005" s="4">
        <v>30024796</v>
      </c>
      <c r="C1005" s="1" t="s">
        <v>1061</v>
      </c>
      <c r="D1005" s="4" t="s">
        <v>86</v>
      </c>
      <c r="E1005" s="3"/>
      <c r="F1005" s="3" t="s">
        <v>102</v>
      </c>
      <c r="G1005">
        <v>5</v>
      </c>
      <c r="H1005" s="4">
        <v>4</v>
      </c>
      <c r="I1005" s="4">
        <v>10</v>
      </c>
      <c r="J1005" s="4" t="s">
        <v>8</v>
      </c>
      <c r="K1005" s="4" t="s">
        <v>14</v>
      </c>
      <c r="L1005" s="11"/>
      <c r="M1005" s="3"/>
      <c r="N1005"/>
      <c r="O1005" s="4"/>
      <c r="P1005" s="1"/>
      <c r="Q1005" s="22"/>
      <c r="R1005"/>
      <c r="S1005" s="11"/>
      <c r="T1005" t="s">
        <v>66</v>
      </c>
      <c r="U1005"/>
      <c r="V1005" s="1"/>
      <c r="W1005" s="1"/>
    </row>
    <row r="1006" spans="2:23" x14ac:dyDescent="0.35">
      <c r="B1006" s="4">
        <v>30024855</v>
      </c>
      <c r="C1006" s="1" t="s">
        <v>898</v>
      </c>
      <c r="D1006" s="4" t="s">
        <v>86</v>
      </c>
      <c r="E1006" s="3" t="s">
        <v>1225</v>
      </c>
      <c r="F1006" s="3" t="s">
        <v>102</v>
      </c>
      <c r="G1006">
        <v>2</v>
      </c>
      <c r="H1006" s="4">
        <v>2</v>
      </c>
      <c r="I1006" s="4">
        <v>3</v>
      </c>
      <c r="J1006" s="4" t="s">
        <v>8</v>
      </c>
      <c r="K1006" s="4" t="s">
        <v>7</v>
      </c>
      <c r="L1006" s="11"/>
      <c r="M1006" s="3"/>
      <c r="N1006"/>
      <c r="O1006" s="4"/>
      <c r="P1006" s="1"/>
      <c r="Q1006" s="22"/>
      <c r="R1006"/>
      <c r="S1006" s="11"/>
      <c r="T1006" t="s">
        <v>66</v>
      </c>
      <c r="U1006"/>
      <c r="V1006" s="1"/>
      <c r="W1006" s="1"/>
    </row>
    <row r="1007" spans="2:23" x14ac:dyDescent="0.35">
      <c r="B1007" s="4">
        <v>30024865</v>
      </c>
      <c r="C1007" s="1" t="s">
        <v>899</v>
      </c>
      <c r="D1007" s="4" t="s">
        <v>86</v>
      </c>
      <c r="E1007" s="3" t="s">
        <v>1225</v>
      </c>
      <c r="F1007" s="3" t="s">
        <v>102</v>
      </c>
      <c r="G1007">
        <v>2</v>
      </c>
      <c r="H1007" s="4">
        <v>2</v>
      </c>
      <c r="I1007" s="4">
        <v>2</v>
      </c>
      <c r="J1007" s="4" t="s">
        <v>8</v>
      </c>
      <c r="K1007" s="4" t="s">
        <v>7</v>
      </c>
      <c r="L1007" s="11"/>
      <c r="M1007" s="3"/>
      <c r="N1007"/>
      <c r="O1007" s="4"/>
      <c r="P1007" s="1"/>
      <c r="Q1007" s="22"/>
      <c r="R1007"/>
      <c r="S1007" s="11"/>
      <c r="T1007" t="s">
        <v>71</v>
      </c>
      <c r="U1007"/>
      <c r="V1007" s="1"/>
      <c r="W1007" s="1"/>
    </row>
    <row r="1008" spans="2:23" x14ac:dyDescent="0.35">
      <c r="B1008" s="4">
        <v>30024867</v>
      </c>
      <c r="C1008" s="1" t="s">
        <v>598</v>
      </c>
      <c r="D1008" s="4" t="s">
        <v>86</v>
      </c>
      <c r="E1008" s="3"/>
      <c r="F1008" s="3" t="s">
        <v>68</v>
      </c>
      <c r="G1008">
        <v>1</v>
      </c>
      <c r="H1008" s="4">
        <v>1</v>
      </c>
      <c r="I1008" s="4">
        <v>7</v>
      </c>
      <c r="J1008" s="4" t="s">
        <v>8</v>
      </c>
      <c r="K1008" s="4" t="s">
        <v>14</v>
      </c>
      <c r="L1008" s="11"/>
      <c r="M1008" s="3"/>
      <c r="N1008"/>
      <c r="O1008" s="4"/>
      <c r="P1008" s="1"/>
      <c r="Q1008" s="22"/>
      <c r="R1008"/>
      <c r="S1008" s="11"/>
      <c r="T1008" t="s">
        <v>69</v>
      </c>
      <c r="U1008"/>
      <c r="V1008" s="1"/>
      <c r="W1008" s="1"/>
    </row>
    <row r="1009" spans="2:23" x14ac:dyDescent="0.35">
      <c r="B1009" s="4">
        <v>30024868</v>
      </c>
      <c r="C1009" s="1" t="s">
        <v>900</v>
      </c>
      <c r="D1009" s="4" t="s">
        <v>86</v>
      </c>
      <c r="E1009" s="3"/>
      <c r="F1009" s="3" t="s">
        <v>102</v>
      </c>
      <c r="G1009">
        <v>2</v>
      </c>
      <c r="H1009" s="4">
        <v>2</v>
      </c>
      <c r="I1009" s="4">
        <v>4</v>
      </c>
      <c r="J1009" s="4" t="s">
        <v>8</v>
      </c>
      <c r="K1009" s="4" t="s">
        <v>7</v>
      </c>
      <c r="L1009" s="11"/>
      <c r="M1009" s="3"/>
      <c r="N1009"/>
      <c r="O1009" s="4"/>
      <c r="P1009" s="1"/>
      <c r="Q1009" s="22"/>
      <c r="R1009"/>
      <c r="S1009" s="11"/>
      <c r="T1009" t="s">
        <v>71</v>
      </c>
      <c r="U1009"/>
      <c r="V1009" s="1"/>
      <c r="W1009" s="1"/>
    </row>
    <row r="1010" spans="2:23" x14ac:dyDescent="0.35">
      <c r="B1010" s="4">
        <v>30024869</v>
      </c>
      <c r="C1010" s="1" t="s">
        <v>857</v>
      </c>
      <c r="D1010" s="4" t="s">
        <v>86</v>
      </c>
      <c r="E1010" s="3"/>
      <c r="F1010" s="3" t="s">
        <v>102</v>
      </c>
      <c r="G1010">
        <v>5</v>
      </c>
      <c r="H1010" s="4">
        <v>4</v>
      </c>
      <c r="I1010" s="4">
        <v>6</v>
      </c>
      <c r="J1010" s="4" t="s">
        <v>8</v>
      </c>
      <c r="K1010" s="4" t="s">
        <v>7</v>
      </c>
      <c r="L1010" s="11"/>
      <c r="M1010" s="3"/>
      <c r="N1010"/>
      <c r="O1010" s="4"/>
      <c r="P1010" s="1"/>
      <c r="Q1010" s="22"/>
      <c r="R1010"/>
      <c r="S1010" s="11"/>
      <c r="T1010" t="s">
        <v>71</v>
      </c>
      <c r="U1010"/>
      <c r="V1010" s="1"/>
      <c r="W1010" s="1"/>
    </row>
    <row r="1011" spans="2:23" x14ac:dyDescent="0.35">
      <c r="B1011" s="4">
        <v>30024870</v>
      </c>
      <c r="C1011" s="1" t="s">
        <v>901</v>
      </c>
      <c r="D1011" s="4" t="s">
        <v>86</v>
      </c>
      <c r="E1011" s="3"/>
      <c r="F1011" s="3" t="s">
        <v>102</v>
      </c>
      <c r="G1011">
        <v>9</v>
      </c>
      <c r="H1011" s="4">
        <v>8</v>
      </c>
      <c r="I1011" s="4">
        <v>49</v>
      </c>
      <c r="J1011" s="4" t="s">
        <v>8</v>
      </c>
      <c r="K1011" s="4" t="s">
        <v>14</v>
      </c>
      <c r="L1011" s="11"/>
      <c r="M1011" s="3"/>
      <c r="N1011"/>
      <c r="O1011" s="4"/>
      <c r="P1011" s="1"/>
      <c r="Q1011" s="22"/>
      <c r="R1011"/>
      <c r="S1011" s="11"/>
      <c r="T1011" t="s">
        <v>71</v>
      </c>
      <c r="U1011"/>
      <c r="V1011" s="1"/>
      <c r="W1011" s="1"/>
    </row>
    <row r="1012" spans="2:23" x14ac:dyDescent="0.35">
      <c r="B1012" s="4">
        <v>30024881</v>
      </c>
      <c r="C1012" s="1" t="s">
        <v>599</v>
      </c>
      <c r="D1012" s="4" t="s">
        <v>86</v>
      </c>
      <c r="E1012" s="3"/>
      <c r="F1012" s="3" t="s">
        <v>68</v>
      </c>
      <c r="G1012">
        <v>4</v>
      </c>
      <c r="H1012" s="4">
        <v>16</v>
      </c>
      <c r="I1012" s="4">
        <v>20</v>
      </c>
      <c r="J1012" s="4" t="s">
        <v>8</v>
      </c>
      <c r="K1012" s="4" t="s">
        <v>7</v>
      </c>
      <c r="L1012" s="11"/>
      <c r="M1012" s="3"/>
      <c r="N1012"/>
      <c r="O1012" s="4"/>
      <c r="P1012" s="1"/>
      <c r="Q1012" s="22"/>
      <c r="R1012"/>
      <c r="S1012" s="11"/>
      <c r="T1012" t="s">
        <v>66</v>
      </c>
      <c r="U1012"/>
      <c r="V1012" s="1"/>
      <c r="W1012" s="1"/>
    </row>
    <row r="1013" spans="2:23" x14ac:dyDescent="0.35">
      <c r="B1013" s="4">
        <v>30024886</v>
      </c>
      <c r="C1013" s="1" t="s">
        <v>600</v>
      </c>
      <c r="D1013" s="4" t="s">
        <v>86</v>
      </c>
      <c r="E1013" s="3"/>
      <c r="F1013" s="3" t="s">
        <v>68</v>
      </c>
      <c r="G1013">
        <v>8</v>
      </c>
      <c r="H1013" s="4">
        <v>8</v>
      </c>
      <c r="I1013" s="4">
        <v>15</v>
      </c>
      <c r="J1013" s="4" t="s">
        <v>8</v>
      </c>
      <c r="K1013" s="4" t="s">
        <v>7</v>
      </c>
      <c r="L1013" s="11"/>
      <c r="M1013" s="3"/>
      <c r="N1013"/>
      <c r="O1013" s="4"/>
      <c r="P1013" s="1"/>
      <c r="Q1013" s="22"/>
      <c r="R1013"/>
      <c r="S1013" s="11"/>
      <c r="T1013" t="s">
        <v>66</v>
      </c>
      <c r="U1013"/>
      <c r="V1013" s="1"/>
      <c r="W1013" s="1"/>
    </row>
    <row r="1014" spans="2:23" x14ac:dyDescent="0.35">
      <c r="B1014" s="4">
        <v>30024895</v>
      </c>
      <c r="C1014" s="1" t="s">
        <v>601</v>
      </c>
      <c r="D1014" s="4" t="s">
        <v>86</v>
      </c>
      <c r="E1014" s="3"/>
      <c r="F1014" s="3" t="s">
        <v>68</v>
      </c>
      <c r="G1014">
        <v>4</v>
      </c>
      <c r="H1014" s="4">
        <v>4</v>
      </c>
      <c r="I1014" s="4">
        <v>5</v>
      </c>
      <c r="J1014" s="4" t="s">
        <v>8</v>
      </c>
      <c r="K1014" s="4" t="s">
        <v>7</v>
      </c>
      <c r="L1014" s="11"/>
      <c r="M1014" s="3"/>
      <c r="N1014"/>
      <c r="O1014" s="4"/>
      <c r="P1014" s="1"/>
      <c r="Q1014" s="22"/>
      <c r="R1014"/>
      <c r="S1014" s="11"/>
      <c r="T1014" t="s">
        <v>66</v>
      </c>
      <c r="U1014"/>
      <c r="V1014" s="1"/>
      <c r="W1014" s="1"/>
    </row>
    <row r="1015" spans="2:23" x14ac:dyDescent="0.35">
      <c r="B1015" s="4">
        <v>30024898</v>
      </c>
      <c r="C1015" s="1" t="s">
        <v>1052</v>
      </c>
      <c r="D1015" s="4" t="s">
        <v>86</v>
      </c>
      <c r="E1015" s="3"/>
      <c r="F1015" s="3" t="s">
        <v>102</v>
      </c>
      <c r="G1015">
        <v>3</v>
      </c>
      <c r="H1015" s="4">
        <v>2</v>
      </c>
      <c r="I1015" s="4">
        <v>3</v>
      </c>
      <c r="J1015" s="4" t="s">
        <v>8</v>
      </c>
      <c r="K1015" s="4" t="s">
        <v>7</v>
      </c>
      <c r="L1015" s="11"/>
      <c r="M1015" s="3"/>
      <c r="N1015"/>
      <c r="O1015" s="4"/>
      <c r="P1015" s="1"/>
      <c r="Q1015" s="22"/>
      <c r="R1015"/>
      <c r="S1015" s="11"/>
      <c r="T1015" t="s">
        <v>71</v>
      </c>
      <c r="U1015"/>
      <c r="V1015" s="1"/>
      <c r="W1015" s="1"/>
    </row>
    <row r="1016" spans="2:23" x14ac:dyDescent="0.35">
      <c r="B1016" s="4">
        <v>30024995</v>
      </c>
      <c r="C1016" s="1" t="s">
        <v>1349</v>
      </c>
      <c r="D1016" s="4" t="s">
        <v>86</v>
      </c>
      <c r="E1016" s="3"/>
      <c r="F1016" s="3" t="s">
        <v>68</v>
      </c>
      <c r="G1016">
        <v>2</v>
      </c>
      <c r="H1016" s="4">
        <v>4</v>
      </c>
      <c r="I1016" s="4">
        <v>4</v>
      </c>
      <c r="J1016" s="4" t="s">
        <v>8</v>
      </c>
      <c r="K1016" s="4" t="s">
        <v>7</v>
      </c>
      <c r="L1016" s="11"/>
      <c r="M1016" s="3"/>
      <c r="N1016"/>
      <c r="O1016" s="4"/>
      <c r="P1016" s="1"/>
      <c r="Q1016" s="22"/>
      <c r="R1016"/>
      <c r="S1016" s="11"/>
      <c r="T1016" t="s">
        <v>70</v>
      </c>
      <c r="U1016"/>
      <c r="V1016" s="1"/>
      <c r="W1016" s="1"/>
    </row>
    <row r="1017" spans="2:23" x14ac:dyDescent="0.35">
      <c r="B1017" s="4">
        <v>30025328</v>
      </c>
      <c r="C1017" s="1" t="s">
        <v>602</v>
      </c>
      <c r="D1017" s="4" t="s">
        <v>86</v>
      </c>
      <c r="E1017" s="3"/>
      <c r="F1017" s="3" t="s">
        <v>68</v>
      </c>
      <c r="G1017">
        <v>2</v>
      </c>
      <c r="H1017" s="4">
        <v>3</v>
      </c>
      <c r="I1017" s="4">
        <v>4</v>
      </c>
      <c r="J1017" s="4" t="s">
        <v>8</v>
      </c>
      <c r="K1017" s="4" t="s">
        <v>7</v>
      </c>
      <c r="L1017" s="11"/>
      <c r="M1017" s="3"/>
      <c r="N1017"/>
      <c r="O1017" s="4"/>
      <c r="P1017" s="1"/>
      <c r="Q1017" s="22"/>
      <c r="R1017"/>
      <c r="S1017" s="11"/>
      <c r="T1017" t="s">
        <v>67</v>
      </c>
      <c r="U1017"/>
      <c r="V1017" s="1"/>
      <c r="W1017" s="1"/>
    </row>
    <row r="1018" spans="2:23" x14ac:dyDescent="0.35">
      <c r="B1018" s="4">
        <v>30026143</v>
      </c>
      <c r="C1018" s="1" t="s">
        <v>603</v>
      </c>
      <c r="D1018" s="4" t="s">
        <v>86</v>
      </c>
      <c r="E1018" s="3"/>
      <c r="F1018" s="3" t="s">
        <v>68</v>
      </c>
      <c r="G1018">
        <v>2</v>
      </c>
      <c r="H1018" s="4">
        <v>2</v>
      </c>
      <c r="I1018" s="4">
        <v>3</v>
      </c>
      <c r="J1018" s="4" t="s">
        <v>8</v>
      </c>
      <c r="K1018" s="4" t="s">
        <v>7</v>
      </c>
      <c r="L1018" s="11"/>
      <c r="M1018" s="3"/>
      <c r="N1018"/>
      <c r="O1018" s="4"/>
      <c r="P1018" s="1"/>
      <c r="Q1018" s="22"/>
      <c r="R1018"/>
      <c r="S1018" s="11"/>
      <c r="T1018" t="s">
        <v>70</v>
      </c>
      <c r="U1018"/>
      <c r="V1018" s="1"/>
      <c r="W1018" s="1"/>
    </row>
    <row r="1019" spans="2:23" x14ac:dyDescent="0.35">
      <c r="B1019" s="4">
        <v>30026243</v>
      </c>
      <c r="C1019" s="1" t="s">
        <v>604</v>
      </c>
      <c r="D1019" s="4" t="s">
        <v>86</v>
      </c>
      <c r="E1019" s="3"/>
      <c r="F1019" s="3" t="s">
        <v>68</v>
      </c>
      <c r="G1019">
        <v>80</v>
      </c>
      <c r="H1019" s="4">
        <v>80</v>
      </c>
      <c r="I1019" s="4">
        <v>53</v>
      </c>
      <c r="J1019" s="4" t="s">
        <v>8</v>
      </c>
      <c r="K1019" s="4" t="s">
        <v>9</v>
      </c>
      <c r="L1019" s="11"/>
      <c r="M1019" s="3"/>
      <c r="N1019">
        <v>4502710847</v>
      </c>
      <c r="O1019" s="4">
        <v>80</v>
      </c>
      <c r="P1019" s="1" t="s">
        <v>6844</v>
      </c>
      <c r="Q1019" s="22">
        <v>46279</v>
      </c>
      <c r="R1019"/>
      <c r="S1019" s="11"/>
      <c r="T1019" t="s">
        <v>70</v>
      </c>
      <c r="U1019"/>
      <c r="V1019" s="1"/>
      <c r="W1019" s="1"/>
    </row>
    <row r="1020" spans="2:23" x14ac:dyDescent="0.35">
      <c r="B1020" s="4">
        <v>30026273</v>
      </c>
      <c r="C1020" s="1" t="s">
        <v>605</v>
      </c>
      <c r="D1020" s="4" t="s">
        <v>86</v>
      </c>
      <c r="E1020" s="3"/>
      <c r="F1020" s="3" t="s">
        <v>68</v>
      </c>
      <c r="G1020">
        <v>6</v>
      </c>
      <c r="H1020" s="4">
        <v>4</v>
      </c>
      <c r="I1020" s="4">
        <v>7</v>
      </c>
      <c r="J1020" s="4" t="s">
        <v>8</v>
      </c>
      <c r="K1020" s="4" t="s">
        <v>7</v>
      </c>
      <c r="L1020" s="11"/>
      <c r="M1020" s="3"/>
      <c r="N1020"/>
      <c r="O1020" s="4"/>
      <c r="P1020" s="1"/>
      <c r="Q1020" s="22"/>
      <c r="R1020"/>
      <c r="S1020" s="11"/>
      <c r="T1020" t="s">
        <v>67</v>
      </c>
      <c r="U1020"/>
      <c r="V1020" s="1"/>
      <c r="W1020" s="1"/>
    </row>
    <row r="1021" spans="2:23" x14ac:dyDescent="0.35">
      <c r="B1021" s="4">
        <v>30026837</v>
      </c>
      <c r="C1021" s="1" t="s">
        <v>1289</v>
      </c>
      <c r="D1021" s="4" t="s">
        <v>86</v>
      </c>
      <c r="E1021" s="3"/>
      <c r="F1021" s="3" t="s">
        <v>68</v>
      </c>
      <c r="G1021">
        <v>2</v>
      </c>
      <c r="H1021" s="4">
        <v>2</v>
      </c>
      <c r="I1021" s="4">
        <v>5</v>
      </c>
      <c r="J1021" s="4" t="s">
        <v>10</v>
      </c>
      <c r="K1021" s="4" t="s">
        <v>14</v>
      </c>
      <c r="L1021" s="11"/>
      <c r="M1021" s="3"/>
      <c r="N1021"/>
      <c r="O1021" s="4"/>
      <c r="P1021" s="1"/>
      <c r="Q1021" s="22"/>
      <c r="R1021"/>
      <c r="S1021" s="11"/>
      <c r="T1021" t="s">
        <v>66</v>
      </c>
      <c r="U1021"/>
      <c r="V1021" s="1"/>
      <c r="W1021" s="1"/>
    </row>
    <row r="1022" spans="2:23" x14ac:dyDescent="0.35">
      <c r="B1022" s="4">
        <v>30026908</v>
      </c>
      <c r="C1022" s="1" t="s">
        <v>606</v>
      </c>
      <c r="D1022" s="4" t="s">
        <v>86</v>
      </c>
      <c r="E1022" s="3"/>
      <c r="F1022" s="3" t="s">
        <v>68</v>
      </c>
      <c r="G1022">
        <v>3</v>
      </c>
      <c r="H1022" s="4">
        <v>4</v>
      </c>
      <c r="I1022" s="4">
        <v>7</v>
      </c>
      <c r="J1022" s="4" t="s">
        <v>8</v>
      </c>
      <c r="K1022" s="4" t="s">
        <v>7</v>
      </c>
      <c r="L1022" s="11"/>
      <c r="M1022" s="3"/>
      <c r="N1022"/>
      <c r="O1022" s="4"/>
      <c r="P1022" s="1"/>
      <c r="Q1022" s="22"/>
      <c r="R1022"/>
      <c r="S1022" s="11"/>
      <c r="T1022" t="s">
        <v>69</v>
      </c>
      <c r="U1022"/>
      <c r="V1022" s="1"/>
      <c r="W1022" s="1"/>
    </row>
    <row r="1023" spans="2:23" x14ac:dyDescent="0.35">
      <c r="B1023" s="4">
        <v>30027269</v>
      </c>
      <c r="C1023" s="1" t="s">
        <v>607</v>
      </c>
      <c r="D1023" s="4" t="s">
        <v>86</v>
      </c>
      <c r="E1023" s="3"/>
      <c r="F1023" s="3" t="s">
        <v>68</v>
      </c>
      <c r="G1023">
        <v>10</v>
      </c>
      <c r="H1023" s="4">
        <v>7</v>
      </c>
      <c r="I1023" s="4">
        <v>6</v>
      </c>
      <c r="J1023" s="4" t="s">
        <v>8</v>
      </c>
      <c r="K1023" s="4" t="s">
        <v>9</v>
      </c>
      <c r="L1023" s="11"/>
      <c r="M1023" s="3"/>
      <c r="N1023">
        <v>4502711416</v>
      </c>
      <c r="O1023" s="4">
        <v>7</v>
      </c>
      <c r="P1023" s="1" t="s">
        <v>6831</v>
      </c>
      <c r="Q1023" s="22">
        <v>46258</v>
      </c>
      <c r="R1023"/>
      <c r="S1023" s="11"/>
      <c r="T1023" t="s">
        <v>70</v>
      </c>
      <c r="U1023"/>
      <c r="V1023" s="1"/>
      <c r="W1023" s="1"/>
    </row>
    <row r="1024" spans="2:23" x14ac:dyDescent="0.35">
      <c r="B1024" s="4">
        <v>30027382</v>
      </c>
      <c r="C1024" s="1" t="s">
        <v>608</v>
      </c>
      <c r="D1024" s="4" t="s">
        <v>86</v>
      </c>
      <c r="E1024" s="3"/>
      <c r="F1024" s="3" t="s">
        <v>68</v>
      </c>
      <c r="G1024">
        <v>1</v>
      </c>
      <c r="H1024" s="4">
        <v>1</v>
      </c>
      <c r="I1024" s="4">
        <v>62</v>
      </c>
      <c r="J1024" s="4" t="s">
        <v>8</v>
      </c>
      <c r="K1024" s="4" t="s">
        <v>14</v>
      </c>
      <c r="L1024" s="11"/>
      <c r="M1024" s="3"/>
      <c r="N1024"/>
      <c r="O1024" s="4"/>
      <c r="P1024" s="1"/>
      <c r="Q1024" s="22"/>
      <c r="R1024"/>
      <c r="S1024" s="11"/>
      <c r="T1024" t="s">
        <v>70</v>
      </c>
      <c r="U1024"/>
      <c r="V1024" s="1"/>
      <c r="W1024" s="1"/>
    </row>
    <row r="1025" spans="2:23" x14ac:dyDescent="0.35">
      <c r="B1025" s="4">
        <v>30027556</v>
      </c>
      <c r="C1025" s="1" t="s">
        <v>1571</v>
      </c>
      <c r="D1025" s="4" t="s">
        <v>86</v>
      </c>
      <c r="E1025" s="3"/>
      <c r="F1025" s="3" t="s">
        <v>68</v>
      </c>
      <c r="G1025">
        <v>50</v>
      </c>
      <c r="H1025" s="4">
        <v>100</v>
      </c>
      <c r="I1025" s="4">
        <v>76</v>
      </c>
      <c r="J1025" s="4" t="s">
        <v>8</v>
      </c>
      <c r="K1025" s="4" t="s">
        <v>7</v>
      </c>
      <c r="L1025" s="11"/>
      <c r="M1025" s="3"/>
      <c r="N1025"/>
      <c r="O1025" s="4"/>
      <c r="P1025" s="1"/>
      <c r="Q1025" s="22"/>
      <c r="R1025"/>
      <c r="S1025" s="11"/>
      <c r="T1025" t="s">
        <v>70</v>
      </c>
      <c r="U1025"/>
      <c r="V1025" s="1"/>
      <c r="W1025" s="1"/>
    </row>
    <row r="1026" spans="2:23" x14ac:dyDescent="0.35">
      <c r="B1026" s="4">
        <v>30028040</v>
      </c>
      <c r="C1026" s="1" t="s">
        <v>1487</v>
      </c>
      <c r="D1026" s="4" t="s">
        <v>86</v>
      </c>
      <c r="E1026" s="3"/>
      <c r="F1026" s="3" t="s">
        <v>68</v>
      </c>
      <c r="G1026">
        <v>2</v>
      </c>
      <c r="H1026" s="4">
        <v>2</v>
      </c>
      <c r="I1026" s="4">
        <v>6</v>
      </c>
      <c r="J1026" s="4" t="s">
        <v>8</v>
      </c>
      <c r="K1026" s="4" t="s">
        <v>14</v>
      </c>
      <c r="L1026" s="11"/>
      <c r="M1026" s="3"/>
      <c r="N1026"/>
      <c r="O1026" s="4"/>
      <c r="P1026" s="1"/>
      <c r="Q1026" s="22"/>
      <c r="R1026"/>
      <c r="S1026" s="11"/>
      <c r="T1026" t="s">
        <v>70</v>
      </c>
      <c r="U1026"/>
      <c r="V1026" s="1"/>
      <c r="W1026" s="1"/>
    </row>
    <row r="1027" spans="2:23" x14ac:dyDescent="0.35">
      <c r="B1027" s="4">
        <v>30028518</v>
      </c>
      <c r="C1027" s="1" t="s">
        <v>1370</v>
      </c>
      <c r="D1027" s="4" t="s">
        <v>86</v>
      </c>
      <c r="E1027" s="3"/>
      <c r="F1027" s="3" t="s">
        <v>68</v>
      </c>
      <c r="G1027">
        <v>4</v>
      </c>
      <c r="H1027" s="4">
        <v>4</v>
      </c>
      <c r="I1027" s="4">
        <v>7</v>
      </c>
      <c r="J1027" s="4" t="s">
        <v>8</v>
      </c>
      <c r="K1027" s="4" t="s">
        <v>7</v>
      </c>
      <c r="L1027" s="11"/>
      <c r="M1027" s="3"/>
      <c r="N1027"/>
      <c r="O1027" s="4"/>
      <c r="P1027" s="1"/>
      <c r="Q1027" s="22"/>
      <c r="R1027"/>
      <c r="S1027" s="11"/>
      <c r="T1027" t="s">
        <v>66</v>
      </c>
      <c r="U1027"/>
      <c r="V1027" s="1"/>
      <c r="W1027" s="1"/>
    </row>
    <row r="1028" spans="2:23" x14ac:dyDescent="0.35">
      <c r="B1028" s="4">
        <v>30028581</v>
      </c>
      <c r="C1028" s="1" t="s">
        <v>610</v>
      </c>
      <c r="D1028" s="4" t="s">
        <v>86</v>
      </c>
      <c r="E1028" s="3"/>
      <c r="F1028" s="3" t="s">
        <v>68</v>
      </c>
      <c r="G1028">
        <v>2</v>
      </c>
      <c r="H1028" s="4">
        <v>2</v>
      </c>
      <c r="I1028" s="4">
        <v>1</v>
      </c>
      <c r="J1028" s="4" t="s">
        <v>8</v>
      </c>
      <c r="K1028" s="4" t="s">
        <v>9</v>
      </c>
      <c r="L1028" s="11" t="s">
        <v>6896</v>
      </c>
      <c r="M1028" s="3"/>
      <c r="N1028"/>
      <c r="O1028" s="4"/>
      <c r="P1028" s="1"/>
      <c r="Q1028" s="22"/>
      <c r="R1028"/>
      <c r="S1028" s="11" t="s">
        <v>6889</v>
      </c>
      <c r="T1028" t="s">
        <v>70</v>
      </c>
      <c r="U1028"/>
      <c r="V1028" s="1"/>
      <c r="W1028" s="1"/>
    </row>
    <row r="1029" spans="2:23" x14ac:dyDescent="0.35">
      <c r="B1029" s="4">
        <v>30029182</v>
      </c>
      <c r="C1029" s="1" t="s">
        <v>1350</v>
      </c>
      <c r="D1029" s="4" t="s">
        <v>86</v>
      </c>
      <c r="E1029" s="3"/>
      <c r="F1029" s="3" t="s">
        <v>68</v>
      </c>
      <c r="G1029">
        <v>2</v>
      </c>
      <c r="H1029" s="4">
        <v>4</v>
      </c>
      <c r="I1029" s="4">
        <v>10</v>
      </c>
      <c r="J1029" s="4" t="s">
        <v>8</v>
      </c>
      <c r="K1029" s="4" t="s">
        <v>14</v>
      </c>
      <c r="L1029" s="11"/>
      <c r="M1029" s="3"/>
      <c r="N1029"/>
      <c r="O1029" s="4"/>
      <c r="P1029" s="1"/>
      <c r="Q1029" s="22"/>
      <c r="R1029"/>
      <c r="S1029" s="11"/>
      <c r="T1029" t="s">
        <v>70</v>
      </c>
      <c r="U1029"/>
      <c r="V1029" s="1"/>
      <c r="W1029" s="1"/>
    </row>
    <row r="1030" spans="2:23" x14ac:dyDescent="0.35">
      <c r="B1030" s="4">
        <v>30029241</v>
      </c>
      <c r="C1030" s="1" t="s">
        <v>611</v>
      </c>
      <c r="D1030" s="4" t="s">
        <v>86</v>
      </c>
      <c r="E1030" s="3"/>
      <c r="F1030" s="3" t="s">
        <v>68</v>
      </c>
      <c r="G1030">
        <v>2</v>
      </c>
      <c r="H1030" s="4">
        <v>1</v>
      </c>
      <c r="I1030" s="4">
        <v>2</v>
      </c>
      <c r="J1030" s="4" t="s">
        <v>8</v>
      </c>
      <c r="K1030" s="4" t="s">
        <v>7</v>
      </c>
      <c r="L1030" s="11"/>
      <c r="M1030" s="3"/>
      <c r="N1030"/>
      <c r="O1030" s="4"/>
      <c r="P1030" s="1"/>
      <c r="Q1030" s="22"/>
      <c r="R1030"/>
      <c r="S1030" s="11"/>
      <c r="T1030" t="s">
        <v>70</v>
      </c>
      <c r="U1030"/>
      <c r="V1030" s="1"/>
      <c r="W1030" s="1"/>
    </row>
    <row r="1031" spans="2:23" x14ac:dyDescent="0.35">
      <c r="B1031" s="4">
        <v>30029403</v>
      </c>
      <c r="C1031" s="1" t="s">
        <v>612</v>
      </c>
      <c r="D1031" s="4" t="s">
        <v>86</v>
      </c>
      <c r="E1031" s="3"/>
      <c r="F1031" s="3" t="s">
        <v>68</v>
      </c>
      <c r="G1031">
        <v>2</v>
      </c>
      <c r="H1031" s="4">
        <v>3</v>
      </c>
      <c r="I1031" s="4">
        <v>2</v>
      </c>
      <c r="J1031" s="4" t="s">
        <v>8</v>
      </c>
      <c r="K1031" s="4" t="s">
        <v>7</v>
      </c>
      <c r="L1031" s="11"/>
      <c r="M1031" s="3"/>
      <c r="N1031"/>
      <c r="O1031" s="4"/>
      <c r="P1031" s="1"/>
      <c r="Q1031" s="22"/>
      <c r="R1031"/>
      <c r="S1031" s="11"/>
      <c r="T1031" t="s">
        <v>70</v>
      </c>
      <c r="U1031"/>
      <c r="V1031" s="1"/>
      <c r="W1031" s="1"/>
    </row>
    <row r="1032" spans="2:23" x14ac:dyDescent="0.35">
      <c r="B1032" s="4">
        <v>30029699</v>
      </c>
      <c r="C1032" s="1" t="s">
        <v>1162</v>
      </c>
      <c r="D1032" s="4" t="s">
        <v>86</v>
      </c>
      <c r="E1032" s="3"/>
      <c r="F1032" s="3" t="s">
        <v>102</v>
      </c>
      <c r="G1032">
        <v>3</v>
      </c>
      <c r="H1032" s="4">
        <v>2</v>
      </c>
      <c r="I1032" s="4">
        <v>3</v>
      </c>
      <c r="J1032" s="4" t="s">
        <v>8</v>
      </c>
      <c r="K1032" s="4" t="s">
        <v>7</v>
      </c>
      <c r="L1032" s="11"/>
      <c r="M1032" s="3"/>
      <c r="N1032"/>
      <c r="O1032" s="4"/>
      <c r="P1032" s="1"/>
      <c r="Q1032" s="22"/>
      <c r="R1032"/>
      <c r="S1032" s="11"/>
      <c r="T1032" t="s">
        <v>66</v>
      </c>
      <c r="U1032"/>
      <c r="V1032" s="1"/>
      <c r="W1032" s="1"/>
    </row>
    <row r="1033" spans="2:23" x14ac:dyDescent="0.35">
      <c r="B1033" s="4">
        <v>30029757</v>
      </c>
      <c r="C1033" s="1" t="s">
        <v>1163</v>
      </c>
      <c r="D1033" s="4" t="s">
        <v>86</v>
      </c>
      <c r="E1033" s="3" t="s">
        <v>1225</v>
      </c>
      <c r="F1033" s="3" t="s">
        <v>102</v>
      </c>
      <c r="G1033">
        <v>5</v>
      </c>
      <c r="H1033" s="4">
        <v>4</v>
      </c>
      <c r="I1033" s="4">
        <v>8</v>
      </c>
      <c r="J1033" s="4" t="s">
        <v>8</v>
      </c>
      <c r="K1033" s="4" t="s">
        <v>7</v>
      </c>
      <c r="L1033" s="11"/>
      <c r="M1033" s="3"/>
      <c r="N1033"/>
      <c r="O1033" s="4"/>
      <c r="P1033" s="1"/>
      <c r="Q1033" s="22"/>
      <c r="R1033"/>
      <c r="S1033" s="11"/>
      <c r="T1033" t="s">
        <v>67</v>
      </c>
      <c r="U1033"/>
      <c r="V1033" s="1"/>
      <c r="W1033" s="1"/>
    </row>
    <row r="1034" spans="2:23" x14ac:dyDescent="0.35">
      <c r="B1034" s="4">
        <v>30029870</v>
      </c>
      <c r="C1034" s="1" t="s">
        <v>613</v>
      </c>
      <c r="D1034" s="4" t="s">
        <v>86</v>
      </c>
      <c r="E1034" s="3"/>
      <c r="F1034" s="3" t="s">
        <v>68</v>
      </c>
      <c r="G1034">
        <v>5</v>
      </c>
      <c r="H1034" s="4">
        <v>4</v>
      </c>
      <c r="I1034" s="4">
        <v>8</v>
      </c>
      <c r="J1034" s="4" t="s">
        <v>8</v>
      </c>
      <c r="K1034" s="4" t="s">
        <v>7</v>
      </c>
      <c r="L1034" s="11"/>
      <c r="M1034" s="3"/>
      <c r="N1034"/>
      <c r="O1034" s="4"/>
      <c r="P1034" s="1"/>
      <c r="Q1034" s="22"/>
      <c r="R1034"/>
      <c r="S1034" s="11"/>
      <c r="T1034" t="s">
        <v>67</v>
      </c>
      <c r="U1034"/>
      <c r="V1034" s="1"/>
      <c r="W1034" s="1"/>
    </row>
    <row r="1035" spans="2:23" x14ac:dyDescent="0.35">
      <c r="B1035" s="4">
        <v>30029871</v>
      </c>
      <c r="C1035" s="1" t="s">
        <v>614</v>
      </c>
      <c r="D1035" s="4" t="s">
        <v>86</v>
      </c>
      <c r="E1035" s="3"/>
      <c r="F1035" s="3" t="s">
        <v>68</v>
      </c>
      <c r="G1035">
        <v>6</v>
      </c>
      <c r="H1035" s="4">
        <v>10</v>
      </c>
      <c r="I1035" s="4">
        <v>11</v>
      </c>
      <c r="J1035" s="4" t="s">
        <v>8</v>
      </c>
      <c r="K1035" s="4" t="s">
        <v>7</v>
      </c>
      <c r="L1035" s="11"/>
      <c r="M1035" s="3"/>
      <c r="N1035"/>
      <c r="O1035" s="4"/>
      <c r="P1035" s="1"/>
      <c r="Q1035" s="22"/>
      <c r="R1035"/>
      <c r="S1035" s="11"/>
      <c r="T1035" t="s">
        <v>66</v>
      </c>
      <c r="U1035"/>
      <c r="V1035" s="1"/>
      <c r="W1035" s="1"/>
    </row>
    <row r="1036" spans="2:23" x14ac:dyDescent="0.35">
      <c r="B1036" s="4">
        <v>30029906</v>
      </c>
      <c r="C1036" s="1" t="s">
        <v>615</v>
      </c>
      <c r="D1036" s="4" t="s">
        <v>86</v>
      </c>
      <c r="E1036" s="3"/>
      <c r="F1036" s="3" t="s">
        <v>68</v>
      </c>
      <c r="G1036">
        <v>6</v>
      </c>
      <c r="H1036" s="4">
        <v>10</v>
      </c>
      <c r="I1036" s="4">
        <v>14</v>
      </c>
      <c r="J1036" s="4" t="s">
        <v>8</v>
      </c>
      <c r="K1036" s="4" t="s">
        <v>7</v>
      </c>
      <c r="L1036" s="11"/>
      <c r="M1036" s="3"/>
      <c r="N1036"/>
      <c r="O1036" s="4"/>
      <c r="P1036" s="1"/>
      <c r="Q1036" s="22"/>
      <c r="R1036"/>
      <c r="S1036" s="11"/>
      <c r="T1036" t="s">
        <v>70</v>
      </c>
      <c r="U1036"/>
      <c r="V1036" s="1"/>
      <c r="W1036" s="1"/>
    </row>
    <row r="1037" spans="2:23" x14ac:dyDescent="0.35">
      <c r="B1037" s="4">
        <v>30029934</v>
      </c>
      <c r="C1037" s="1" t="s">
        <v>1164</v>
      </c>
      <c r="D1037" s="4" t="s">
        <v>86</v>
      </c>
      <c r="E1037" s="3" t="s">
        <v>1225</v>
      </c>
      <c r="F1037" s="3" t="s">
        <v>102</v>
      </c>
      <c r="G1037">
        <v>2</v>
      </c>
      <c r="H1037" s="4">
        <v>2</v>
      </c>
      <c r="I1037" s="4">
        <v>2</v>
      </c>
      <c r="J1037" s="4" t="s">
        <v>8</v>
      </c>
      <c r="K1037" s="4" t="s">
        <v>7</v>
      </c>
      <c r="L1037" s="11"/>
      <c r="M1037" s="3"/>
      <c r="N1037"/>
      <c r="O1037" s="4"/>
      <c r="P1037" s="1"/>
      <c r="Q1037" s="22"/>
      <c r="R1037"/>
      <c r="S1037" s="11"/>
      <c r="T1037" t="s">
        <v>69</v>
      </c>
      <c r="U1037"/>
      <c r="V1037" s="1"/>
      <c r="W1037" s="1"/>
    </row>
    <row r="1038" spans="2:23" x14ac:dyDescent="0.35">
      <c r="B1038" s="4">
        <v>30029941</v>
      </c>
      <c r="C1038" s="1" t="s">
        <v>616</v>
      </c>
      <c r="D1038" s="4" t="s">
        <v>86</v>
      </c>
      <c r="E1038" s="3"/>
      <c r="F1038" s="3" t="s">
        <v>68</v>
      </c>
      <c r="G1038">
        <v>50</v>
      </c>
      <c r="H1038" s="4">
        <v>50</v>
      </c>
      <c r="I1038" s="4">
        <v>70</v>
      </c>
      <c r="J1038" s="4" t="s">
        <v>25</v>
      </c>
      <c r="K1038" s="4" t="s">
        <v>7</v>
      </c>
      <c r="L1038" s="11"/>
      <c r="M1038" s="3"/>
      <c r="N1038"/>
      <c r="O1038" s="4"/>
      <c r="P1038" s="1"/>
      <c r="Q1038" s="22"/>
      <c r="R1038"/>
      <c r="S1038" s="11"/>
      <c r="T1038" t="s">
        <v>66</v>
      </c>
      <c r="U1038"/>
      <c r="V1038" s="1"/>
      <c r="W1038" s="1"/>
    </row>
    <row r="1039" spans="2:23" x14ac:dyDescent="0.35">
      <c r="B1039" s="4">
        <v>30030171</v>
      </c>
      <c r="C1039" s="1" t="s">
        <v>1400</v>
      </c>
      <c r="D1039" s="4" t="s">
        <v>86</v>
      </c>
      <c r="E1039" s="3"/>
      <c r="F1039" s="3" t="s">
        <v>102</v>
      </c>
      <c r="G1039">
        <v>4</v>
      </c>
      <c r="H1039" s="4">
        <v>4</v>
      </c>
      <c r="I1039" s="4">
        <v>2</v>
      </c>
      <c r="J1039" s="4" t="s">
        <v>8</v>
      </c>
      <c r="K1039" s="4" t="s">
        <v>9</v>
      </c>
      <c r="L1039" s="11">
        <v>1002716999</v>
      </c>
      <c r="M1039" s="3">
        <v>2</v>
      </c>
      <c r="N1039"/>
      <c r="O1039" s="4"/>
      <c r="P1039" s="1"/>
      <c r="Q1039" s="22"/>
      <c r="R1039"/>
      <c r="S1039" s="11" t="s">
        <v>6861</v>
      </c>
      <c r="T1039" t="s">
        <v>70</v>
      </c>
      <c r="U1039"/>
      <c r="V1039" s="1"/>
      <c r="W1039" s="1"/>
    </row>
    <row r="1040" spans="2:23" x14ac:dyDescent="0.35">
      <c r="B1040" s="4">
        <v>30030284</v>
      </c>
      <c r="C1040" s="1" t="s">
        <v>902</v>
      </c>
      <c r="D1040" s="4" t="s">
        <v>86</v>
      </c>
      <c r="E1040" s="3"/>
      <c r="F1040" s="3" t="s">
        <v>102</v>
      </c>
      <c r="G1040">
        <v>2</v>
      </c>
      <c r="H1040" s="4">
        <v>1</v>
      </c>
      <c r="I1040" s="4">
        <v>2</v>
      </c>
      <c r="J1040" s="4" t="s">
        <v>8</v>
      </c>
      <c r="K1040" s="4" t="s">
        <v>7</v>
      </c>
      <c r="L1040" s="11"/>
      <c r="M1040" s="3"/>
      <c r="N1040"/>
      <c r="O1040" s="4"/>
      <c r="P1040" s="1"/>
      <c r="Q1040" s="22"/>
      <c r="R1040"/>
      <c r="S1040" s="11"/>
      <c r="T1040" t="s">
        <v>71</v>
      </c>
      <c r="U1040"/>
      <c r="V1040" s="1"/>
      <c r="W1040" s="1"/>
    </row>
    <row r="1041" spans="2:23" x14ac:dyDescent="0.35">
      <c r="B1041" s="4">
        <v>30030285</v>
      </c>
      <c r="C1041" s="1" t="s">
        <v>903</v>
      </c>
      <c r="D1041" s="4" t="s">
        <v>86</v>
      </c>
      <c r="E1041" s="3" t="s">
        <v>1225</v>
      </c>
      <c r="F1041" s="3" t="s">
        <v>102</v>
      </c>
      <c r="G1041">
        <v>2</v>
      </c>
      <c r="H1041" s="4">
        <v>1</v>
      </c>
      <c r="I1041" s="4">
        <v>3</v>
      </c>
      <c r="J1041" s="4" t="s">
        <v>8</v>
      </c>
      <c r="K1041" s="4" t="s">
        <v>7</v>
      </c>
      <c r="L1041" s="11"/>
      <c r="M1041" s="3"/>
      <c r="N1041"/>
      <c r="O1041" s="4"/>
      <c r="P1041" s="1"/>
      <c r="Q1041" s="22"/>
      <c r="R1041"/>
      <c r="S1041" s="11"/>
      <c r="T1041" t="s">
        <v>71</v>
      </c>
      <c r="U1041"/>
      <c r="V1041" s="1"/>
      <c r="W1041" s="1"/>
    </row>
    <row r="1042" spans="2:23" x14ac:dyDescent="0.35">
      <c r="B1042" s="4">
        <v>30030288</v>
      </c>
      <c r="C1042" s="1" t="s">
        <v>904</v>
      </c>
      <c r="D1042" s="4" t="s">
        <v>86</v>
      </c>
      <c r="E1042" s="3"/>
      <c r="F1042" s="3" t="s">
        <v>102</v>
      </c>
      <c r="G1042">
        <v>3</v>
      </c>
      <c r="H1042" s="4">
        <v>3</v>
      </c>
      <c r="I1042" s="4">
        <v>5</v>
      </c>
      <c r="J1042" s="4" t="s">
        <v>8</v>
      </c>
      <c r="K1042" s="4" t="s">
        <v>7</v>
      </c>
      <c r="L1042" s="11"/>
      <c r="M1042" s="3"/>
      <c r="N1042"/>
      <c r="O1042" s="4"/>
      <c r="P1042" s="1"/>
      <c r="Q1042" s="22"/>
      <c r="R1042"/>
      <c r="S1042" s="11"/>
      <c r="T1042" t="s">
        <v>71</v>
      </c>
      <c r="U1042"/>
      <c r="V1042" s="1"/>
      <c r="W1042" s="1"/>
    </row>
    <row r="1043" spans="2:23" x14ac:dyDescent="0.35">
      <c r="B1043" s="4">
        <v>30030293</v>
      </c>
      <c r="C1043" s="1" t="s">
        <v>905</v>
      </c>
      <c r="D1043" s="4" t="s">
        <v>86</v>
      </c>
      <c r="E1043" s="3"/>
      <c r="F1043" s="3" t="s">
        <v>102</v>
      </c>
      <c r="G1043">
        <v>3</v>
      </c>
      <c r="H1043" s="4">
        <v>2</v>
      </c>
      <c r="I1043" s="4">
        <v>6</v>
      </c>
      <c r="J1043" s="4" t="s">
        <v>8</v>
      </c>
      <c r="K1043" s="4" t="s">
        <v>14</v>
      </c>
      <c r="L1043" s="11"/>
      <c r="M1043" s="3"/>
      <c r="N1043"/>
      <c r="O1043" s="4"/>
      <c r="P1043" s="1"/>
      <c r="Q1043" s="22"/>
      <c r="R1043"/>
      <c r="S1043" s="11"/>
      <c r="T1043" t="s">
        <v>71</v>
      </c>
      <c r="U1043"/>
      <c r="V1043" s="1"/>
      <c r="W1043" s="1"/>
    </row>
    <row r="1044" spans="2:23" x14ac:dyDescent="0.35">
      <c r="B1044" s="4">
        <v>30030294</v>
      </c>
      <c r="C1044" s="1" t="s">
        <v>906</v>
      </c>
      <c r="D1044" s="4" t="s">
        <v>86</v>
      </c>
      <c r="E1044" s="3" t="s">
        <v>1225</v>
      </c>
      <c r="F1044" s="3" t="s">
        <v>102</v>
      </c>
      <c r="G1044">
        <v>2</v>
      </c>
      <c r="H1044" s="4">
        <v>2</v>
      </c>
      <c r="I1044" s="4">
        <v>4</v>
      </c>
      <c r="J1044" s="4" t="s">
        <v>8</v>
      </c>
      <c r="K1044" s="4" t="s">
        <v>7</v>
      </c>
      <c r="L1044" s="11"/>
      <c r="M1044" s="3"/>
      <c r="N1044"/>
      <c r="O1044" s="4"/>
      <c r="P1044" s="1"/>
      <c r="Q1044" s="22"/>
      <c r="R1044"/>
      <c r="S1044" s="11"/>
      <c r="T1044" t="s">
        <v>66</v>
      </c>
      <c r="U1044"/>
      <c r="V1044" s="1"/>
      <c r="W1044" s="1"/>
    </row>
    <row r="1045" spans="2:23" x14ac:dyDescent="0.35">
      <c r="B1045" s="4">
        <v>30030296</v>
      </c>
      <c r="C1045" s="1" t="s">
        <v>907</v>
      </c>
      <c r="D1045" s="4" t="s">
        <v>86</v>
      </c>
      <c r="E1045" s="3"/>
      <c r="F1045" s="3" t="s">
        <v>102</v>
      </c>
      <c r="G1045">
        <v>2</v>
      </c>
      <c r="H1045" s="4">
        <v>2</v>
      </c>
      <c r="I1045" s="4">
        <v>2</v>
      </c>
      <c r="J1045" s="4" t="s">
        <v>8</v>
      </c>
      <c r="K1045" s="4" t="s">
        <v>7</v>
      </c>
      <c r="L1045" s="11"/>
      <c r="M1045" s="3"/>
      <c r="N1045"/>
      <c r="O1045" s="4"/>
      <c r="P1045" s="1"/>
      <c r="Q1045" s="22"/>
      <c r="R1045"/>
      <c r="S1045" s="11"/>
      <c r="T1045" t="s">
        <v>71</v>
      </c>
      <c r="U1045"/>
      <c r="V1045" s="1"/>
      <c r="W1045" s="1"/>
    </row>
    <row r="1046" spans="2:23" x14ac:dyDescent="0.35">
      <c r="B1046" s="4">
        <v>30030298</v>
      </c>
      <c r="C1046" s="1" t="s">
        <v>908</v>
      </c>
      <c r="D1046" s="4" t="s">
        <v>86</v>
      </c>
      <c r="E1046" s="3" t="s">
        <v>1225</v>
      </c>
      <c r="F1046" s="3" t="s">
        <v>102</v>
      </c>
      <c r="G1046">
        <v>2</v>
      </c>
      <c r="H1046" s="4">
        <v>1</v>
      </c>
      <c r="I1046" s="4">
        <v>3</v>
      </c>
      <c r="J1046" s="4" t="s">
        <v>8</v>
      </c>
      <c r="K1046" s="4" t="s">
        <v>7</v>
      </c>
      <c r="L1046" s="11"/>
      <c r="M1046" s="3"/>
      <c r="N1046"/>
      <c r="O1046" s="4"/>
      <c r="P1046" s="1"/>
      <c r="Q1046" s="22"/>
      <c r="R1046"/>
      <c r="S1046" s="11"/>
      <c r="T1046" t="s">
        <v>71</v>
      </c>
      <c r="U1046"/>
      <c r="V1046" s="1"/>
      <c r="W1046" s="1"/>
    </row>
    <row r="1047" spans="2:23" x14ac:dyDescent="0.35">
      <c r="B1047" s="4">
        <v>30030652</v>
      </c>
      <c r="C1047" s="1" t="s">
        <v>618</v>
      </c>
      <c r="D1047" s="4" t="s">
        <v>86</v>
      </c>
      <c r="E1047" s="3"/>
      <c r="F1047" s="3" t="s">
        <v>68</v>
      </c>
      <c r="G1047">
        <v>3</v>
      </c>
      <c r="H1047" s="4">
        <v>4</v>
      </c>
      <c r="I1047" s="4">
        <v>112</v>
      </c>
      <c r="J1047" s="4" t="s">
        <v>8</v>
      </c>
      <c r="K1047" s="4" t="s">
        <v>14</v>
      </c>
      <c r="L1047" s="11"/>
      <c r="M1047" s="3"/>
      <c r="N1047"/>
      <c r="O1047" s="4"/>
      <c r="P1047" s="1"/>
      <c r="Q1047" s="22"/>
      <c r="R1047"/>
      <c r="S1047" s="11"/>
      <c r="T1047" t="s">
        <v>69</v>
      </c>
      <c r="U1047"/>
      <c r="V1047" s="1"/>
      <c r="W1047" s="1"/>
    </row>
    <row r="1048" spans="2:23" x14ac:dyDescent="0.35">
      <c r="B1048" s="4">
        <v>30030663</v>
      </c>
      <c r="C1048" s="1" t="s">
        <v>1401</v>
      </c>
      <c r="D1048" s="4" t="s">
        <v>86</v>
      </c>
      <c r="E1048" s="3"/>
      <c r="F1048" s="3" t="s">
        <v>68</v>
      </c>
      <c r="G1048">
        <v>2</v>
      </c>
      <c r="H1048" s="4">
        <v>3</v>
      </c>
      <c r="I1048" s="4">
        <v>424</v>
      </c>
      <c r="J1048" s="4" t="s">
        <v>8</v>
      </c>
      <c r="K1048" s="4" t="s">
        <v>14</v>
      </c>
      <c r="L1048" s="11"/>
      <c r="M1048" s="3"/>
      <c r="N1048"/>
      <c r="O1048" s="4"/>
      <c r="P1048" s="1"/>
      <c r="Q1048" s="22"/>
      <c r="R1048"/>
      <c r="S1048" s="11"/>
      <c r="T1048" t="s">
        <v>66</v>
      </c>
      <c r="U1048"/>
      <c r="V1048" s="1"/>
      <c r="W1048" s="1"/>
    </row>
    <row r="1049" spans="2:23" x14ac:dyDescent="0.35">
      <c r="B1049" s="4">
        <v>30030711</v>
      </c>
      <c r="C1049" s="1" t="s">
        <v>909</v>
      </c>
      <c r="D1049" s="4" t="s">
        <v>86</v>
      </c>
      <c r="E1049" s="3" t="s">
        <v>1225</v>
      </c>
      <c r="F1049" s="3" t="s">
        <v>102</v>
      </c>
      <c r="G1049">
        <v>2</v>
      </c>
      <c r="H1049" s="4">
        <v>2</v>
      </c>
      <c r="I1049" s="4">
        <v>1</v>
      </c>
      <c r="J1049" s="4" t="s">
        <v>8</v>
      </c>
      <c r="K1049" s="4" t="s">
        <v>9</v>
      </c>
      <c r="L1049" s="11" t="s">
        <v>6896</v>
      </c>
      <c r="M1049" s="3"/>
      <c r="N1049"/>
      <c r="O1049" s="4"/>
      <c r="P1049" s="1"/>
      <c r="Q1049" s="22"/>
      <c r="R1049"/>
      <c r="S1049" s="11" t="s">
        <v>6860</v>
      </c>
      <c r="T1049" t="s">
        <v>67</v>
      </c>
      <c r="U1049"/>
      <c r="V1049" s="1"/>
      <c r="W1049" s="1"/>
    </row>
    <row r="1050" spans="2:23" x14ac:dyDescent="0.35">
      <c r="B1050" s="4">
        <v>30030714</v>
      </c>
      <c r="C1050" s="1" t="s">
        <v>1086</v>
      </c>
      <c r="D1050" s="4" t="s">
        <v>86</v>
      </c>
      <c r="E1050" s="3" t="s">
        <v>1225</v>
      </c>
      <c r="F1050" s="3" t="s">
        <v>102</v>
      </c>
      <c r="G1050">
        <v>2</v>
      </c>
      <c r="H1050" s="4">
        <v>1</v>
      </c>
      <c r="I1050" s="4">
        <v>3</v>
      </c>
      <c r="J1050" s="4" t="s">
        <v>8</v>
      </c>
      <c r="K1050" s="4" t="s">
        <v>7</v>
      </c>
      <c r="L1050" s="11"/>
      <c r="M1050" s="3"/>
      <c r="N1050"/>
      <c r="O1050" s="4"/>
      <c r="P1050" s="1"/>
      <c r="Q1050" s="22"/>
      <c r="R1050"/>
      <c r="S1050" s="11"/>
      <c r="T1050" t="s">
        <v>67</v>
      </c>
      <c r="U1050"/>
      <c r="V1050" s="1"/>
      <c r="W1050" s="1"/>
    </row>
    <row r="1051" spans="2:23" x14ac:dyDescent="0.35">
      <c r="B1051" s="4">
        <v>30030765</v>
      </c>
      <c r="C1051" s="1" t="s">
        <v>1351</v>
      </c>
      <c r="D1051" s="4" t="s">
        <v>86</v>
      </c>
      <c r="E1051" s="3"/>
      <c r="F1051" s="3" t="s">
        <v>68</v>
      </c>
      <c r="G1051">
        <v>1</v>
      </c>
      <c r="H1051" s="4">
        <v>2</v>
      </c>
      <c r="I1051" s="4">
        <v>1</v>
      </c>
      <c r="J1051" s="4" t="s">
        <v>8</v>
      </c>
      <c r="K1051" s="4" t="s">
        <v>7</v>
      </c>
      <c r="L1051" s="11"/>
      <c r="M1051" s="3"/>
      <c r="N1051"/>
      <c r="O1051" s="4"/>
      <c r="P1051" s="1"/>
      <c r="Q1051" s="22"/>
      <c r="R1051"/>
      <c r="S1051" s="11"/>
      <c r="T1051" t="s">
        <v>67</v>
      </c>
      <c r="U1051"/>
      <c r="V1051" s="1"/>
      <c r="W1051" s="1"/>
    </row>
    <row r="1052" spans="2:23" x14ac:dyDescent="0.35">
      <c r="B1052" s="4">
        <v>30031074</v>
      </c>
      <c r="C1052" s="1" t="s">
        <v>1272</v>
      </c>
      <c r="D1052" s="4" t="s">
        <v>86</v>
      </c>
      <c r="E1052" s="3"/>
      <c r="F1052" s="3" t="s">
        <v>68</v>
      </c>
      <c r="G1052">
        <v>4</v>
      </c>
      <c r="H1052" s="4">
        <v>2</v>
      </c>
      <c r="I1052" s="4">
        <v>7</v>
      </c>
      <c r="J1052" s="4" t="s">
        <v>8</v>
      </c>
      <c r="K1052" s="4" t="s">
        <v>14</v>
      </c>
      <c r="L1052" s="11"/>
      <c r="M1052" s="3"/>
      <c r="N1052"/>
      <c r="O1052" s="4"/>
      <c r="P1052" s="1"/>
      <c r="Q1052" s="22"/>
      <c r="R1052"/>
      <c r="S1052" s="11"/>
      <c r="T1052" t="s">
        <v>67</v>
      </c>
      <c r="U1052"/>
      <c r="V1052" s="1"/>
      <c r="W1052" s="1"/>
    </row>
    <row r="1053" spans="2:23" x14ac:dyDescent="0.35">
      <c r="B1053" s="4">
        <v>30031092</v>
      </c>
      <c r="C1053" s="1" t="s">
        <v>1053</v>
      </c>
      <c r="D1053" s="4" t="s">
        <v>86</v>
      </c>
      <c r="E1053" s="3"/>
      <c r="F1053" s="3" t="s">
        <v>102</v>
      </c>
      <c r="G1053">
        <v>5</v>
      </c>
      <c r="H1053" s="4">
        <v>4</v>
      </c>
      <c r="I1053" s="4">
        <v>14</v>
      </c>
      <c r="J1053" s="4" t="s">
        <v>8</v>
      </c>
      <c r="K1053" s="4" t="s">
        <v>14</v>
      </c>
      <c r="L1053" s="11"/>
      <c r="M1053" s="3"/>
      <c r="N1053"/>
      <c r="O1053" s="4"/>
      <c r="P1053" s="1"/>
      <c r="Q1053" s="22"/>
      <c r="R1053"/>
      <c r="S1053" s="11"/>
      <c r="T1053" t="s">
        <v>66</v>
      </c>
      <c r="U1053"/>
      <c r="V1053" s="1"/>
      <c r="W1053" s="1"/>
    </row>
    <row r="1054" spans="2:23" x14ac:dyDescent="0.35">
      <c r="B1054" s="4">
        <v>30031213</v>
      </c>
      <c r="C1054" s="1" t="s">
        <v>1165</v>
      </c>
      <c r="D1054" s="4" t="s">
        <v>86</v>
      </c>
      <c r="E1054" s="3"/>
      <c r="F1054" s="3" t="s">
        <v>102</v>
      </c>
      <c r="G1054">
        <v>3</v>
      </c>
      <c r="H1054" s="4">
        <v>2</v>
      </c>
      <c r="I1054" s="4">
        <v>3</v>
      </c>
      <c r="J1054" s="4" t="s">
        <v>8</v>
      </c>
      <c r="K1054" s="4" t="s">
        <v>7</v>
      </c>
      <c r="L1054" s="11"/>
      <c r="M1054" s="3"/>
      <c r="N1054"/>
      <c r="O1054" s="4"/>
      <c r="P1054" s="1"/>
      <c r="Q1054" s="22"/>
      <c r="R1054"/>
      <c r="S1054" s="11"/>
      <c r="T1054" t="s">
        <v>66</v>
      </c>
      <c r="U1054"/>
      <c r="V1054" s="1"/>
      <c r="W1054" s="1"/>
    </row>
    <row r="1055" spans="2:23" x14ac:dyDescent="0.35">
      <c r="B1055" s="4">
        <v>30031228</v>
      </c>
      <c r="C1055" s="1" t="s">
        <v>620</v>
      </c>
      <c r="D1055" s="4" t="s">
        <v>86</v>
      </c>
      <c r="E1055" s="3"/>
      <c r="F1055" s="3" t="s">
        <v>68</v>
      </c>
      <c r="G1055">
        <v>4</v>
      </c>
      <c r="H1055" s="4">
        <v>4</v>
      </c>
      <c r="I1055" s="4">
        <v>5</v>
      </c>
      <c r="J1055" s="4" t="s">
        <v>8</v>
      </c>
      <c r="K1055" s="4" t="s">
        <v>7</v>
      </c>
      <c r="L1055" s="11"/>
      <c r="M1055" s="3"/>
      <c r="N1055"/>
      <c r="O1055" s="4"/>
      <c r="P1055" s="1"/>
      <c r="Q1055" s="22"/>
      <c r="R1055"/>
      <c r="S1055" s="11"/>
      <c r="T1055" t="s">
        <v>66</v>
      </c>
      <c r="U1055"/>
      <c r="V1055" s="1"/>
      <c r="W1055" s="1"/>
    </row>
    <row r="1056" spans="2:23" x14ac:dyDescent="0.35">
      <c r="B1056" s="4">
        <v>30031233</v>
      </c>
      <c r="C1056" s="1" t="s">
        <v>1352</v>
      </c>
      <c r="D1056" s="4" t="s">
        <v>86</v>
      </c>
      <c r="E1056" s="3"/>
      <c r="F1056" s="3" t="s">
        <v>68</v>
      </c>
      <c r="G1056">
        <v>2</v>
      </c>
      <c r="H1056" s="4">
        <v>4</v>
      </c>
      <c r="I1056" s="4">
        <v>7</v>
      </c>
      <c r="J1056" s="4" t="s">
        <v>8</v>
      </c>
      <c r="K1056" s="4" t="s">
        <v>14</v>
      </c>
      <c r="L1056" s="11"/>
      <c r="M1056" s="3"/>
      <c r="N1056"/>
      <c r="O1056" s="4"/>
      <c r="P1056" s="1"/>
      <c r="Q1056" s="22"/>
      <c r="R1056"/>
      <c r="S1056" s="11"/>
      <c r="T1056" t="s">
        <v>70</v>
      </c>
      <c r="U1056"/>
      <c r="V1056" s="1"/>
      <c r="W1056" s="1"/>
    </row>
    <row r="1057" spans="2:23" x14ac:dyDescent="0.35">
      <c r="B1057" s="4">
        <v>30031278</v>
      </c>
      <c r="C1057" s="1" t="s">
        <v>621</v>
      </c>
      <c r="D1057" s="4" t="s">
        <v>86</v>
      </c>
      <c r="E1057" s="3"/>
      <c r="F1057" s="3" t="s">
        <v>68</v>
      </c>
      <c r="G1057">
        <v>2</v>
      </c>
      <c r="H1057" s="4">
        <v>3</v>
      </c>
      <c r="I1057" s="4">
        <v>15</v>
      </c>
      <c r="J1057" s="4" t="s">
        <v>8</v>
      </c>
      <c r="K1057" s="4" t="s">
        <v>14</v>
      </c>
      <c r="L1057" s="11"/>
      <c r="M1057" s="3"/>
      <c r="N1057"/>
      <c r="O1057" s="4"/>
      <c r="P1057" s="1"/>
      <c r="Q1057" s="22"/>
      <c r="R1057"/>
      <c r="S1057" s="11"/>
      <c r="T1057" t="s">
        <v>70</v>
      </c>
      <c r="U1057"/>
      <c r="V1057" s="1"/>
      <c r="W1057" s="1"/>
    </row>
    <row r="1058" spans="2:23" x14ac:dyDescent="0.35">
      <c r="B1058" s="4">
        <v>30031432</v>
      </c>
      <c r="C1058" s="1" t="s">
        <v>858</v>
      </c>
      <c r="D1058" s="4" t="s">
        <v>86</v>
      </c>
      <c r="E1058" s="3"/>
      <c r="F1058" s="3" t="s">
        <v>102</v>
      </c>
      <c r="G1058">
        <v>1</v>
      </c>
      <c r="H1058" s="4">
        <v>2</v>
      </c>
      <c r="I1058" s="4">
        <v>3</v>
      </c>
      <c r="J1058" s="4" t="s">
        <v>8</v>
      </c>
      <c r="K1058" s="4" t="s">
        <v>7</v>
      </c>
      <c r="L1058" s="11"/>
      <c r="M1058" s="3"/>
      <c r="N1058"/>
      <c r="O1058" s="4"/>
      <c r="P1058" s="1"/>
      <c r="Q1058" s="22"/>
      <c r="R1058"/>
      <c r="S1058" s="11"/>
      <c r="T1058" t="s">
        <v>66</v>
      </c>
      <c r="U1058"/>
      <c r="V1058" s="1"/>
      <c r="W1058" s="1"/>
    </row>
    <row r="1059" spans="2:23" x14ac:dyDescent="0.35">
      <c r="B1059" s="4">
        <v>30031445</v>
      </c>
      <c r="C1059" s="1" t="s">
        <v>859</v>
      </c>
      <c r="D1059" s="4" t="s">
        <v>86</v>
      </c>
      <c r="E1059" s="3"/>
      <c r="F1059" s="3" t="s">
        <v>102</v>
      </c>
      <c r="G1059">
        <v>1</v>
      </c>
      <c r="H1059" s="4">
        <v>2</v>
      </c>
      <c r="I1059" s="4">
        <v>4</v>
      </c>
      <c r="J1059" s="4" t="s">
        <v>8</v>
      </c>
      <c r="K1059" s="4" t="s">
        <v>14</v>
      </c>
      <c r="L1059" s="11"/>
      <c r="M1059" s="3"/>
      <c r="N1059"/>
      <c r="O1059" s="4"/>
      <c r="P1059" s="1"/>
      <c r="Q1059" s="22"/>
      <c r="R1059"/>
      <c r="S1059" s="11"/>
      <c r="T1059" t="s">
        <v>66</v>
      </c>
      <c r="U1059"/>
      <c r="V1059" s="1"/>
      <c r="W1059" s="1"/>
    </row>
    <row r="1060" spans="2:23" x14ac:dyDescent="0.35">
      <c r="B1060" s="4">
        <v>30031744</v>
      </c>
      <c r="C1060" s="1" t="s">
        <v>1166</v>
      </c>
      <c r="D1060" s="4" t="s">
        <v>86</v>
      </c>
      <c r="E1060" s="3" t="s">
        <v>1225</v>
      </c>
      <c r="F1060" s="3" t="s">
        <v>102</v>
      </c>
      <c r="G1060">
        <v>1</v>
      </c>
      <c r="H1060" s="4">
        <v>2</v>
      </c>
      <c r="I1060" s="4">
        <v>0</v>
      </c>
      <c r="J1060" s="4" t="s">
        <v>8</v>
      </c>
      <c r="K1060" s="4" t="s">
        <v>13</v>
      </c>
      <c r="L1060" s="11" t="s">
        <v>6896</v>
      </c>
      <c r="M1060" s="3"/>
      <c r="N1060"/>
      <c r="O1060" s="4"/>
      <c r="P1060" s="1"/>
      <c r="Q1060" s="22"/>
      <c r="R1060"/>
      <c r="S1060" s="11" t="s">
        <v>6860</v>
      </c>
      <c r="T1060" t="s">
        <v>67</v>
      </c>
      <c r="U1060"/>
      <c r="V1060" s="1"/>
      <c r="W1060" s="1"/>
    </row>
    <row r="1061" spans="2:23" x14ac:dyDescent="0.35">
      <c r="B1061" s="4">
        <v>30032033</v>
      </c>
      <c r="C1061" s="1" t="s">
        <v>1313</v>
      </c>
      <c r="D1061" s="4" t="s">
        <v>86</v>
      </c>
      <c r="E1061" s="3"/>
      <c r="F1061" s="3" t="s">
        <v>68</v>
      </c>
      <c r="G1061">
        <v>1</v>
      </c>
      <c r="H1061" s="4">
        <v>2</v>
      </c>
      <c r="I1061" s="4">
        <v>4</v>
      </c>
      <c r="J1061" s="4" t="s">
        <v>8</v>
      </c>
      <c r="K1061" s="4" t="s">
        <v>14</v>
      </c>
      <c r="L1061" s="11"/>
      <c r="M1061" s="3"/>
      <c r="N1061"/>
      <c r="O1061" s="4"/>
      <c r="P1061" s="1"/>
      <c r="Q1061" s="22"/>
      <c r="R1061"/>
      <c r="S1061" s="11"/>
      <c r="T1061" t="s">
        <v>70</v>
      </c>
      <c r="U1061"/>
      <c r="V1061" s="1"/>
      <c r="W1061" s="1"/>
    </row>
    <row r="1062" spans="2:23" x14ac:dyDescent="0.35">
      <c r="B1062" s="4">
        <v>30032318</v>
      </c>
      <c r="C1062" s="1" t="s">
        <v>1505</v>
      </c>
      <c r="D1062" s="4" t="s">
        <v>86</v>
      </c>
      <c r="E1062" s="3"/>
      <c r="F1062" s="3" t="s">
        <v>68</v>
      </c>
      <c r="G1062">
        <v>2</v>
      </c>
      <c r="H1062" s="4">
        <v>1</v>
      </c>
      <c r="I1062" s="4">
        <v>2</v>
      </c>
      <c r="J1062" s="4" t="s">
        <v>8</v>
      </c>
      <c r="K1062" s="4" t="s">
        <v>7</v>
      </c>
      <c r="L1062" s="11"/>
      <c r="M1062" s="3"/>
      <c r="N1062"/>
      <c r="O1062" s="4"/>
      <c r="P1062" s="1"/>
      <c r="Q1062" s="22"/>
      <c r="R1062"/>
      <c r="S1062" s="11"/>
      <c r="T1062" t="s">
        <v>70</v>
      </c>
      <c r="U1062"/>
      <c r="V1062" s="1"/>
      <c r="W1062" s="1"/>
    </row>
    <row r="1063" spans="2:23" x14ac:dyDescent="0.35">
      <c r="B1063" s="4">
        <v>30032474</v>
      </c>
      <c r="C1063" s="1" t="s">
        <v>623</v>
      </c>
      <c r="D1063" s="4" t="s">
        <v>86</v>
      </c>
      <c r="E1063" s="3"/>
      <c r="F1063" s="3" t="s">
        <v>68</v>
      </c>
      <c r="G1063">
        <v>2</v>
      </c>
      <c r="H1063" s="4">
        <v>2</v>
      </c>
      <c r="I1063" s="4">
        <v>2</v>
      </c>
      <c r="J1063" s="4" t="s">
        <v>8</v>
      </c>
      <c r="K1063" s="4" t="s">
        <v>7</v>
      </c>
      <c r="L1063" s="11"/>
      <c r="M1063" s="3"/>
      <c r="N1063"/>
      <c r="O1063" s="4"/>
      <c r="P1063" s="1"/>
      <c r="Q1063" s="22"/>
      <c r="R1063"/>
      <c r="S1063" s="11"/>
      <c r="T1063" t="s">
        <v>66</v>
      </c>
      <c r="U1063"/>
      <c r="V1063" s="1"/>
      <c r="W1063" s="1"/>
    </row>
    <row r="1064" spans="2:23" x14ac:dyDescent="0.35">
      <c r="B1064" s="4">
        <v>30032475</v>
      </c>
      <c r="C1064" s="1" t="s">
        <v>624</v>
      </c>
      <c r="D1064" s="4" t="s">
        <v>86</v>
      </c>
      <c r="E1064" s="3"/>
      <c r="F1064" s="3" t="s">
        <v>68</v>
      </c>
      <c r="G1064">
        <v>1</v>
      </c>
      <c r="H1064" s="4">
        <v>1</v>
      </c>
      <c r="I1064" s="4">
        <v>1</v>
      </c>
      <c r="J1064" s="4" t="s">
        <v>8</v>
      </c>
      <c r="K1064" s="4" t="s">
        <v>7</v>
      </c>
      <c r="L1064" s="11"/>
      <c r="M1064" s="3"/>
      <c r="N1064"/>
      <c r="O1064" s="4"/>
      <c r="P1064" s="1"/>
      <c r="Q1064" s="22"/>
      <c r="R1064"/>
      <c r="S1064" s="11"/>
      <c r="T1064" t="s">
        <v>66</v>
      </c>
      <c r="U1064"/>
      <c r="V1064" s="1"/>
      <c r="W1064" s="1"/>
    </row>
    <row r="1065" spans="2:23" x14ac:dyDescent="0.35">
      <c r="B1065" s="4">
        <v>30032476</v>
      </c>
      <c r="C1065" s="1" t="s">
        <v>625</v>
      </c>
      <c r="D1065" s="4" t="s">
        <v>86</v>
      </c>
      <c r="E1065" s="3"/>
      <c r="F1065" s="3" t="s">
        <v>68</v>
      </c>
      <c r="G1065">
        <v>1</v>
      </c>
      <c r="H1065" s="4">
        <v>1</v>
      </c>
      <c r="I1065" s="4">
        <v>1</v>
      </c>
      <c r="J1065" s="4" t="s">
        <v>8</v>
      </c>
      <c r="K1065" s="4" t="s">
        <v>7</v>
      </c>
      <c r="L1065" s="11"/>
      <c r="M1065" s="3"/>
      <c r="N1065"/>
      <c r="O1065" s="4"/>
      <c r="P1065" s="1"/>
      <c r="Q1065" s="22"/>
      <c r="R1065"/>
      <c r="S1065" s="11"/>
      <c r="T1065" t="s">
        <v>66</v>
      </c>
      <c r="U1065"/>
      <c r="V1065" s="1"/>
      <c r="W1065" s="1"/>
    </row>
    <row r="1066" spans="2:23" x14ac:dyDescent="0.35">
      <c r="B1066" s="4">
        <v>30032493</v>
      </c>
      <c r="C1066" s="1" t="s">
        <v>910</v>
      </c>
      <c r="D1066" s="4" t="s">
        <v>86</v>
      </c>
      <c r="E1066" s="3" t="s">
        <v>1225</v>
      </c>
      <c r="F1066" s="3" t="s">
        <v>102</v>
      </c>
      <c r="G1066">
        <v>2</v>
      </c>
      <c r="H1066" s="4">
        <v>2</v>
      </c>
      <c r="I1066" s="4">
        <v>4</v>
      </c>
      <c r="J1066" s="4" t="s">
        <v>8</v>
      </c>
      <c r="K1066" s="4" t="s">
        <v>7</v>
      </c>
      <c r="L1066" s="64"/>
      <c r="M1066" s="3"/>
      <c r="N1066"/>
      <c r="O1066" s="4"/>
      <c r="P1066" s="1"/>
      <c r="Q1066" s="22"/>
      <c r="R1066"/>
      <c r="S1066" s="11"/>
      <c r="T1066" t="s">
        <v>71</v>
      </c>
      <c r="U1066"/>
      <c r="V1066" s="1"/>
      <c r="W1066" s="1"/>
    </row>
    <row r="1067" spans="2:23" x14ac:dyDescent="0.35">
      <c r="B1067" s="4">
        <v>30032494</v>
      </c>
      <c r="C1067" s="1" t="s">
        <v>911</v>
      </c>
      <c r="D1067" s="4" t="s">
        <v>86</v>
      </c>
      <c r="E1067" s="3" t="s">
        <v>1225</v>
      </c>
      <c r="F1067" s="3" t="s">
        <v>102</v>
      </c>
      <c r="G1067">
        <v>2</v>
      </c>
      <c r="H1067" s="4">
        <v>1</v>
      </c>
      <c r="I1067" s="4">
        <v>4</v>
      </c>
      <c r="J1067" s="4" t="s">
        <v>8</v>
      </c>
      <c r="K1067" s="4" t="s">
        <v>14</v>
      </c>
      <c r="L1067" s="11"/>
      <c r="M1067" s="3"/>
      <c r="N1067"/>
      <c r="O1067" s="4"/>
      <c r="P1067" s="1"/>
      <c r="Q1067" s="22"/>
      <c r="R1067"/>
      <c r="S1067" s="11"/>
      <c r="T1067" t="s">
        <v>71</v>
      </c>
      <c r="U1067"/>
      <c r="V1067" s="1"/>
      <c r="W1067" s="1"/>
    </row>
    <row r="1068" spans="2:23" x14ac:dyDescent="0.35">
      <c r="B1068" s="4">
        <v>30032495</v>
      </c>
      <c r="C1068" s="1" t="s">
        <v>912</v>
      </c>
      <c r="D1068" s="4" t="s">
        <v>86</v>
      </c>
      <c r="E1068" s="3"/>
      <c r="F1068" s="3" t="s">
        <v>102</v>
      </c>
      <c r="G1068">
        <v>2</v>
      </c>
      <c r="H1068" s="4">
        <v>1</v>
      </c>
      <c r="I1068" s="4">
        <v>2</v>
      </c>
      <c r="J1068" s="4" t="s">
        <v>8</v>
      </c>
      <c r="K1068" s="4" t="s">
        <v>7</v>
      </c>
      <c r="L1068" s="11"/>
      <c r="M1068" s="3"/>
      <c r="N1068"/>
      <c r="O1068" s="4"/>
      <c r="P1068" s="1"/>
      <c r="Q1068" s="22"/>
      <c r="R1068"/>
      <c r="S1068" s="11"/>
      <c r="T1068" t="s">
        <v>71</v>
      </c>
      <c r="U1068"/>
      <c r="V1068" s="1"/>
      <c r="W1068" s="1"/>
    </row>
    <row r="1069" spans="2:23" x14ac:dyDescent="0.35">
      <c r="B1069" s="4">
        <v>30032817</v>
      </c>
      <c r="C1069" s="1" t="s">
        <v>626</v>
      </c>
      <c r="D1069" s="4" t="s">
        <v>86</v>
      </c>
      <c r="E1069" s="3"/>
      <c r="F1069" s="3" t="s">
        <v>68</v>
      </c>
      <c r="G1069">
        <v>1</v>
      </c>
      <c r="H1069" s="4">
        <v>1</v>
      </c>
      <c r="I1069" s="4">
        <v>7</v>
      </c>
      <c r="J1069" s="4" t="s">
        <v>8</v>
      </c>
      <c r="K1069" s="4" t="s">
        <v>14</v>
      </c>
      <c r="L1069" s="11"/>
      <c r="M1069" s="3"/>
      <c r="N1069"/>
      <c r="O1069" s="4"/>
      <c r="P1069" s="1"/>
      <c r="Q1069" s="22"/>
      <c r="R1069"/>
      <c r="S1069" s="11"/>
      <c r="T1069" t="s">
        <v>69</v>
      </c>
      <c r="U1069"/>
      <c r="V1069" s="1"/>
      <c r="W1069" s="1"/>
    </row>
    <row r="1070" spans="2:23" x14ac:dyDescent="0.35">
      <c r="B1070" s="4">
        <v>30033307</v>
      </c>
      <c r="C1070" s="1" t="s">
        <v>1453</v>
      </c>
      <c r="D1070" s="4" t="s">
        <v>86</v>
      </c>
      <c r="E1070" s="3"/>
      <c r="F1070" s="3" t="s">
        <v>68</v>
      </c>
      <c r="G1070">
        <v>2</v>
      </c>
      <c r="H1070" s="4">
        <v>4</v>
      </c>
      <c r="I1070" s="4">
        <v>8</v>
      </c>
      <c r="J1070" s="4" t="s">
        <v>8</v>
      </c>
      <c r="K1070" s="4" t="s">
        <v>14</v>
      </c>
      <c r="L1070" s="11"/>
      <c r="M1070" s="3"/>
      <c r="N1070"/>
      <c r="O1070" s="4"/>
      <c r="P1070" s="1"/>
      <c r="Q1070" s="22"/>
      <c r="R1070"/>
      <c r="S1070" s="11"/>
      <c r="T1070" t="s">
        <v>66</v>
      </c>
      <c r="U1070"/>
      <c r="V1070" s="1"/>
      <c r="W1070" s="1"/>
    </row>
    <row r="1071" spans="2:23" x14ac:dyDescent="0.35">
      <c r="B1071" s="4">
        <v>30033491</v>
      </c>
      <c r="C1071" s="1" t="s">
        <v>1290</v>
      </c>
      <c r="D1071" s="4" t="s">
        <v>86</v>
      </c>
      <c r="E1071" s="3"/>
      <c r="F1071" s="3" t="s">
        <v>68</v>
      </c>
      <c r="G1071">
        <v>2</v>
      </c>
      <c r="H1071" s="4">
        <v>2</v>
      </c>
      <c r="I1071" s="4">
        <v>3</v>
      </c>
      <c r="J1071" s="4" t="s">
        <v>8</v>
      </c>
      <c r="K1071" s="4" t="s">
        <v>7</v>
      </c>
      <c r="L1071" s="11"/>
      <c r="M1071" s="3"/>
      <c r="N1071"/>
      <c r="O1071" s="4"/>
      <c r="P1071" s="1"/>
      <c r="Q1071" s="22"/>
      <c r="R1071"/>
      <c r="S1071" s="11"/>
      <c r="T1071" t="s">
        <v>70</v>
      </c>
      <c r="U1071"/>
      <c r="V1071" s="1"/>
      <c r="W1071" s="1"/>
    </row>
    <row r="1072" spans="2:23" x14ac:dyDescent="0.35">
      <c r="B1072" s="4">
        <v>30033798</v>
      </c>
      <c r="C1072" s="1" t="s">
        <v>1314</v>
      </c>
      <c r="D1072" s="4" t="s">
        <v>86</v>
      </c>
      <c r="E1072" s="3"/>
      <c r="F1072" s="3" t="s">
        <v>68</v>
      </c>
      <c r="G1072">
        <v>2</v>
      </c>
      <c r="H1072" s="4">
        <v>2</v>
      </c>
      <c r="I1072" s="4">
        <v>2</v>
      </c>
      <c r="J1072" s="4" t="s">
        <v>8</v>
      </c>
      <c r="K1072" s="4" t="s">
        <v>7</v>
      </c>
      <c r="L1072" s="11"/>
      <c r="M1072" s="3"/>
      <c r="N1072"/>
      <c r="O1072" s="4"/>
      <c r="P1072" s="1"/>
      <c r="Q1072" s="22"/>
      <c r="R1072"/>
      <c r="S1072" s="11"/>
      <c r="T1072" t="s">
        <v>70</v>
      </c>
      <c r="U1072"/>
      <c r="V1072" s="1"/>
      <c r="W1072" s="1"/>
    </row>
    <row r="1073" spans="2:23" x14ac:dyDescent="0.35">
      <c r="B1073" s="4">
        <v>30033806</v>
      </c>
      <c r="C1073" s="1" t="s">
        <v>1315</v>
      </c>
      <c r="D1073" s="4" t="s">
        <v>86</v>
      </c>
      <c r="E1073" s="3"/>
      <c r="F1073" s="3" t="s">
        <v>68</v>
      </c>
      <c r="G1073">
        <v>2</v>
      </c>
      <c r="H1073" s="4">
        <v>2</v>
      </c>
      <c r="I1073" s="4">
        <v>2</v>
      </c>
      <c r="J1073" s="4" t="s">
        <v>8</v>
      </c>
      <c r="K1073" s="4" t="s">
        <v>7</v>
      </c>
      <c r="L1073" s="11"/>
      <c r="M1073" s="3"/>
      <c r="N1073"/>
      <c r="O1073" s="4"/>
      <c r="P1073" s="1"/>
      <c r="Q1073" s="22"/>
      <c r="R1073"/>
      <c r="S1073" s="11"/>
      <c r="T1073" t="s">
        <v>70</v>
      </c>
      <c r="U1073"/>
      <c r="V1073" s="1"/>
      <c r="W1073" s="1"/>
    </row>
    <row r="1074" spans="2:23" x14ac:dyDescent="0.35">
      <c r="B1074" s="4">
        <v>30033822</v>
      </c>
      <c r="C1074" s="1" t="s">
        <v>627</v>
      </c>
      <c r="D1074" s="4" t="s">
        <v>86</v>
      </c>
      <c r="E1074" s="3"/>
      <c r="F1074" s="3" t="s">
        <v>68</v>
      </c>
      <c r="G1074">
        <v>9</v>
      </c>
      <c r="H1074" s="4">
        <v>15</v>
      </c>
      <c r="I1074" s="4">
        <v>79</v>
      </c>
      <c r="J1074" s="4" t="s">
        <v>8</v>
      </c>
      <c r="K1074" s="4" t="s">
        <v>14</v>
      </c>
      <c r="L1074" s="11"/>
      <c r="M1074" s="3"/>
      <c r="N1074"/>
      <c r="O1074" s="4"/>
      <c r="P1074" s="1"/>
      <c r="Q1074" s="22"/>
      <c r="R1074"/>
      <c r="S1074" s="11"/>
      <c r="T1074" t="s">
        <v>70</v>
      </c>
      <c r="U1074"/>
      <c r="V1074" s="1"/>
      <c r="W1074" s="1"/>
    </row>
    <row r="1075" spans="2:23" x14ac:dyDescent="0.35">
      <c r="B1075" s="4">
        <v>30033823</v>
      </c>
      <c r="C1075" s="1" t="s">
        <v>628</v>
      </c>
      <c r="D1075" s="4" t="s">
        <v>86</v>
      </c>
      <c r="E1075" s="3"/>
      <c r="F1075" s="3" t="s">
        <v>68</v>
      </c>
      <c r="G1075">
        <v>2</v>
      </c>
      <c r="H1075" s="4">
        <v>2</v>
      </c>
      <c r="I1075" s="4">
        <v>3</v>
      </c>
      <c r="J1075" s="4" t="s">
        <v>8</v>
      </c>
      <c r="K1075" s="4" t="s">
        <v>7</v>
      </c>
      <c r="L1075" s="11"/>
      <c r="M1075" s="3"/>
      <c r="N1075"/>
      <c r="O1075" s="4"/>
      <c r="P1075" s="1"/>
      <c r="Q1075" s="22"/>
      <c r="R1075"/>
      <c r="S1075" s="11"/>
      <c r="T1075" t="s">
        <v>70</v>
      </c>
      <c r="U1075"/>
      <c r="V1075" s="1"/>
      <c r="W1075" s="1"/>
    </row>
    <row r="1076" spans="2:23" x14ac:dyDescent="0.35">
      <c r="B1076" s="4">
        <v>30033824</v>
      </c>
      <c r="C1076" s="1" t="s">
        <v>629</v>
      </c>
      <c r="D1076" s="4" t="s">
        <v>86</v>
      </c>
      <c r="E1076" s="3"/>
      <c r="F1076" s="3" t="s">
        <v>68</v>
      </c>
      <c r="G1076">
        <v>2</v>
      </c>
      <c r="H1076" s="4">
        <v>3</v>
      </c>
      <c r="I1076" s="4">
        <v>5</v>
      </c>
      <c r="J1076" s="4" t="s">
        <v>8</v>
      </c>
      <c r="K1076" s="4" t="s">
        <v>7</v>
      </c>
      <c r="L1076" s="11"/>
      <c r="M1076" s="3"/>
      <c r="N1076"/>
      <c r="O1076" s="4"/>
      <c r="P1076" s="1"/>
      <c r="Q1076" s="22"/>
      <c r="R1076"/>
      <c r="S1076" s="11"/>
      <c r="T1076" t="s">
        <v>70</v>
      </c>
      <c r="U1076"/>
      <c r="V1076" s="1"/>
      <c r="W1076" s="1"/>
    </row>
    <row r="1077" spans="2:23" x14ac:dyDescent="0.35">
      <c r="B1077" s="4">
        <v>30033825</v>
      </c>
      <c r="C1077" s="1" t="s">
        <v>630</v>
      </c>
      <c r="D1077" s="4" t="s">
        <v>86</v>
      </c>
      <c r="E1077" s="3"/>
      <c r="F1077" s="3" t="s">
        <v>68</v>
      </c>
      <c r="G1077">
        <v>4</v>
      </c>
      <c r="H1077" s="4">
        <v>6</v>
      </c>
      <c r="I1077" s="4">
        <v>18</v>
      </c>
      <c r="J1077" s="4" t="s">
        <v>8</v>
      </c>
      <c r="K1077" s="4" t="s">
        <v>14</v>
      </c>
      <c r="L1077" s="11"/>
      <c r="M1077" s="3"/>
      <c r="N1077"/>
      <c r="O1077" s="4"/>
      <c r="P1077" s="1"/>
      <c r="Q1077" s="22"/>
      <c r="R1077"/>
      <c r="S1077" s="11"/>
      <c r="T1077" t="s">
        <v>70</v>
      </c>
      <c r="U1077"/>
      <c r="V1077" s="1"/>
      <c r="W1077" s="1"/>
    </row>
    <row r="1078" spans="2:23" x14ac:dyDescent="0.35">
      <c r="B1078" s="4">
        <v>30033826</v>
      </c>
      <c r="C1078" s="1" t="s">
        <v>631</v>
      </c>
      <c r="D1078" s="4" t="s">
        <v>86</v>
      </c>
      <c r="E1078" s="3"/>
      <c r="F1078" s="3" t="s">
        <v>68</v>
      </c>
      <c r="G1078">
        <v>4</v>
      </c>
      <c r="H1078" s="4">
        <v>6</v>
      </c>
      <c r="I1078" s="4">
        <v>7</v>
      </c>
      <c r="J1078" s="4" t="s">
        <v>8</v>
      </c>
      <c r="K1078" s="4" t="s">
        <v>7</v>
      </c>
      <c r="L1078" s="11"/>
      <c r="M1078" s="3"/>
      <c r="N1078"/>
      <c r="O1078" s="4"/>
      <c r="P1078" s="1"/>
      <c r="Q1078" s="22"/>
      <c r="R1078"/>
      <c r="S1078" s="11"/>
      <c r="T1078" t="s">
        <v>66</v>
      </c>
      <c r="U1078"/>
      <c r="V1078" s="1"/>
      <c r="W1078" s="1"/>
    </row>
    <row r="1079" spans="2:23" x14ac:dyDescent="0.35">
      <c r="B1079" s="4">
        <v>30033827</v>
      </c>
      <c r="C1079" s="1" t="s">
        <v>632</v>
      </c>
      <c r="D1079" s="4" t="s">
        <v>86</v>
      </c>
      <c r="E1079" s="3"/>
      <c r="F1079" s="3" t="s">
        <v>68</v>
      </c>
      <c r="G1079">
        <v>5</v>
      </c>
      <c r="H1079" s="4">
        <v>7</v>
      </c>
      <c r="I1079" s="4">
        <v>9</v>
      </c>
      <c r="J1079" s="4" t="s">
        <v>8</v>
      </c>
      <c r="K1079" s="4" t="s">
        <v>7</v>
      </c>
      <c r="L1079" s="11"/>
      <c r="M1079" s="3"/>
      <c r="N1079"/>
      <c r="O1079" s="4"/>
      <c r="P1079" s="1"/>
      <c r="Q1079" s="22"/>
      <c r="R1079"/>
      <c r="S1079" s="11"/>
      <c r="T1079" t="s">
        <v>70</v>
      </c>
      <c r="U1079"/>
      <c r="V1079" s="1"/>
      <c r="W1079" s="1"/>
    </row>
    <row r="1080" spans="2:23" x14ac:dyDescent="0.35">
      <c r="B1080" s="4">
        <v>30033829</v>
      </c>
      <c r="C1080" s="1" t="s">
        <v>633</v>
      </c>
      <c r="D1080" s="4" t="s">
        <v>86</v>
      </c>
      <c r="E1080" s="3"/>
      <c r="F1080" s="3" t="s">
        <v>68</v>
      </c>
      <c r="G1080">
        <v>4</v>
      </c>
      <c r="H1080" s="4">
        <v>6</v>
      </c>
      <c r="I1080" s="4">
        <v>8</v>
      </c>
      <c r="J1080" s="4" t="s">
        <v>8</v>
      </c>
      <c r="K1080" s="4" t="s">
        <v>7</v>
      </c>
      <c r="L1080" s="11"/>
      <c r="M1080" s="3"/>
      <c r="N1080"/>
      <c r="O1080" s="4"/>
      <c r="P1080" s="1"/>
      <c r="Q1080" s="22"/>
      <c r="R1080"/>
      <c r="S1080" s="11"/>
      <c r="T1080" t="s">
        <v>70</v>
      </c>
      <c r="U1080"/>
      <c r="V1080" s="1"/>
      <c r="W1080" s="1"/>
    </row>
    <row r="1081" spans="2:23" x14ac:dyDescent="0.35">
      <c r="B1081" s="4">
        <v>30033830</v>
      </c>
      <c r="C1081" s="1" t="s">
        <v>634</v>
      </c>
      <c r="D1081" s="4" t="s">
        <v>86</v>
      </c>
      <c r="E1081" s="3"/>
      <c r="F1081" s="3" t="s">
        <v>68</v>
      </c>
      <c r="G1081">
        <v>1</v>
      </c>
      <c r="H1081" s="4">
        <v>1</v>
      </c>
      <c r="I1081" s="4">
        <v>2</v>
      </c>
      <c r="J1081" s="4" t="s">
        <v>8</v>
      </c>
      <c r="K1081" s="4" t="s">
        <v>7</v>
      </c>
      <c r="L1081" s="11"/>
      <c r="M1081" s="3"/>
      <c r="N1081"/>
      <c r="O1081" s="4"/>
      <c r="P1081" s="1"/>
      <c r="Q1081" s="22"/>
      <c r="R1081"/>
      <c r="S1081" s="11"/>
      <c r="T1081" t="s">
        <v>70</v>
      </c>
      <c r="U1081"/>
      <c r="V1081" s="1"/>
      <c r="W1081" s="1"/>
    </row>
    <row r="1082" spans="2:23" x14ac:dyDescent="0.35">
      <c r="B1082" s="4">
        <v>30033831</v>
      </c>
      <c r="C1082" s="1" t="s">
        <v>635</v>
      </c>
      <c r="D1082" s="4" t="s">
        <v>86</v>
      </c>
      <c r="E1082" s="3"/>
      <c r="F1082" s="3" t="s">
        <v>68</v>
      </c>
      <c r="G1082">
        <v>4</v>
      </c>
      <c r="H1082" s="4">
        <v>8</v>
      </c>
      <c r="I1082" s="4">
        <v>16</v>
      </c>
      <c r="J1082" s="4" t="s">
        <v>8</v>
      </c>
      <c r="K1082" s="4" t="s">
        <v>14</v>
      </c>
      <c r="L1082" s="11"/>
      <c r="M1082" s="3"/>
      <c r="N1082"/>
      <c r="O1082" s="4"/>
      <c r="P1082" s="1"/>
      <c r="Q1082" s="22"/>
      <c r="R1082"/>
      <c r="S1082" s="11"/>
      <c r="T1082" t="s">
        <v>70</v>
      </c>
      <c r="U1082"/>
      <c r="V1082" s="1"/>
      <c r="W1082" s="1"/>
    </row>
    <row r="1083" spans="2:23" x14ac:dyDescent="0.35">
      <c r="B1083" s="4">
        <v>30033930</v>
      </c>
      <c r="C1083" s="1" t="s">
        <v>913</v>
      </c>
      <c r="D1083" s="4" t="s">
        <v>86</v>
      </c>
      <c r="E1083" s="3" t="s">
        <v>1225</v>
      </c>
      <c r="F1083" s="3" t="s">
        <v>102</v>
      </c>
      <c r="G1083">
        <v>2</v>
      </c>
      <c r="H1083" s="4">
        <v>2</v>
      </c>
      <c r="I1083" s="4">
        <v>3</v>
      </c>
      <c r="J1083" s="4" t="s">
        <v>8</v>
      </c>
      <c r="K1083" s="4" t="s">
        <v>7</v>
      </c>
      <c r="L1083" s="11"/>
      <c r="M1083" s="3"/>
      <c r="N1083"/>
      <c r="O1083" s="4"/>
      <c r="P1083" s="1"/>
      <c r="Q1083" s="22"/>
      <c r="R1083"/>
      <c r="S1083" s="11" t="s">
        <v>6860</v>
      </c>
      <c r="T1083" t="s">
        <v>67</v>
      </c>
      <c r="U1083"/>
      <c r="V1083" s="1"/>
      <c r="W1083" s="1"/>
    </row>
    <row r="1084" spans="2:23" x14ac:dyDescent="0.35">
      <c r="B1084" s="4">
        <v>30033948</v>
      </c>
      <c r="C1084" s="1" t="s">
        <v>636</v>
      </c>
      <c r="D1084" s="4" t="s">
        <v>86</v>
      </c>
      <c r="E1084" s="3"/>
      <c r="F1084" s="3" t="s">
        <v>68</v>
      </c>
      <c r="G1084">
        <v>2</v>
      </c>
      <c r="H1084" s="4">
        <v>2</v>
      </c>
      <c r="I1084" s="4">
        <v>2</v>
      </c>
      <c r="J1084" s="4" t="s">
        <v>8</v>
      </c>
      <c r="K1084" s="4" t="s">
        <v>7</v>
      </c>
      <c r="L1084" s="11"/>
      <c r="M1084" s="3"/>
      <c r="N1084"/>
      <c r="O1084" s="4"/>
      <c r="P1084" s="1"/>
      <c r="Q1084" s="22"/>
      <c r="R1084"/>
      <c r="S1084" s="11"/>
      <c r="T1084" t="s">
        <v>70</v>
      </c>
      <c r="U1084"/>
      <c r="V1084" s="1"/>
      <c r="W1084" s="1"/>
    </row>
    <row r="1085" spans="2:23" x14ac:dyDescent="0.35">
      <c r="B1085" s="4">
        <v>30034647</v>
      </c>
      <c r="C1085" s="1" t="s">
        <v>1353</v>
      </c>
      <c r="D1085" s="4" t="s">
        <v>86</v>
      </c>
      <c r="E1085" s="3"/>
      <c r="F1085" s="3" t="s">
        <v>68</v>
      </c>
      <c r="G1085">
        <v>2</v>
      </c>
      <c r="H1085" s="4">
        <v>4</v>
      </c>
      <c r="I1085" s="4">
        <v>4</v>
      </c>
      <c r="J1085" s="4" t="s">
        <v>8</v>
      </c>
      <c r="K1085" s="4" t="s">
        <v>7</v>
      </c>
      <c r="L1085" s="11"/>
      <c r="M1085" s="3"/>
      <c r="N1085"/>
      <c r="O1085" s="4"/>
      <c r="P1085" s="1"/>
      <c r="Q1085" s="22"/>
      <c r="R1085"/>
      <c r="S1085" s="11"/>
      <c r="T1085" t="s">
        <v>70</v>
      </c>
      <c r="U1085"/>
      <c r="V1085" s="1"/>
      <c r="W1085" s="1"/>
    </row>
    <row r="1086" spans="2:23" x14ac:dyDescent="0.35">
      <c r="B1086" s="4">
        <v>30034648</v>
      </c>
      <c r="C1086" s="1" t="s">
        <v>1316</v>
      </c>
      <c r="D1086" s="4" t="s">
        <v>86</v>
      </c>
      <c r="E1086" s="3"/>
      <c r="F1086" s="3" t="s">
        <v>68</v>
      </c>
      <c r="G1086">
        <v>2</v>
      </c>
      <c r="H1086" s="4">
        <v>4</v>
      </c>
      <c r="I1086" s="4">
        <v>5</v>
      </c>
      <c r="J1086" s="4" t="s">
        <v>8</v>
      </c>
      <c r="K1086" s="4" t="s">
        <v>7</v>
      </c>
      <c r="L1086" s="11"/>
      <c r="M1086" s="3"/>
      <c r="N1086"/>
      <c r="O1086" s="4"/>
      <c r="P1086" s="1"/>
      <c r="Q1086" s="22"/>
      <c r="R1086"/>
      <c r="S1086" s="11"/>
      <c r="T1086" t="s">
        <v>70</v>
      </c>
      <c r="U1086"/>
      <c r="V1086" s="1"/>
      <c r="W1086" s="1"/>
    </row>
    <row r="1087" spans="2:23" x14ac:dyDescent="0.35">
      <c r="B1087" s="4">
        <v>30035667</v>
      </c>
      <c r="C1087" s="1" t="s">
        <v>1317</v>
      </c>
      <c r="D1087" s="4" t="s">
        <v>86</v>
      </c>
      <c r="E1087" s="3"/>
      <c r="F1087" s="3" t="s">
        <v>68</v>
      </c>
      <c r="G1087">
        <v>10</v>
      </c>
      <c r="H1087" s="4">
        <v>20</v>
      </c>
      <c r="I1087" s="4">
        <v>19</v>
      </c>
      <c r="J1087" s="4" t="s">
        <v>8</v>
      </c>
      <c r="K1087" s="4" t="s">
        <v>7</v>
      </c>
      <c r="L1087" s="11"/>
      <c r="M1087" s="3"/>
      <c r="N1087"/>
      <c r="O1087" s="4"/>
      <c r="P1087" s="1"/>
      <c r="Q1087" s="22"/>
      <c r="R1087"/>
      <c r="S1087" s="11"/>
      <c r="T1087" t="s">
        <v>67</v>
      </c>
      <c r="U1087"/>
      <c r="V1087" s="1"/>
      <c r="W1087" s="1"/>
    </row>
    <row r="1088" spans="2:23" x14ac:dyDescent="0.35">
      <c r="B1088" s="4">
        <v>30036125</v>
      </c>
      <c r="C1088" s="1" t="s">
        <v>637</v>
      </c>
      <c r="D1088" s="4" t="s">
        <v>86</v>
      </c>
      <c r="E1088" s="3"/>
      <c r="F1088" s="3" t="s">
        <v>68</v>
      </c>
      <c r="G1088">
        <v>3</v>
      </c>
      <c r="H1088" s="4">
        <v>4</v>
      </c>
      <c r="I1088" s="4">
        <v>3</v>
      </c>
      <c r="J1088" s="4" t="s">
        <v>8</v>
      </c>
      <c r="K1088" s="4" t="s">
        <v>7</v>
      </c>
      <c r="L1088" s="11"/>
      <c r="M1088" s="3"/>
      <c r="N1088"/>
      <c r="O1088" s="4"/>
      <c r="P1088" s="1"/>
      <c r="Q1088" s="22"/>
      <c r="R1088"/>
      <c r="S1088" s="11"/>
      <c r="T1088" t="s">
        <v>70</v>
      </c>
      <c r="U1088"/>
      <c r="V1088" s="1"/>
      <c r="W1088" s="1"/>
    </row>
    <row r="1089" spans="2:23" x14ac:dyDescent="0.35">
      <c r="B1089" s="4">
        <v>30036258</v>
      </c>
      <c r="C1089" s="1" t="s">
        <v>638</v>
      </c>
      <c r="D1089" s="4" t="s">
        <v>86</v>
      </c>
      <c r="E1089" s="3"/>
      <c r="F1089" s="3" t="s">
        <v>68</v>
      </c>
      <c r="G1089">
        <v>7</v>
      </c>
      <c r="H1089" s="4">
        <v>4</v>
      </c>
      <c r="I1089" s="4">
        <v>8</v>
      </c>
      <c r="J1089" s="4" t="s">
        <v>8</v>
      </c>
      <c r="K1089" s="4" t="s">
        <v>7</v>
      </c>
      <c r="L1089" s="11"/>
      <c r="M1089" s="3"/>
      <c r="N1089"/>
      <c r="O1089" s="4"/>
      <c r="P1089" s="1"/>
      <c r="Q1089" s="22"/>
      <c r="R1089"/>
      <c r="S1089" s="11"/>
      <c r="T1089" t="s">
        <v>71</v>
      </c>
      <c r="U1089"/>
      <c r="V1089" s="1"/>
      <c r="W1089" s="1"/>
    </row>
    <row r="1090" spans="2:23" x14ac:dyDescent="0.35">
      <c r="B1090" s="72">
        <v>30036413</v>
      </c>
      <c r="C1090" s="74" t="s">
        <v>1536</v>
      </c>
      <c r="D1090" s="4" t="s">
        <v>86</v>
      </c>
      <c r="E1090" s="3"/>
      <c r="F1090" s="3" t="s">
        <v>68</v>
      </c>
      <c r="G1090">
        <v>2</v>
      </c>
      <c r="H1090" s="4">
        <v>1</v>
      </c>
      <c r="I1090" s="4">
        <v>8</v>
      </c>
      <c r="J1090" s="4" t="s">
        <v>8</v>
      </c>
      <c r="K1090" s="4" t="s">
        <v>14</v>
      </c>
      <c r="L1090" s="11"/>
      <c r="M1090" s="3"/>
      <c r="N1090"/>
      <c r="O1090" s="4"/>
      <c r="P1090" s="1"/>
      <c r="Q1090" s="22"/>
      <c r="R1090"/>
      <c r="S1090" s="11"/>
      <c r="T1090" t="s">
        <v>70</v>
      </c>
      <c r="U1090"/>
      <c r="V1090" s="1"/>
      <c r="W1090" s="1"/>
    </row>
    <row r="1091" spans="2:23" x14ac:dyDescent="0.35">
      <c r="B1091" s="4">
        <v>30036418</v>
      </c>
      <c r="C1091" s="1" t="s">
        <v>1537</v>
      </c>
      <c r="D1091" s="4" t="s">
        <v>86</v>
      </c>
      <c r="E1091" s="3"/>
      <c r="F1091" s="3" t="s">
        <v>68</v>
      </c>
      <c r="G1091">
        <v>4</v>
      </c>
      <c r="H1091" s="4">
        <v>2</v>
      </c>
      <c r="I1091" s="4">
        <v>10</v>
      </c>
      <c r="J1091" s="4" t="s">
        <v>8</v>
      </c>
      <c r="K1091" s="4" t="s">
        <v>14</v>
      </c>
      <c r="L1091" s="11"/>
      <c r="M1091" s="3"/>
      <c r="N1091"/>
      <c r="O1091" s="4"/>
      <c r="P1091" s="1"/>
      <c r="Q1091" s="22"/>
      <c r="R1091"/>
      <c r="S1091" s="11"/>
      <c r="T1091" t="s">
        <v>70</v>
      </c>
      <c r="U1091"/>
      <c r="V1091" s="1"/>
      <c r="W1091" s="1"/>
    </row>
    <row r="1092" spans="2:23" x14ac:dyDescent="0.35">
      <c r="B1092" s="4">
        <v>30036419</v>
      </c>
      <c r="C1092" s="1" t="s">
        <v>1538</v>
      </c>
      <c r="D1092" s="4" t="s">
        <v>86</v>
      </c>
      <c r="E1092" s="3"/>
      <c r="F1092" s="3" t="s">
        <v>68</v>
      </c>
      <c r="G1092">
        <v>4</v>
      </c>
      <c r="H1092" s="4">
        <v>2</v>
      </c>
      <c r="I1092" s="4">
        <v>9</v>
      </c>
      <c r="J1092" s="4" t="s">
        <v>8</v>
      </c>
      <c r="K1092" s="4" t="s">
        <v>14</v>
      </c>
      <c r="L1092" s="11"/>
      <c r="M1092" s="3"/>
      <c r="N1092"/>
      <c r="O1092" s="4"/>
      <c r="P1092" s="1"/>
      <c r="Q1092" s="22"/>
      <c r="R1092"/>
      <c r="S1092" s="11"/>
      <c r="T1092" t="s">
        <v>70</v>
      </c>
      <c r="U1092"/>
      <c r="V1092" s="1"/>
      <c r="W1092" s="1"/>
    </row>
    <row r="1093" spans="2:23" x14ac:dyDescent="0.35">
      <c r="B1093" s="4">
        <v>30036425</v>
      </c>
      <c r="C1093" s="1" t="s">
        <v>639</v>
      </c>
      <c r="D1093" s="4" t="s">
        <v>86</v>
      </c>
      <c r="E1093" s="3"/>
      <c r="F1093" s="3" t="s">
        <v>68</v>
      </c>
      <c r="G1093">
        <v>11</v>
      </c>
      <c r="H1093" s="4">
        <v>10</v>
      </c>
      <c r="I1093" s="4">
        <v>16</v>
      </c>
      <c r="J1093" s="4" t="s">
        <v>8</v>
      </c>
      <c r="K1093" s="4" t="s">
        <v>7</v>
      </c>
      <c r="L1093" s="11"/>
      <c r="M1093" s="3"/>
      <c r="N1093"/>
      <c r="O1093" s="4"/>
      <c r="P1093" s="1"/>
      <c r="Q1093" s="22"/>
      <c r="R1093"/>
      <c r="S1093" s="11"/>
      <c r="T1093" t="s">
        <v>1602</v>
      </c>
      <c r="U1093"/>
      <c r="V1093" s="1"/>
      <c r="W1093" s="1"/>
    </row>
    <row r="1094" spans="2:23" x14ac:dyDescent="0.35">
      <c r="B1094" s="4">
        <v>30036426</v>
      </c>
      <c r="C1094" s="1" t="s">
        <v>1054</v>
      </c>
      <c r="D1094" s="4" t="s">
        <v>86</v>
      </c>
      <c r="E1094" s="3"/>
      <c r="F1094" s="3" t="s">
        <v>68</v>
      </c>
      <c r="G1094">
        <v>5</v>
      </c>
      <c r="H1094" s="4">
        <v>4</v>
      </c>
      <c r="I1094" s="4">
        <v>5</v>
      </c>
      <c r="J1094" s="4" t="s">
        <v>8</v>
      </c>
      <c r="K1094" s="4" t="s">
        <v>7</v>
      </c>
      <c r="L1094" s="11"/>
      <c r="M1094" s="3"/>
      <c r="N1094"/>
      <c r="O1094" s="4"/>
      <c r="P1094" s="1"/>
      <c r="Q1094" s="22"/>
      <c r="R1094"/>
      <c r="S1094" s="11"/>
      <c r="T1094" t="s">
        <v>70</v>
      </c>
      <c r="U1094"/>
      <c r="V1094" s="1"/>
      <c r="W1094" s="1"/>
    </row>
    <row r="1095" spans="2:23" x14ac:dyDescent="0.35">
      <c r="B1095" s="4">
        <v>30036576</v>
      </c>
      <c r="C1095" s="1" t="s">
        <v>640</v>
      </c>
      <c r="D1095" s="4" t="s">
        <v>86</v>
      </c>
      <c r="E1095" s="3"/>
      <c r="F1095" s="3" t="s">
        <v>68</v>
      </c>
      <c r="G1095">
        <v>60</v>
      </c>
      <c r="H1095" s="4">
        <v>80</v>
      </c>
      <c r="I1095" s="4">
        <v>92</v>
      </c>
      <c r="J1095" s="4" t="s">
        <v>24</v>
      </c>
      <c r="K1095" s="4" t="s">
        <v>7</v>
      </c>
      <c r="L1095" s="11"/>
      <c r="M1095" s="3"/>
      <c r="N1095"/>
      <c r="O1095" s="4"/>
      <c r="P1095" s="1"/>
      <c r="Q1095" s="22"/>
      <c r="R1095"/>
      <c r="S1095" s="11"/>
      <c r="T1095" t="s">
        <v>1602</v>
      </c>
      <c r="U1095"/>
      <c r="V1095" s="1"/>
      <c r="W1095" s="1"/>
    </row>
    <row r="1096" spans="2:23" x14ac:dyDescent="0.35">
      <c r="B1096" s="4">
        <v>30037793</v>
      </c>
      <c r="C1096" s="1" t="s">
        <v>641</v>
      </c>
      <c r="D1096" s="4" t="s">
        <v>86</v>
      </c>
      <c r="E1096" s="3"/>
      <c r="F1096" s="3" t="s">
        <v>68</v>
      </c>
      <c r="G1096">
        <v>2</v>
      </c>
      <c r="H1096" s="4">
        <v>4</v>
      </c>
      <c r="I1096" s="4">
        <v>10</v>
      </c>
      <c r="J1096" s="4" t="s">
        <v>8</v>
      </c>
      <c r="K1096" s="4" t="s">
        <v>14</v>
      </c>
      <c r="L1096" s="11"/>
      <c r="M1096" s="3"/>
      <c r="N1096"/>
      <c r="O1096" s="4"/>
      <c r="P1096" s="1"/>
      <c r="Q1096" s="22"/>
      <c r="R1096"/>
      <c r="S1096" s="11"/>
      <c r="T1096" t="s">
        <v>66</v>
      </c>
      <c r="U1096"/>
      <c r="V1096" s="1"/>
      <c r="W1096" s="1"/>
    </row>
    <row r="1097" spans="2:23" x14ac:dyDescent="0.35">
      <c r="B1097" s="4">
        <v>30037797</v>
      </c>
      <c r="C1097" s="1" t="s">
        <v>1055</v>
      </c>
      <c r="D1097" s="4" t="s">
        <v>86</v>
      </c>
      <c r="E1097" s="3"/>
      <c r="F1097" s="3" t="s">
        <v>102</v>
      </c>
      <c r="G1097">
        <v>201</v>
      </c>
      <c r="H1097" s="4">
        <v>200</v>
      </c>
      <c r="I1097" s="4">
        <v>202</v>
      </c>
      <c r="J1097" s="4" t="s">
        <v>8</v>
      </c>
      <c r="K1097" s="4" t="s">
        <v>7</v>
      </c>
      <c r="L1097" s="11"/>
      <c r="M1097" s="3"/>
      <c r="N1097"/>
      <c r="O1097" s="4"/>
      <c r="P1097" s="1"/>
      <c r="Q1097" s="22"/>
      <c r="R1097"/>
      <c r="S1097" s="11"/>
      <c r="T1097" t="s">
        <v>71</v>
      </c>
      <c r="U1097"/>
      <c r="V1097" s="1"/>
      <c r="W1097" s="1"/>
    </row>
    <row r="1098" spans="2:23" x14ac:dyDescent="0.35">
      <c r="B1098" s="4">
        <v>30037859</v>
      </c>
      <c r="C1098" s="1" t="s">
        <v>642</v>
      </c>
      <c r="D1098" s="4" t="s">
        <v>86</v>
      </c>
      <c r="E1098" s="3"/>
      <c r="F1098" s="3" t="s">
        <v>68</v>
      </c>
      <c r="G1098">
        <v>2</v>
      </c>
      <c r="H1098" s="4">
        <v>1</v>
      </c>
      <c r="I1098" s="4">
        <v>2</v>
      </c>
      <c r="J1098" s="4" t="s">
        <v>8</v>
      </c>
      <c r="K1098" s="4" t="s">
        <v>7</v>
      </c>
      <c r="L1098" s="11"/>
      <c r="M1098" s="3"/>
      <c r="N1098"/>
      <c r="O1098" s="4"/>
      <c r="P1098" s="1"/>
      <c r="Q1098" s="22"/>
      <c r="R1098"/>
      <c r="S1098" s="11"/>
      <c r="T1098" t="s">
        <v>70</v>
      </c>
      <c r="U1098"/>
      <c r="V1098" s="1"/>
      <c r="W1098" s="1"/>
    </row>
    <row r="1099" spans="2:23" x14ac:dyDescent="0.35">
      <c r="B1099" s="4">
        <v>30037868</v>
      </c>
      <c r="C1099" s="1" t="s">
        <v>643</v>
      </c>
      <c r="D1099" s="4" t="s">
        <v>86</v>
      </c>
      <c r="E1099" s="3"/>
      <c r="F1099" s="3" t="s">
        <v>68</v>
      </c>
      <c r="G1099">
        <v>2</v>
      </c>
      <c r="H1099" s="4">
        <v>2</v>
      </c>
      <c r="I1099" s="4">
        <v>4</v>
      </c>
      <c r="J1099" s="4" t="s">
        <v>8</v>
      </c>
      <c r="K1099" s="4" t="s">
        <v>7</v>
      </c>
      <c r="L1099" s="11"/>
      <c r="M1099" s="3"/>
      <c r="N1099"/>
      <c r="O1099" s="4"/>
      <c r="P1099" s="1"/>
      <c r="Q1099" s="22"/>
      <c r="R1099"/>
      <c r="S1099" s="11"/>
      <c r="T1099" t="s">
        <v>67</v>
      </c>
      <c r="U1099"/>
      <c r="V1099" s="1"/>
      <c r="W1099" s="1"/>
    </row>
    <row r="1100" spans="2:23" x14ac:dyDescent="0.35">
      <c r="B1100" s="4">
        <v>30037869</v>
      </c>
      <c r="C1100" s="1" t="s">
        <v>644</v>
      </c>
      <c r="D1100" s="4" t="s">
        <v>86</v>
      </c>
      <c r="E1100" s="3"/>
      <c r="F1100" s="3" t="s">
        <v>68</v>
      </c>
      <c r="G1100">
        <v>2</v>
      </c>
      <c r="H1100" s="4">
        <v>1</v>
      </c>
      <c r="I1100" s="4">
        <v>1</v>
      </c>
      <c r="J1100" s="4" t="s">
        <v>8</v>
      </c>
      <c r="K1100" s="4" t="s">
        <v>9</v>
      </c>
      <c r="L1100" s="11" t="s">
        <v>6896</v>
      </c>
      <c r="M1100" s="3"/>
      <c r="N1100"/>
      <c r="O1100" s="4"/>
      <c r="P1100" s="1"/>
      <c r="Q1100" s="22"/>
      <c r="R1100"/>
      <c r="S1100" s="11" t="s">
        <v>6890</v>
      </c>
      <c r="T1100" t="s">
        <v>67</v>
      </c>
      <c r="U1100"/>
      <c r="V1100" s="1"/>
      <c r="W1100" s="1"/>
    </row>
    <row r="1101" spans="2:23" x14ac:dyDescent="0.35">
      <c r="B1101" s="4">
        <v>30037870</v>
      </c>
      <c r="C1101" s="1" t="s">
        <v>645</v>
      </c>
      <c r="D1101" s="4" t="s">
        <v>86</v>
      </c>
      <c r="E1101" s="3"/>
      <c r="F1101" s="3" t="s">
        <v>68</v>
      </c>
      <c r="G1101">
        <v>3</v>
      </c>
      <c r="H1101" s="4">
        <v>5</v>
      </c>
      <c r="I1101" s="4">
        <v>7</v>
      </c>
      <c r="J1101" s="4" t="s">
        <v>8</v>
      </c>
      <c r="K1101" s="4" t="s">
        <v>7</v>
      </c>
      <c r="L1101" s="11"/>
      <c r="M1101" s="3"/>
      <c r="N1101"/>
      <c r="O1101" s="4"/>
      <c r="P1101" s="1"/>
      <c r="Q1101" s="22"/>
      <c r="R1101"/>
      <c r="S1101" s="11"/>
      <c r="T1101" t="s">
        <v>67</v>
      </c>
      <c r="U1101"/>
      <c r="V1101" s="1"/>
      <c r="W1101" s="1"/>
    </row>
    <row r="1102" spans="2:23" x14ac:dyDescent="0.35">
      <c r="B1102" s="4">
        <v>30038088</v>
      </c>
      <c r="C1102" s="1" t="s">
        <v>1255</v>
      </c>
      <c r="D1102" s="4" t="s">
        <v>86</v>
      </c>
      <c r="E1102" s="3"/>
      <c r="F1102" s="3" t="s">
        <v>68</v>
      </c>
      <c r="G1102">
        <v>2</v>
      </c>
      <c r="H1102" s="4">
        <v>1</v>
      </c>
      <c r="I1102" s="4">
        <v>2</v>
      </c>
      <c r="J1102" s="4" t="s">
        <v>8</v>
      </c>
      <c r="K1102" s="4" t="s">
        <v>7</v>
      </c>
      <c r="L1102" s="11"/>
      <c r="M1102" s="3"/>
      <c r="N1102"/>
      <c r="O1102" s="4"/>
      <c r="P1102" s="1"/>
      <c r="Q1102" s="22"/>
      <c r="R1102"/>
      <c r="S1102" s="11"/>
      <c r="T1102" t="s">
        <v>67</v>
      </c>
      <c r="U1102"/>
      <c r="V1102" s="1"/>
      <c r="W1102" s="1"/>
    </row>
    <row r="1103" spans="2:23" x14ac:dyDescent="0.35">
      <c r="B1103" s="4">
        <v>30038349</v>
      </c>
      <c r="C1103" s="1" t="s">
        <v>1167</v>
      </c>
      <c r="D1103" s="4" t="s">
        <v>86</v>
      </c>
      <c r="E1103" s="3"/>
      <c r="F1103" s="3" t="s">
        <v>102</v>
      </c>
      <c r="G1103">
        <v>3</v>
      </c>
      <c r="H1103" s="4">
        <v>2</v>
      </c>
      <c r="I1103" s="4">
        <v>23</v>
      </c>
      <c r="J1103" s="4" t="s">
        <v>8</v>
      </c>
      <c r="K1103" s="4" t="s">
        <v>14</v>
      </c>
      <c r="L1103" s="11"/>
      <c r="M1103" s="3"/>
      <c r="N1103"/>
      <c r="O1103" s="4"/>
      <c r="P1103" s="1"/>
      <c r="Q1103" s="22"/>
      <c r="R1103"/>
      <c r="S1103" s="11"/>
      <c r="T1103" t="s">
        <v>66</v>
      </c>
      <c r="U1103"/>
      <c r="V1103" s="1"/>
      <c r="W1103" s="1"/>
    </row>
    <row r="1104" spans="2:23" x14ac:dyDescent="0.35">
      <c r="B1104" s="4">
        <v>30038358</v>
      </c>
      <c r="C1104" s="1" t="s">
        <v>1509</v>
      </c>
      <c r="D1104" s="4" t="s">
        <v>86</v>
      </c>
      <c r="E1104" s="3"/>
      <c r="F1104" s="3" t="s">
        <v>68</v>
      </c>
      <c r="G1104">
        <v>6</v>
      </c>
      <c r="H1104" s="4">
        <v>6</v>
      </c>
      <c r="I1104" s="4">
        <v>4</v>
      </c>
      <c r="J1104" s="4" t="s">
        <v>8</v>
      </c>
      <c r="K1104" s="4" t="s">
        <v>9</v>
      </c>
      <c r="L1104" s="11">
        <v>1002711005</v>
      </c>
      <c r="M1104" s="3"/>
      <c r="N1104">
        <v>4502714651</v>
      </c>
      <c r="O1104" s="4">
        <v>8</v>
      </c>
      <c r="P1104" s="1" t="s">
        <v>6903</v>
      </c>
      <c r="Q1104" s="22">
        <v>46286</v>
      </c>
      <c r="R1104"/>
      <c r="S1104" s="11"/>
      <c r="T1104" t="s">
        <v>66</v>
      </c>
      <c r="U1104"/>
      <c r="V1104" s="1"/>
      <c r="W1104" s="1"/>
    </row>
    <row r="1105" spans="2:23" x14ac:dyDescent="0.35">
      <c r="B1105" s="4">
        <v>30038374</v>
      </c>
      <c r="C1105" s="1" t="s">
        <v>860</v>
      </c>
      <c r="D1105" s="4" t="s">
        <v>86</v>
      </c>
      <c r="E1105" s="3"/>
      <c r="F1105" s="3" t="s">
        <v>102</v>
      </c>
      <c r="G1105">
        <v>3</v>
      </c>
      <c r="H1105" s="4">
        <v>2</v>
      </c>
      <c r="I1105" s="4">
        <v>6</v>
      </c>
      <c r="J1105" s="4" t="s">
        <v>8</v>
      </c>
      <c r="K1105" s="4" t="s">
        <v>14</v>
      </c>
      <c r="L1105" s="11"/>
      <c r="M1105" s="3"/>
      <c r="N1105"/>
      <c r="O1105" s="4"/>
      <c r="P1105" s="1"/>
      <c r="Q1105" s="22"/>
      <c r="R1105"/>
      <c r="S1105" s="11"/>
      <c r="T1105" t="s">
        <v>66</v>
      </c>
      <c r="U1105"/>
      <c r="V1105" s="1"/>
      <c r="W1105" s="1"/>
    </row>
    <row r="1106" spans="2:23" x14ac:dyDescent="0.35">
      <c r="B1106" s="4">
        <v>30038471</v>
      </c>
      <c r="C1106" s="1" t="s">
        <v>1318</v>
      </c>
      <c r="D1106" s="4" t="s">
        <v>86</v>
      </c>
      <c r="E1106" s="3"/>
      <c r="F1106" s="3" t="s">
        <v>68</v>
      </c>
      <c r="G1106">
        <v>2</v>
      </c>
      <c r="H1106" s="4">
        <v>2</v>
      </c>
      <c r="I1106" s="4">
        <v>5</v>
      </c>
      <c r="J1106" s="4" t="s">
        <v>8</v>
      </c>
      <c r="K1106" s="4" t="s">
        <v>14</v>
      </c>
      <c r="L1106" s="11"/>
      <c r="M1106" s="3"/>
      <c r="N1106"/>
      <c r="O1106" s="4"/>
      <c r="P1106" s="1"/>
      <c r="Q1106" s="22"/>
      <c r="R1106"/>
      <c r="S1106" s="11"/>
      <c r="T1106" t="s">
        <v>67</v>
      </c>
      <c r="U1106"/>
      <c r="V1106" s="1"/>
      <c r="W1106" s="1"/>
    </row>
    <row r="1107" spans="2:23" x14ac:dyDescent="0.35">
      <c r="B1107" s="4">
        <v>30038497</v>
      </c>
      <c r="C1107" s="1" t="s">
        <v>647</v>
      </c>
      <c r="D1107" s="4" t="s">
        <v>86</v>
      </c>
      <c r="E1107" s="3"/>
      <c r="F1107" s="3" t="s">
        <v>68</v>
      </c>
      <c r="G1107">
        <v>12</v>
      </c>
      <c r="H1107" s="4">
        <v>20</v>
      </c>
      <c r="I1107" s="4">
        <v>32</v>
      </c>
      <c r="J1107" s="4" t="s">
        <v>8</v>
      </c>
      <c r="K1107" s="4" t="s">
        <v>7</v>
      </c>
      <c r="L1107" s="11"/>
      <c r="M1107" s="3"/>
      <c r="N1107"/>
      <c r="O1107" s="4"/>
      <c r="P1107" s="1"/>
      <c r="Q1107" s="22"/>
      <c r="R1107"/>
      <c r="S1107" s="11"/>
      <c r="T1107" t="s">
        <v>1602</v>
      </c>
      <c r="U1107"/>
      <c r="V1107" s="1"/>
      <c r="W1107" s="1"/>
    </row>
    <row r="1108" spans="2:23" x14ac:dyDescent="0.35">
      <c r="B1108" s="4">
        <v>30038525</v>
      </c>
      <c r="C1108" s="1" t="s">
        <v>648</v>
      </c>
      <c r="D1108" s="4" t="s">
        <v>86</v>
      </c>
      <c r="E1108" s="3"/>
      <c r="F1108" s="3" t="s">
        <v>68</v>
      </c>
      <c r="G1108">
        <v>5</v>
      </c>
      <c r="H1108" s="4">
        <v>10</v>
      </c>
      <c r="I1108" s="4">
        <v>17</v>
      </c>
      <c r="J1108" s="4" t="s">
        <v>8</v>
      </c>
      <c r="K1108" s="4" t="s">
        <v>14</v>
      </c>
      <c r="L1108" s="11"/>
      <c r="M1108" s="3"/>
      <c r="N1108"/>
      <c r="O1108" s="4"/>
      <c r="P1108" s="1"/>
      <c r="Q1108" s="22"/>
      <c r="R1108"/>
      <c r="S1108" s="11"/>
      <c r="T1108" t="s">
        <v>67</v>
      </c>
      <c r="U1108"/>
      <c r="V1108" s="1"/>
      <c r="W1108" s="1"/>
    </row>
    <row r="1109" spans="2:23" x14ac:dyDescent="0.35">
      <c r="B1109" s="4">
        <v>30038526</v>
      </c>
      <c r="C1109" s="1" t="s">
        <v>649</v>
      </c>
      <c r="D1109" s="4" t="s">
        <v>86</v>
      </c>
      <c r="E1109" s="3"/>
      <c r="F1109" s="3" t="s">
        <v>68</v>
      </c>
      <c r="G1109">
        <v>6</v>
      </c>
      <c r="H1109" s="4">
        <v>6</v>
      </c>
      <c r="I1109" s="4">
        <v>6</v>
      </c>
      <c r="J1109" s="4" t="s">
        <v>8</v>
      </c>
      <c r="K1109" s="4" t="s">
        <v>7</v>
      </c>
      <c r="L1109" s="11"/>
      <c r="M1109" s="3"/>
      <c r="N1109"/>
      <c r="O1109" s="4"/>
      <c r="P1109" s="1"/>
      <c r="Q1109" s="22"/>
      <c r="R1109"/>
      <c r="S1109" s="11"/>
      <c r="T1109" t="s">
        <v>1603</v>
      </c>
      <c r="U1109"/>
      <c r="V1109" s="1"/>
      <c r="W1109" s="1"/>
    </row>
    <row r="1110" spans="2:23" x14ac:dyDescent="0.35">
      <c r="B1110" s="4">
        <v>30039030</v>
      </c>
      <c r="C1110" s="1" t="s">
        <v>1340</v>
      </c>
      <c r="D1110" s="4" t="s">
        <v>86</v>
      </c>
      <c r="E1110" s="3"/>
      <c r="F1110" s="3" t="s">
        <v>68</v>
      </c>
      <c r="G1110">
        <v>4</v>
      </c>
      <c r="H1110" s="4">
        <v>6</v>
      </c>
      <c r="I1110" s="4">
        <v>5</v>
      </c>
      <c r="J1110" s="4" t="s">
        <v>8</v>
      </c>
      <c r="K1110" s="4" t="s">
        <v>7</v>
      </c>
      <c r="L1110" s="11"/>
      <c r="M1110" s="3"/>
      <c r="N1110"/>
      <c r="O1110" s="4"/>
      <c r="P1110" s="1"/>
      <c r="Q1110" s="22"/>
      <c r="R1110"/>
      <c r="S1110" s="11"/>
      <c r="T1110" t="s">
        <v>70</v>
      </c>
      <c r="U1110"/>
      <c r="V1110" s="1"/>
      <c r="W1110" s="1"/>
    </row>
    <row r="1111" spans="2:23" x14ac:dyDescent="0.35">
      <c r="B1111" s="4">
        <v>30039031</v>
      </c>
      <c r="C1111" s="1" t="s">
        <v>651</v>
      </c>
      <c r="D1111" s="4" t="s">
        <v>86</v>
      </c>
      <c r="E1111" s="3"/>
      <c r="F1111" s="3" t="s">
        <v>68</v>
      </c>
      <c r="G1111">
        <v>2</v>
      </c>
      <c r="H1111" s="4">
        <v>1</v>
      </c>
      <c r="I1111" s="4">
        <v>2</v>
      </c>
      <c r="J1111" s="4" t="s">
        <v>8</v>
      </c>
      <c r="K1111" s="4" t="s">
        <v>7</v>
      </c>
      <c r="L1111" s="11"/>
      <c r="M1111" s="3"/>
      <c r="N1111"/>
      <c r="O1111" s="4"/>
      <c r="P1111" s="1"/>
      <c r="Q1111" s="22"/>
      <c r="R1111"/>
      <c r="S1111" s="11"/>
      <c r="T1111" t="s">
        <v>70</v>
      </c>
      <c r="U1111"/>
      <c r="V1111" s="1"/>
      <c r="W1111" s="1"/>
    </row>
    <row r="1112" spans="2:23" x14ac:dyDescent="0.35">
      <c r="B1112" s="4">
        <v>30039144</v>
      </c>
      <c r="C1112" s="1" t="s">
        <v>861</v>
      </c>
      <c r="D1112" s="4" t="s">
        <v>86</v>
      </c>
      <c r="E1112" s="3"/>
      <c r="F1112" s="3" t="s">
        <v>102</v>
      </c>
      <c r="G1112">
        <v>1</v>
      </c>
      <c r="H1112" s="4">
        <v>2</v>
      </c>
      <c r="I1112" s="4">
        <v>2</v>
      </c>
      <c r="J1112" s="4" t="s">
        <v>8</v>
      </c>
      <c r="K1112" s="4" t="s">
        <v>7</v>
      </c>
      <c r="L1112" s="11"/>
      <c r="M1112" s="3"/>
      <c r="N1112"/>
      <c r="O1112" s="4"/>
      <c r="P1112" s="1"/>
      <c r="Q1112" s="22"/>
      <c r="R1112"/>
      <c r="S1112" s="11"/>
      <c r="T1112" t="s">
        <v>71</v>
      </c>
      <c r="U1112"/>
      <c r="V1112" s="1"/>
      <c r="W1112" s="1"/>
    </row>
    <row r="1113" spans="2:23" x14ac:dyDescent="0.35">
      <c r="B1113" s="4">
        <v>30039193</v>
      </c>
      <c r="C1113" s="1" t="s">
        <v>914</v>
      </c>
      <c r="D1113" s="4" t="s">
        <v>86</v>
      </c>
      <c r="E1113" s="3" t="s">
        <v>1225</v>
      </c>
      <c r="F1113" s="3" t="s">
        <v>102</v>
      </c>
      <c r="G1113">
        <v>2</v>
      </c>
      <c r="H1113" s="4">
        <v>2</v>
      </c>
      <c r="I1113" s="4">
        <v>0</v>
      </c>
      <c r="J1113" s="4" t="s">
        <v>8</v>
      </c>
      <c r="K1113" s="4" t="s">
        <v>13</v>
      </c>
      <c r="L1113" s="11" t="s">
        <v>6896</v>
      </c>
      <c r="M1113" s="3"/>
      <c r="N1113"/>
      <c r="O1113" s="4"/>
      <c r="P1113" s="1"/>
      <c r="Q1113" s="22"/>
      <c r="R1113"/>
      <c r="S1113" s="11" t="s">
        <v>6860</v>
      </c>
      <c r="T1113" t="s">
        <v>67</v>
      </c>
      <c r="U1113"/>
      <c r="V1113" s="1"/>
      <c r="W1113" s="1"/>
    </row>
    <row r="1114" spans="2:23" x14ac:dyDescent="0.35">
      <c r="B1114" s="4">
        <v>30039344</v>
      </c>
      <c r="C1114" s="1" t="s">
        <v>1418</v>
      </c>
      <c r="D1114" s="4" t="s">
        <v>86</v>
      </c>
      <c r="E1114" s="3"/>
      <c r="F1114" s="3" t="s">
        <v>68</v>
      </c>
      <c r="G1114">
        <v>1</v>
      </c>
      <c r="H1114" s="4">
        <v>2</v>
      </c>
      <c r="I1114" s="4">
        <v>4</v>
      </c>
      <c r="J1114" s="4" t="s">
        <v>8</v>
      </c>
      <c r="K1114" s="4" t="s">
        <v>14</v>
      </c>
      <c r="L1114" s="11"/>
      <c r="M1114" s="3"/>
      <c r="N1114"/>
      <c r="O1114" s="4"/>
      <c r="P1114" s="1"/>
      <c r="Q1114" s="22"/>
      <c r="R1114"/>
      <c r="S1114" s="11"/>
      <c r="T1114" t="s">
        <v>67</v>
      </c>
      <c r="U1114"/>
      <c r="V1114" s="1"/>
      <c r="W1114" s="1"/>
    </row>
    <row r="1115" spans="2:23" x14ac:dyDescent="0.35">
      <c r="B1115" s="4">
        <v>30039698</v>
      </c>
      <c r="C1115" s="1" t="s">
        <v>653</v>
      </c>
      <c r="D1115" s="4" t="s">
        <v>86</v>
      </c>
      <c r="E1115" s="3"/>
      <c r="F1115" s="3" t="s">
        <v>68</v>
      </c>
      <c r="G1115">
        <v>2</v>
      </c>
      <c r="H1115" s="4">
        <v>3</v>
      </c>
      <c r="I1115" s="4">
        <v>4</v>
      </c>
      <c r="J1115" s="4" t="s">
        <v>8</v>
      </c>
      <c r="K1115" s="4" t="s">
        <v>7</v>
      </c>
      <c r="L1115" s="11"/>
      <c r="M1115" s="3"/>
      <c r="N1115"/>
      <c r="O1115" s="4"/>
      <c r="P1115" s="1"/>
      <c r="Q1115" s="22"/>
      <c r="R1115"/>
      <c r="S1115" s="11"/>
      <c r="T1115" t="s">
        <v>70</v>
      </c>
      <c r="U1115"/>
      <c r="V1115" s="1"/>
      <c r="W1115" s="1"/>
    </row>
    <row r="1116" spans="2:23" x14ac:dyDescent="0.35">
      <c r="B1116" s="4">
        <v>30039710</v>
      </c>
      <c r="C1116" s="1" t="s">
        <v>654</v>
      </c>
      <c r="D1116" s="4" t="s">
        <v>86</v>
      </c>
      <c r="E1116" s="3"/>
      <c r="F1116" s="3" t="s">
        <v>68</v>
      </c>
      <c r="G1116">
        <v>4</v>
      </c>
      <c r="H1116" s="4">
        <v>7</v>
      </c>
      <c r="I1116" s="4">
        <v>10</v>
      </c>
      <c r="J1116" s="4" t="s">
        <v>8</v>
      </c>
      <c r="K1116" s="4" t="s">
        <v>7</v>
      </c>
      <c r="L1116" s="11"/>
      <c r="M1116" s="3"/>
      <c r="N1116"/>
      <c r="O1116" s="4"/>
      <c r="P1116" s="1"/>
      <c r="Q1116" s="22"/>
      <c r="R1116"/>
      <c r="S1116" s="11"/>
      <c r="T1116" t="s">
        <v>70</v>
      </c>
      <c r="U1116"/>
      <c r="V1116" s="1"/>
      <c r="W1116" s="1"/>
    </row>
    <row r="1117" spans="2:23" x14ac:dyDescent="0.35">
      <c r="B1117" s="4">
        <v>30039711</v>
      </c>
      <c r="C1117" s="1" t="s">
        <v>655</v>
      </c>
      <c r="D1117" s="4" t="s">
        <v>86</v>
      </c>
      <c r="E1117" s="3"/>
      <c r="F1117" s="3" t="s">
        <v>68</v>
      </c>
      <c r="G1117">
        <v>2</v>
      </c>
      <c r="H1117" s="4">
        <v>3</v>
      </c>
      <c r="I1117" s="4">
        <v>4</v>
      </c>
      <c r="J1117" s="4" t="s">
        <v>8</v>
      </c>
      <c r="K1117" s="4" t="s">
        <v>7</v>
      </c>
      <c r="L1117" s="11"/>
      <c r="M1117" s="3"/>
      <c r="N1117"/>
      <c r="O1117" s="4"/>
      <c r="P1117" s="1"/>
      <c r="Q1117" s="22"/>
      <c r="R1117"/>
      <c r="S1117" s="11"/>
      <c r="T1117" t="s">
        <v>70</v>
      </c>
      <c r="U1117"/>
      <c r="V1117" s="1"/>
      <c r="W1117" s="1"/>
    </row>
    <row r="1118" spans="2:23" x14ac:dyDescent="0.35">
      <c r="B1118" s="4">
        <v>30039715</v>
      </c>
      <c r="C1118" s="1" t="s">
        <v>657</v>
      </c>
      <c r="D1118" s="4" t="s">
        <v>86</v>
      </c>
      <c r="E1118" s="3"/>
      <c r="F1118" s="3" t="s">
        <v>68</v>
      </c>
      <c r="G1118">
        <v>3</v>
      </c>
      <c r="H1118" s="4">
        <v>5</v>
      </c>
      <c r="I1118" s="4">
        <v>10</v>
      </c>
      <c r="J1118" s="4" t="s">
        <v>8</v>
      </c>
      <c r="K1118" s="4" t="s">
        <v>14</v>
      </c>
      <c r="L1118" s="11"/>
      <c r="M1118" s="3"/>
      <c r="N1118"/>
      <c r="O1118" s="4"/>
      <c r="P1118" s="1"/>
      <c r="Q1118" s="22"/>
      <c r="R1118"/>
      <c r="S1118" s="11"/>
      <c r="T1118" t="s">
        <v>70</v>
      </c>
      <c r="U1118"/>
      <c r="V1118" s="1"/>
      <c r="W1118" s="1"/>
    </row>
    <row r="1119" spans="2:23" x14ac:dyDescent="0.35">
      <c r="B1119" s="4">
        <v>30039716</v>
      </c>
      <c r="C1119" s="1" t="s">
        <v>658</v>
      </c>
      <c r="D1119" s="4" t="s">
        <v>86</v>
      </c>
      <c r="E1119" s="3"/>
      <c r="F1119" s="3" t="s">
        <v>68</v>
      </c>
      <c r="G1119">
        <v>5</v>
      </c>
      <c r="H1119" s="4">
        <v>10</v>
      </c>
      <c r="I1119" s="4">
        <v>12</v>
      </c>
      <c r="J1119" s="4" t="s">
        <v>8</v>
      </c>
      <c r="K1119" s="4" t="s">
        <v>7</v>
      </c>
      <c r="L1119" s="11"/>
      <c r="M1119" s="3"/>
      <c r="N1119"/>
      <c r="O1119" s="4"/>
      <c r="P1119" s="1"/>
      <c r="Q1119" s="22"/>
      <c r="R1119"/>
      <c r="S1119" s="11"/>
      <c r="T1119" t="s">
        <v>70</v>
      </c>
      <c r="U1119"/>
      <c r="V1119" s="1"/>
      <c r="W1119" s="1"/>
    </row>
    <row r="1120" spans="2:23" x14ac:dyDescent="0.35">
      <c r="B1120" s="4">
        <v>30039717</v>
      </c>
      <c r="C1120" s="1" t="s">
        <v>659</v>
      </c>
      <c r="D1120" s="4" t="s">
        <v>86</v>
      </c>
      <c r="E1120" s="3"/>
      <c r="F1120" s="3" t="s">
        <v>68</v>
      </c>
      <c r="G1120">
        <v>7</v>
      </c>
      <c r="H1120" s="4">
        <v>12</v>
      </c>
      <c r="I1120" s="4">
        <v>12</v>
      </c>
      <c r="J1120" s="4" t="s">
        <v>8</v>
      </c>
      <c r="K1120" s="4" t="s">
        <v>7</v>
      </c>
      <c r="L1120" s="11"/>
      <c r="M1120" s="3"/>
      <c r="N1120"/>
      <c r="O1120" s="4"/>
      <c r="P1120" s="1"/>
      <c r="Q1120" s="22"/>
      <c r="R1120"/>
      <c r="S1120" s="11"/>
      <c r="T1120" t="s">
        <v>70</v>
      </c>
      <c r="U1120"/>
      <c r="V1120" s="1"/>
      <c r="W1120" s="1"/>
    </row>
    <row r="1121" spans="2:23" x14ac:dyDescent="0.35">
      <c r="B1121" s="4">
        <v>30039718</v>
      </c>
      <c r="C1121" s="1" t="s">
        <v>660</v>
      </c>
      <c r="D1121" s="4" t="s">
        <v>86</v>
      </c>
      <c r="E1121" s="3"/>
      <c r="F1121" s="3" t="s">
        <v>68</v>
      </c>
      <c r="G1121">
        <v>3</v>
      </c>
      <c r="H1121" s="4">
        <v>5</v>
      </c>
      <c r="I1121" s="4">
        <v>23</v>
      </c>
      <c r="J1121" s="4" t="s">
        <v>8</v>
      </c>
      <c r="K1121" s="4" t="s">
        <v>14</v>
      </c>
      <c r="L1121" s="11"/>
      <c r="M1121" s="3"/>
      <c r="N1121"/>
      <c r="O1121" s="4"/>
      <c r="P1121" s="1"/>
      <c r="Q1121" s="22"/>
      <c r="R1121"/>
      <c r="S1121" s="11"/>
      <c r="T1121" t="s">
        <v>70</v>
      </c>
      <c r="U1121"/>
      <c r="V1121" s="1"/>
      <c r="W1121" s="1"/>
    </row>
    <row r="1122" spans="2:23" x14ac:dyDescent="0.35">
      <c r="B1122" s="4">
        <v>30039719</v>
      </c>
      <c r="C1122" s="1" t="s">
        <v>1268</v>
      </c>
      <c r="D1122" s="4" t="s">
        <v>86</v>
      </c>
      <c r="E1122" s="3"/>
      <c r="F1122" s="3" t="s">
        <v>68</v>
      </c>
      <c r="G1122">
        <v>5</v>
      </c>
      <c r="H1122" s="4">
        <v>8</v>
      </c>
      <c r="I1122" s="4">
        <v>6</v>
      </c>
      <c r="J1122" s="4" t="s">
        <v>8</v>
      </c>
      <c r="K1122" s="4" t="s">
        <v>7</v>
      </c>
      <c r="L1122" s="11"/>
      <c r="M1122" s="3"/>
      <c r="N1122"/>
      <c r="O1122" s="4"/>
      <c r="P1122" s="1"/>
      <c r="Q1122" s="22"/>
      <c r="R1122"/>
      <c r="S1122" s="11"/>
      <c r="T1122" t="s">
        <v>70</v>
      </c>
      <c r="U1122"/>
      <c r="V1122" s="1"/>
      <c r="W1122" s="1"/>
    </row>
    <row r="1123" spans="2:23" x14ac:dyDescent="0.35">
      <c r="B1123" s="4">
        <v>30039720</v>
      </c>
      <c r="C1123" s="1" t="s">
        <v>661</v>
      </c>
      <c r="D1123" s="4" t="s">
        <v>86</v>
      </c>
      <c r="E1123" s="3"/>
      <c r="F1123" s="3" t="s">
        <v>68</v>
      </c>
      <c r="G1123">
        <v>4</v>
      </c>
      <c r="H1123" s="4">
        <v>7</v>
      </c>
      <c r="I1123" s="4">
        <v>22</v>
      </c>
      <c r="J1123" s="4" t="s">
        <v>8</v>
      </c>
      <c r="K1123" s="4" t="s">
        <v>14</v>
      </c>
      <c r="L1123" s="11"/>
      <c r="M1123" s="3"/>
      <c r="N1123"/>
      <c r="O1123" s="4"/>
      <c r="P1123" s="1"/>
      <c r="Q1123" s="22"/>
      <c r="R1123"/>
      <c r="S1123" s="11"/>
      <c r="T1123" t="s">
        <v>70</v>
      </c>
      <c r="U1123"/>
      <c r="V1123" s="1"/>
      <c r="W1123" s="1"/>
    </row>
    <row r="1124" spans="2:23" x14ac:dyDescent="0.35">
      <c r="B1124" s="4">
        <v>30039721</v>
      </c>
      <c r="C1124" s="1" t="s">
        <v>662</v>
      </c>
      <c r="D1124" s="4" t="s">
        <v>86</v>
      </c>
      <c r="E1124" s="3"/>
      <c r="F1124" s="3" t="s">
        <v>68</v>
      </c>
      <c r="G1124">
        <v>10</v>
      </c>
      <c r="H1124" s="4">
        <v>6</v>
      </c>
      <c r="I1124" s="4">
        <v>29</v>
      </c>
      <c r="J1124" s="4" t="s">
        <v>8</v>
      </c>
      <c r="K1124" s="4" t="s">
        <v>14</v>
      </c>
      <c r="L1124" s="11"/>
      <c r="M1124" s="3"/>
      <c r="N1124"/>
      <c r="O1124" s="4"/>
      <c r="P1124" s="1"/>
      <c r="Q1124" s="22"/>
      <c r="R1124"/>
      <c r="S1124" s="11"/>
      <c r="T1124" t="s">
        <v>70</v>
      </c>
      <c r="U1124"/>
      <c r="V1124" s="1"/>
      <c r="W1124" s="1"/>
    </row>
    <row r="1125" spans="2:23" x14ac:dyDescent="0.35">
      <c r="B1125" s="4">
        <v>30039722</v>
      </c>
      <c r="C1125" s="1" t="s">
        <v>663</v>
      </c>
      <c r="D1125" s="4" t="s">
        <v>86</v>
      </c>
      <c r="E1125" s="3"/>
      <c r="F1125" s="3" t="s">
        <v>68</v>
      </c>
      <c r="G1125">
        <v>8</v>
      </c>
      <c r="H1125" s="4">
        <v>8</v>
      </c>
      <c r="I1125" s="4">
        <v>29</v>
      </c>
      <c r="J1125" s="4" t="s">
        <v>8</v>
      </c>
      <c r="K1125" s="4" t="s">
        <v>14</v>
      </c>
      <c r="L1125" s="11"/>
      <c r="M1125" s="3"/>
      <c r="N1125"/>
      <c r="O1125" s="4"/>
      <c r="P1125" s="1"/>
      <c r="Q1125" s="22"/>
      <c r="R1125"/>
      <c r="S1125" s="11"/>
      <c r="T1125" t="s">
        <v>70</v>
      </c>
      <c r="U1125"/>
      <c r="V1125" s="1"/>
      <c r="W1125" s="1"/>
    </row>
    <row r="1126" spans="2:23" x14ac:dyDescent="0.35">
      <c r="B1126" s="4">
        <v>30039723</v>
      </c>
      <c r="C1126" s="1" t="s">
        <v>664</v>
      </c>
      <c r="D1126" s="4" t="s">
        <v>86</v>
      </c>
      <c r="E1126" s="3"/>
      <c r="F1126" s="3" t="s">
        <v>68</v>
      </c>
      <c r="G1126">
        <v>15</v>
      </c>
      <c r="H1126" s="4">
        <v>20</v>
      </c>
      <c r="I1126" s="4">
        <v>31</v>
      </c>
      <c r="J1126" s="4" t="s">
        <v>8</v>
      </c>
      <c r="K1126" s="4" t="s">
        <v>7</v>
      </c>
      <c r="L1126" s="11"/>
      <c r="M1126" s="3"/>
      <c r="N1126"/>
      <c r="O1126" s="4"/>
      <c r="P1126" s="1"/>
      <c r="Q1126" s="22"/>
      <c r="R1126"/>
      <c r="S1126" s="11"/>
      <c r="T1126" t="s">
        <v>70</v>
      </c>
      <c r="U1126"/>
      <c r="V1126" s="1"/>
      <c r="W1126" s="1"/>
    </row>
    <row r="1127" spans="2:23" x14ac:dyDescent="0.35">
      <c r="B1127" s="4">
        <v>30039724</v>
      </c>
      <c r="C1127" s="1" t="s">
        <v>665</v>
      </c>
      <c r="D1127" s="4" t="s">
        <v>86</v>
      </c>
      <c r="E1127" s="3"/>
      <c r="F1127" s="3" t="s">
        <v>68</v>
      </c>
      <c r="G1127">
        <v>15</v>
      </c>
      <c r="H1127" s="4">
        <v>20</v>
      </c>
      <c r="I1127" s="4">
        <v>32</v>
      </c>
      <c r="J1127" s="4" t="s">
        <v>8</v>
      </c>
      <c r="K1127" s="4" t="s">
        <v>7</v>
      </c>
      <c r="L1127" s="11"/>
      <c r="M1127" s="3"/>
      <c r="N1127"/>
      <c r="O1127" s="4"/>
      <c r="P1127" s="1"/>
      <c r="Q1127" s="22"/>
      <c r="R1127"/>
      <c r="S1127" s="11"/>
      <c r="T1127" t="s">
        <v>70</v>
      </c>
      <c r="U1127"/>
      <c r="V1127" s="1"/>
      <c r="W1127" s="1"/>
    </row>
    <row r="1128" spans="2:23" x14ac:dyDescent="0.35">
      <c r="B1128" s="4">
        <v>30039725</v>
      </c>
      <c r="C1128" s="1" t="s">
        <v>666</v>
      </c>
      <c r="D1128" s="4" t="s">
        <v>86</v>
      </c>
      <c r="E1128" s="3"/>
      <c r="F1128" s="3" t="s">
        <v>68</v>
      </c>
      <c r="G1128">
        <v>8</v>
      </c>
      <c r="H1128" s="4">
        <v>8</v>
      </c>
      <c r="I1128" s="4">
        <v>32</v>
      </c>
      <c r="J1128" s="4" t="s">
        <v>8</v>
      </c>
      <c r="K1128" s="4" t="s">
        <v>14</v>
      </c>
      <c r="L1128" s="11"/>
      <c r="M1128" s="3"/>
      <c r="N1128"/>
      <c r="O1128" s="4"/>
      <c r="P1128" s="1"/>
      <c r="Q1128" s="22"/>
      <c r="R1128"/>
      <c r="S1128" s="11"/>
      <c r="T1128" t="s">
        <v>70</v>
      </c>
      <c r="U1128"/>
      <c r="V1128" s="1"/>
      <c r="W1128" s="1"/>
    </row>
    <row r="1129" spans="2:23" x14ac:dyDescent="0.35">
      <c r="B1129" s="4">
        <v>30039857</v>
      </c>
      <c r="C1129" s="1" t="s">
        <v>667</v>
      </c>
      <c r="D1129" s="4" t="s">
        <v>86</v>
      </c>
      <c r="E1129" s="3"/>
      <c r="F1129" s="3" t="s">
        <v>68</v>
      </c>
      <c r="G1129">
        <v>30</v>
      </c>
      <c r="H1129" s="4">
        <v>50</v>
      </c>
      <c r="I1129" s="4">
        <v>185</v>
      </c>
      <c r="J1129" s="4" t="s">
        <v>8</v>
      </c>
      <c r="K1129" s="4" t="s">
        <v>14</v>
      </c>
      <c r="L1129" s="11"/>
      <c r="M1129" s="3"/>
      <c r="N1129"/>
      <c r="O1129" s="4"/>
      <c r="P1129" s="1"/>
      <c r="Q1129" s="22"/>
      <c r="R1129"/>
      <c r="S1129" s="11"/>
      <c r="T1129" t="s">
        <v>66</v>
      </c>
      <c r="U1129"/>
      <c r="V1129" s="1"/>
      <c r="W1129" s="1"/>
    </row>
    <row r="1130" spans="2:23" x14ac:dyDescent="0.35">
      <c r="B1130" s="4">
        <v>30040054</v>
      </c>
      <c r="C1130" s="1" t="s">
        <v>668</v>
      </c>
      <c r="D1130" s="4" t="s">
        <v>86</v>
      </c>
      <c r="E1130" s="3"/>
      <c r="F1130" s="3" t="s">
        <v>68</v>
      </c>
      <c r="G1130">
        <v>30</v>
      </c>
      <c r="H1130" s="4">
        <v>50</v>
      </c>
      <c r="I1130" s="4">
        <v>61</v>
      </c>
      <c r="J1130" s="4" t="s">
        <v>8</v>
      </c>
      <c r="K1130" s="4" t="s">
        <v>7</v>
      </c>
      <c r="L1130" s="11"/>
      <c r="M1130" s="3"/>
      <c r="N1130"/>
      <c r="O1130" s="4"/>
      <c r="P1130" s="1"/>
      <c r="Q1130" s="22"/>
      <c r="R1130"/>
      <c r="S1130" s="11"/>
      <c r="T1130" t="s">
        <v>1603</v>
      </c>
      <c r="U1130"/>
      <c r="V1130" s="1"/>
      <c r="W1130" s="1"/>
    </row>
    <row r="1131" spans="2:23" x14ac:dyDescent="0.35">
      <c r="B1131" s="4">
        <v>30040061</v>
      </c>
      <c r="C1131" s="1" t="s">
        <v>669</v>
      </c>
      <c r="D1131" s="4" t="s">
        <v>86</v>
      </c>
      <c r="E1131" s="3"/>
      <c r="F1131" s="3" t="s">
        <v>68</v>
      </c>
      <c r="G1131">
        <v>10</v>
      </c>
      <c r="H1131" s="4">
        <v>10</v>
      </c>
      <c r="I1131" s="4">
        <v>13</v>
      </c>
      <c r="J1131" s="4" t="s">
        <v>8</v>
      </c>
      <c r="K1131" s="4" t="s">
        <v>7</v>
      </c>
      <c r="L1131" s="11"/>
      <c r="M1131" s="3"/>
      <c r="N1131"/>
      <c r="O1131" s="4"/>
      <c r="P1131" s="1"/>
      <c r="Q1131" s="22"/>
      <c r="R1131"/>
      <c r="S1131" s="11"/>
      <c r="T1131" t="s">
        <v>70</v>
      </c>
      <c r="U1131"/>
      <c r="V1131" s="1"/>
      <c r="W1131" s="1"/>
    </row>
    <row r="1132" spans="2:23" x14ac:dyDescent="0.35">
      <c r="B1132" s="4">
        <v>30040066</v>
      </c>
      <c r="C1132" s="1" t="s">
        <v>670</v>
      </c>
      <c r="D1132" s="4" t="s">
        <v>86</v>
      </c>
      <c r="E1132" s="3"/>
      <c r="F1132" s="3" t="s">
        <v>68</v>
      </c>
      <c r="G1132">
        <v>2</v>
      </c>
      <c r="H1132" s="4">
        <v>2</v>
      </c>
      <c r="I1132" s="4">
        <v>2</v>
      </c>
      <c r="J1132" s="4" t="s">
        <v>8</v>
      </c>
      <c r="K1132" s="4" t="s">
        <v>7</v>
      </c>
      <c r="L1132" s="11"/>
      <c r="M1132" s="3"/>
      <c r="N1132"/>
      <c r="O1132" s="4"/>
      <c r="P1132" s="1"/>
      <c r="Q1132" s="22"/>
      <c r="R1132"/>
      <c r="S1132" s="11"/>
      <c r="T1132" t="s">
        <v>70</v>
      </c>
      <c r="U1132"/>
      <c r="V1132" s="1"/>
      <c r="W1132" s="1"/>
    </row>
    <row r="1133" spans="2:23" x14ac:dyDescent="0.35">
      <c r="B1133" s="4">
        <v>30040334</v>
      </c>
      <c r="C1133" s="1" t="s">
        <v>671</v>
      </c>
      <c r="D1133" s="4" t="s">
        <v>86</v>
      </c>
      <c r="E1133" s="3"/>
      <c r="F1133" s="3" t="s">
        <v>68</v>
      </c>
      <c r="G1133">
        <v>2</v>
      </c>
      <c r="H1133" s="4">
        <v>2</v>
      </c>
      <c r="I1133" s="4">
        <v>4</v>
      </c>
      <c r="J1133" s="4" t="s">
        <v>8</v>
      </c>
      <c r="K1133" s="4" t="s">
        <v>7</v>
      </c>
      <c r="L1133" s="11"/>
      <c r="M1133" s="3"/>
      <c r="N1133"/>
      <c r="O1133" s="4"/>
      <c r="P1133" s="1"/>
      <c r="Q1133" s="22"/>
      <c r="R1133"/>
      <c r="S1133" s="11"/>
      <c r="T1133" t="s">
        <v>71</v>
      </c>
      <c r="U1133"/>
      <c r="V1133" s="1"/>
      <c r="W1133" s="1"/>
    </row>
    <row r="1134" spans="2:23" x14ac:dyDescent="0.35">
      <c r="B1134" s="4">
        <v>30040335</v>
      </c>
      <c r="C1134" s="1" t="s">
        <v>672</v>
      </c>
      <c r="D1134" s="4" t="s">
        <v>86</v>
      </c>
      <c r="E1134" s="3"/>
      <c r="F1134" s="3" t="s">
        <v>68</v>
      </c>
      <c r="G1134">
        <v>6</v>
      </c>
      <c r="H1134" s="4">
        <v>10</v>
      </c>
      <c r="I1134" s="4">
        <v>12</v>
      </c>
      <c r="J1134" s="4" t="s">
        <v>8</v>
      </c>
      <c r="K1134" s="4" t="s">
        <v>7</v>
      </c>
      <c r="L1134" s="11"/>
      <c r="M1134" s="3"/>
      <c r="N1134"/>
      <c r="O1134" s="4"/>
      <c r="P1134" s="1"/>
      <c r="Q1134" s="22"/>
      <c r="R1134"/>
      <c r="S1134" s="11"/>
      <c r="T1134" t="s">
        <v>71</v>
      </c>
      <c r="U1134"/>
      <c r="V1134" s="1"/>
      <c r="W1134" s="1"/>
    </row>
    <row r="1135" spans="2:23" x14ac:dyDescent="0.35">
      <c r="B1135" s="4">
        <v>30040399</v>
      </c>
      <c r="C1135" s="1" t="s">
        <v>673</v>
      </c>
      <c r="D1135" s="4" t="s">
        <v>86</v>
      </c>
      <c r="E1135" s="3"/>
      <c r="F1135" s="3" t="s">
        <v>68</v>
      </c>
      <c r="G1135">
        <v>2</v>
      </c>
      <c r="H1135" s="4">
        <v>2</v>
      </c>
      <c r="I1135" s="4">
        <v>10</v>
      </c>
      <c r="J1135" s="4" t="s">
        <v>8</v>
      </c>
      <c r="K1135" s="4" t="s">
        <v>14</v>
      </c>
      <c r="L1135" s="11"/>
      <c r="M1135" s="3"/>
      <c r="N1135"/>
      <c r="O1135" s="4"/>
      <c r="P1135" s="1"/>
      <c r="Q1135" s="22"/>
      <c r="R1135"/>
      <c r="S1135" s="11"/>
      <c r="T1135" t="s">
        <v>67</v>
      </c>
      <c r="U1135"/>
      <c r="V1135" s="1"/>
      <c r="W1135" s="1"/>
    </row>
    <row r="1136" spans="2:23" x14ac:dyDescent="0.35">
      <c r="B1136" s="4">
        <v>30040401</v>
      </c>
      <c r="C1136" s="1" t="s">
        <v>674</v>
      </c>
      <c r="D1136" s="4" t="s">
        <v>86</v>
      </c>
      <c r="E1136" s="3"/>
      <c r="F1136" s="3" t="s">
        <v>68</v>
      </c>
      <c r="G1136">
        <v>2</v>
      </c>
      <c r="H1136" s="4">
        <v>3</v>
      </c>
      <c r="I1136" s="4">
        <v>4</v>
      </c>
      <c r="J1136" s="4" t="s">
        <v>8</v>
      </c>
      <c r="K1136" s="4" t="s">
        <v>7</v>
      </c>
      <c r="L1136" s="11"/>
      <c r="M1136" s="3"/>
      <c r="N1136"/>
      <c r="O1136" s="4"/>
      <c r="P1136" s="1"/>
      <c r="Q1136" s="22"/>
      <c r="R1136"/>
      <c r="S1136" s="11"/>
      <c r="T1136" t="s">
        <v>70</v>
      </c>
      <c r="U1136"/>
      <c r="V1136" s="1"/>
      <c r="W1136" s="1"/>
    </row>
    <row r="1137" spans="2:23" x14ac:dyDescent="0.35">
      <c r="B1137" s="4">
        <v>30040531</v>
      </c>
      <c r="C1137" s="1" t="s">
        <v>675</v>
      </c>
      <c r="D1137" s="4" t="s">
        <v>86</v>
      </c>
      <c r="E1137" s="3"/>
      <c r="F1137" s="3" t="s">
        <v>68</v>
      </c>
      <c r="G1137">
        <v>2</v>
      </c>
      <c r="H1137" s="4">
        <v>2</v>
      </c>
      <c r="I1137" s="4">
        <v>25</v>
      </c>
      <c r="J1137" s="4" t="s">
        <v>8</v>
      </c>
      <c r="K1137" s="4" t="s">
        <v>14</v>
      </c>
      <c r="L1137" s="11"/>
      <c r="M1137" s="3"/>
      <c r="N1137"/>
      <c r="O1137" s="4"/>
      <c r="P1137" s="1"/>
      <c r="Q1137" s="22"/>
      <c r="R1137"/>
      <c r="S1137" s="11"/>
      <c r="T1137" t="s">
        <v>70</v>
      </c>
      <c r="U1137"/>
      <c r="V1137" s="1"/>
      <c r="W1137" s="1"/>
    </row>
    <row r="1138" spans="2:23" x14ac:dyDescent="0.35">
      <c r="B1138" s="4">
        <v>30040533</v>
      </c>
      <c r="C1138" s="1" t="s">
        <v>676</v>
      </c>
      <c r="D1138" s="4" t="s">
        <v>86</v>
      </c>
      <c r="E1138" s="3"/>
      <c r="F1138" s="3" t="s">
        <v>68</v>
      </c>
      <c r="G1138">
        <v>2</v>
      </c>
      <c r="H1138" s="4">
        <v>2</v>
      </c>
      <c r="I1138" s="4">
        <v>2</v>
      </c>
      <c r="J1138" s="4" t="s">
        <v>8</v>
      </c>
      <c r="K1138" s="4" t="s">
        <v>7</v>
      </c>
      <c r="L1138" s="11"/>
      <c r="M1138" s="3"/>
      <c r="N1138"/>
      <c r="O1138" s="4"/>
      <c r="P1138" s="1"/>
      <c r="Q1138" s="22"/>
      <c r="R1138"/>
      <c r="S1138" s="11"/>
      <c r="T1138" t="s">
        <v>70</v>
      </c>
      <c r="U1138"/>
      <c r="V1138" s="1"/>
      <c r="W1138" s="1"/>
    </row>
    <row r="1139" spans="2:23" x14ac:dyDescent="0.35">
      <c r="B1139" s="4">
        <v>30040586</v>
      </c>
      <c r="C1139" s="1" t="s">
        <v>59</v>
      </c>
      <c r="D1139" s="4" t="s">
        <v>86</v>
      </c>
      <c r="E1139" s="3"/>
      <c r="F1139" s="3" t="s">
        <v>68</v>
      </c>
      <c r="G1139">
        <v>5</v>
      </c>
      <c r="H1139" s="4">
        <v>4</v>
      </c>
      <c r="I1139" s="4">
        <v>6</v>
      </c>
      <c r="J1139" s="4" t="s">
        <v>8</v>
      </c>
      <c r="K1139" s="4" t="s">
        <v>7</v>
      </c>
      <c r="L1139" s="11"/>
      <c r="M1139" s="3"/>
      <c r="N1139"/>
      <c r="O1139" s="4"/>
      <c r="P1139" s="1"/>
      <c r="Q1139" s="22"/>
      <c r="R1139"/>
      <c r="S1139" s="11"/>
      <c r="T1139" t="s">
        <v>70</v>
      </c>
      <c r="U1139"/>
      <c r="V1139" s="1"/>
      <c r="W1139" s="1"/>
    </row>
    <row r="1140" spans="2:23" x14ac:dyDescent="0.35">
      <c r="B1140" s="4">
        <v>30040587</v>
      </c>
      <c r="C1140" s="1" t="s">
        <v>60</v>
      </c>
      <c r="D1140" s="4" t="s">
        <v>86</v>
      </c>
      <c r="E1140" s="3"/>
      <c r="F1140" s="3" t="s">
        <v>68</v>
      </c>
      <c r="G1140">
        <v>5</v>
      </c>
      <c r="H1140" s="4">
        <v>4</v>
      </c>
      <c r="I1140" s="4">
        <v>7</v>
      </c>
      <c r="J1140" s="4" t="s">
        <v>8</v>
      </c>
      <c r="K1140" s="4" t="s">
        <v>7</v>
      </c>
      <c r="L1140" s="11"/>
      <c r="M1140" s="3"/>
      <c r="N1140"/>
      <c r="O1140" s="4"/>
      <c r="P1140" s="1"/>
      <c r="Q1140" s="22"/>
      <c r="R1140"/>
      <c r="S1140" s="11"/>
      <c r="T1140" t="s">
        <v>71</v>
      </c>
      <c r="U1140"/>
      <c r="V1140" s="1"/>
      <c r="W1140" s="1"/>
    </row>
    <row r="1141" spans="2:23" x14ac:dyDescent="0.35">
      <c r="B1141" s="4">
        <v>30040717</v>
      </c>
      <c r="C1141" s="1" t="s">
        <v>677</v>
      </c>
      <c r="D1141" s="4" t="s">
        <v>86</v>
      </c>
      <c r="E1141" s="3"/>
      <c r="F1141" s="3" t="s">
        <v>68</v>
      </c>
      <c r="G1141">
        <v>2</v>
      </c>
      <c r="H1141" s="4">
        <v>2</v>
      </c>
      <c r="I1141" s="4">
        <v>8</v>
      </c>
      <c r="J1141" s="4" t="s">
        <v>8</v>
      </c>
      <c r="K1141" s="4" t="s">
        <v>14</v>
      </c>
      <c r="L1141" s="11"/>
      <c r="M1141" s="3"/>
      <c r="N1141"/>
      <c r="O1141" s="4"/>
      <c r="P1141" s="1"/>
      <c r="Q1141" s="22"/>
      <c r="R1141"/>
      <c r="S1141" s="11"/>
      <c r="T1141" t="s">
        <v>70</v>
      </c>
      <c r="U1141"/>
      <c r="V1141" s="1"/>
      <c r="W1141" s="1"/>
    </row>
    <row r="1142" spans="2:23" x14ac:dyDescent="0.35">
      <c r="B1142" s="4">
        <v>30040761</v>
      </c>
      <c r="C1142" s="1" t="s">
        <v>678</v>
      </c>
      <c r="D1142" s="4" t="s">
        <v>86</v>
      </c>
      <c r="E1142" s="3"/>
      <c r="F1142" s="3" t="s">
        <v>68</v>
      </c>
      <c r="G1142">
        <v>3</v>
      </c>
      <c r="H1142" s="4">
        <v>5</v>
      </c>
      <c r="I1142" s="4">
        <v>17</v>
      </c>
      <c r="J1142" s="4" t="s">
        <v>8</v>
      </c>
      <c r="K1142" s="4" t="s">
        <v>14</v>
      </c>
      <c r="L1142" s="11"/>
      <c r="M1142" s="3"/>
      <c r="N1142"/>
      <c r="O1142" s="4"/>
      <c r="P1142" s="1"/>
      <c r="Q1142" s="22"/>
      <c r="R1142"/>
      <c r="S1142" s="11"/>
      <c r="T1142" t="s">
        <v>70</v>
      </c>
      <c r="U1142"/>
      <c r="V1142" s="1"/>
      <c r="W1142" s="1"/>
    </row>
    <row r="1143" spans="2:23" x14ac:dyDescent="0.35">
      <c r="B1143" s="4">
        <v>30040762</v>
      </c>
      <c r="C1143" s="1" t="s">
        <v>679</v>
      </c>
      <c r="D1143" s="4" t="s">
        <v>86</v>
      </c>
      <c r="E1143" s="3"/>
      <c r="F1143" s="3" t="s">
        <v>68</v>
      </c>
      <c r="G1143">
        <v>2</v>
      </c>
      <c r="H1143" s="4">
        <v>3</v>
      </c>
      <c r="I1143" s="4">
        <v>10</v>
      </c>
      <c r="J1143" s="4" t="s">
        <v>8</v>
      </c>
      <c r="K1143" s="4" t="s">
        <v>14</v>
      </c>
      <c r="L1143" s="11"/>
      <c r="M1143" s="3"/>
      <c r="N1143"/>
      <c r="O1143" s="4"/>
      <c r="P1143" s="1"/>
      <c r="Q1143" s="22"/>
      <c r="R1143"/>
      <c r="S1143" s="11"/>
      <c r="T1143" t="s">
        <v>70</v>
      </c>
      <c r="U1143"/>
      <c r="V1143" s="1"/>
      <c r="W1143" s="1"/>
    </row>
    <row r="1144" spans="2:23" x14ac:dyDescent="0.35">
      <c r="B1144" s="4">
        <v>30040974</v>
      </c>
      <c r="C1144" s="1" t="s">
        <v>680</v>
      </c>
      <c r="D1144" s="4" t="s">
        <v>86</v>
      </c>
      <c r="E1144" s="3"/>
      <c r="F1144" s="3" t="s">
        <v>68</v>
      </c>
      <c r="G1144">
        <v>15</v>
      </c>
      <c r="H1144" s="4">
        <v>25</v>
      </c>
      <c r="I1144" s="4">
        <v>15</v>
      </c>
      <c r="J1144" s="4" t="s">
        <v>8</v>
      </c>
      <c r="K1144" s="4" t="s">
        <v>7</v>
      </c>
      <c r="L1144" s="11"/>
      <c r="M1144" s="3"/>
      <c r="N1144"/>
      <c r="O1144" s="4"/>
      <c r="P1144" s="1"/>
      <c r="Q1144" s="22"/>
      <c r="R1144"/>
      <c r="S1144" s="11"/>
      <c r="T1144" t="s">
        <v>70</v>
      </c>
      <c r="U1144"/>
      <c r="V1144" s="1"/>
      <c r="W1144" s="1"/>
    </row>
    <row r="1145" spans="2:23" x14ac:dyDescent="0.35">
      <c r="B1145" s="4">
        <v>30040976</v>
      </c>
      <c r="C1145" s="1" t="s">
        <v>681</v>
      </c>
      <c r="D1145" s="4" t="s">
        <v>86</v>
      </c>
      <c r="E1145" s="3"/>
      <c r="F1145" s="3" t="s">
        <v>68</v>
      </c>
      <c r="G1145">
        <v>6</v>
      </c>
      <c r="H1145" s="4">
        <v>6</v>
      </c>
      <c r="I1145" s="4">
        <v>7</v>
      </c>
      <c r="J1145" s="4" t="s">
        <v>8</v>
      </c>
      <c r="K1145" s="4" t="s">
        <v>7</v>
      </c>
      <c r="L1145" s="11"/>
      <c r="M1145" s="3"/>
      <c r="N1145"/>
      <c r="O1145" s="4"/>
      <c r="P1145" s="1"/>
      <c r="Q1145" s="22"/>
      <c r="R1145"/>
      <c r="S1145" s="11"/>
      <c r="T1145" t="s">
        <v>70</v>
      </c>
      <c r="U1145"/>
      <c r="V1145" s="1"/>
      <c r="W1145" s="1"/>
    </row>
    <row r="1146" spans="2:23" x14ac:dyDescent="0.35">
      <c r="B1146" s="4">
        <v>30041021</v>
      </c>
      <c r="C1146" s="1" t="s">
        <v>682</v>
      </c>
      <c r="D1146" s="4" t="s">
        <v>86</v>
      </c>
      <c r="E1146" s="3"/>
      <c r="F1146" s="3" t="s">
        <v>68</v>
      </c>
      <c r="G1146">
        <v>2</v>
      </c>
      <c r="H1146" s="4">
        <v>2</v>
      </c>
      <c r="I1146" s="4">
        <v>2</v>
      </c>
      <c r="J1146" s="4" t="s">
        <v>8</v>
      </c>
      <c r="K1146" s="4" t="s">
        <v>7</v>
      </c>
      <c r="L1146" s="11"/>
      <c r="M1146" s="3"/>
      <c r="N1146"/>
      <c r="O1146" s="4"/>
      <c r="P1146" s="1"/>
      <c r="Q1146" s="22"/>
      <c r="R1146"/>
      <c r="S1146" s="11"/>
      <c r="T1146" t="s">
        <v>70</v>
      </c>
      <c r="U1146"/>
      <c r="V1146" s="1"/>
      <c r="W1146" s="1"/>
    </row>
    <row r="1147" spans="2:23" x14ac:dyDescent="0.35">
      <c r="B1147" s="4">
        <v>30041025</v>
      </c>
      <c r="C1147" s="1" t="s">
        <v>1539</v>
      </c>
      <c r="D1147" s="4" t="s">
        <v>86</v>
      </c>
      <c r="E1147" s="3"/>
      <c r="F1147" s="3" t="s">
        <v>68</v>
      </c>
      <c r="G1147">
        <v>2</v>
      </c>
      <c r="H1147" s="4">
        <v>1</v>
      </c>
      <c r="I1147" s="4">
        <v>2</v>
      </c>
      <c r="J1147" s="4" t="s">
        <v>8</v>
      </c>
      <c r="K1147" s="4" t="s">
        <v>7</v>
      </c>
      <c r="L1147" s="11"/>
      <c r="M1147" s="3"/>
      <c r="N1147"/>
      <c r="O1147" s="4"/>
      <c r="P1147" s="1"/>
      <c r="Q1147" s="22"/>
      <c r="R1147"/>
      <c r="S1147" s="11"/>
      <c r="T1147" t="s">
        <v>70</v>
      </c>
      <c r="U1147"/>
      <c r="V1147" s="1"/>
      <c r="W1147" s="1"/>
    </row>
    <row r="1148" spans="2:23" x14ac:dyDescent="0.35">
      <c r="B1148" s="4">
        <v>30041026</v>
      </c>
      <c r="C1148" s="1" t="s">
        <v>1540</v>
      </c>
      <c r="D1148" s="4" t="s">
        <v>86</v>
      </c>
      <c r="E1148" s="3"/>
      <c r="F1148" s="3" t="s">
        <v>68</v>
      </c>
      <c r="G1148">
        <v>10</v>
      </c>
      <c r="H1148" s="4">
        <v>5</v>
      </c>
      <c r="I1148" s="4">
        <v>15</v>
      </c>
      <c r="J1148" s="4" t="s">
        <v>8</v>
      </c>
      <c r="K1148" s="4" t="s">
        <v>7</v>
      </c>
      <c r="L1148" s="11"/>
      <c r="M1148" s="3"/>
      <c r="N1148"/>
      <c r="O1148" s="4"/>
      <c r="P1148" s="1"/>
      <c r="Q1148" s="22"/>
      <c r="R1148"/>
      <c r="S1148" s="11"/>
      <c r="T1148" t="s">
        <v>70</v>
      </c>
      <c r="U1148"/>
      <c r="V1148" s="1"/>
      <c r="W1148" s="1"/>
    </row>
    <row r="1149" spans="2:23" x14ac:dyDescent="0.35">
      <c r="B1149" s="4">
        <v>30041335</v>
      </c>
      <c r="C1149" s="1" t="s">
        <v>1523</v>
      </c>
      <c r="D1149" s="4" t="s">
        <v>86</v>
      </c>
      <c r="E1149" s="3"/>
      <c r="F1149" s="3" t="s">
        <v>68</v>
      </c>
      <c r="G1149">
        <v>4</v>
      </c>
      <c r="H1149" s="4">
        <v>2</v>
      </c>
      <c r="I1149" s="4">
        <v>4</v>
      </c>
      <c r="J1149" s="4" t="s">
        <v>8</v>
      </c>
      <c r="K1149" s="4" t="s">
        <v>7</v>
      </c>
      <c r="L1149" s="11"/>
      <c r="M1149" s="3"/>
      <c r="N1149"/>
      <c r="O1149" s="4"/>
      <c r="P1149" s="1"/>
      <c r="Q1149" s="22"/>
      <c r="R1149"/>
      <c r="S1149" s="11"/>
      <c r="T1149" t="s">
        <v>67</v>
      </c>
      <c r="U1149"/>
      <c r="V1149" s="1"/>
      <c r="W1149" s="1"/>
    </row>
    <row r="1150" spans="2:23" x14ac:dyDescent="0.35">
      <c r="B1150" s="4">
        <v>30041344</v>
      </c>
      <c r="C1150" s="1" t="s">
        <v>684</v>
      </c>
      <c r="D1150" s="4" t="s">
        <v>86</v>
      </c>
      <c r="E1150" s="3"/>
      <c r="F1150" s="3" t="s">
        <v>68</v>
      </c>
      <c r="G1150">
        <v>2</v>
      </c>
      <c r="H1150" s="4">
        <v>3</v>
      </c>
      <c r="I1150" s="4">
        <v>7</v>
      </c>
      <c r="J1150" s="4" t="s">
        <v>8</v>
      </c>
      <c r="K1150" s="4" t="s">
        <v>14</v>
      </c>
      <c r="L1150" s="11"/>
      <c r="M1150" s="3"/>
      <c r="N1150"/>
      <c r="O1150" s="4"/>
      <c r="P1150" s="1"/>
      <c r="Q1150" s="22"/>
      <c r="R1150"/>
      <c r="S1150" s="11"/>
      <c r="T1150" t="s">
        <v>70</v>
      </c>
      <c r="U1150"/>
      <c r="V1150" s="1"/>
      <c r="W1150" s="1"/>
    </row>
    <row r="1151" spans="2:23" x14ac:dyDescent="0.35">
      <c r="B1151" s="4">
        <v>30041725</v>
      </c>
      <c r="C1151" s="1" t="s">
        <v>685</v>
      </c>
      <c r="D1151" s="4" t="s">
        <v>86</v>
      </c>
      <c r="E1151" s="3"/>
      <c r="F1151" s="3" t="s">
        <v>68</v>
      </c>
      <c r="G1151">
        <v>2</v>
      </c>
      <c r="H1151" s="4">
        <v>2</v>
      </c>
      <c r="I1151" s="4">
        <v>1</v>
      </c>
      <c r="J1151" s="4" t="s">
        <v>8</v>
      </c>
      <c r="K1151" s="4" t="s">
        <v>9</v>
      </c>
      <c r="L1151" s="11">
        <v>1002703441</v>
      </c>
      <c r="M1151" s="3">
        <v>2</v>
      </c>
      <c r="N1151"/>
      <c r="O1151" s="4"/>
      <c r="P1151" s="1"/>
      <c r="Q1151" s="22"/>
      <c r="R1151"/>
      <c r="S1151" s="11"/>
      <c r="T1151" t="s">
        <v>70</v>
      </c>
      <c r="U1151"/>
      <c r="V1151" s="1"/>
      <c r="W1151" s="1"/>
    </row>
    <row r="1152" spans="2:23" x14ac:dyDescent="0.35">
      <c r="B1152" s="4">
        <v>30041726</v>
      </c>
      <c r="C1152" s="1" t="s">
        <v>686</v>
      </c>
      <c r="D1152" s="4" t="s">
        <v>86</v>
      </c>
      <c r="E1152" s="3"/>
      <c r="F1152" s="3" t="s">
        <v>68</v>
      </c>
      <c r="G1152">
        <v>2</v>
      </c>
      <c r="H1152" s="4">
        <v>3</v>
      </c>
      <c r="I1152" s="4">
        <v>3</v>
      </c>
      <c r="J1152" s="4" t="s">
        <v>8</v>
      </c>
      <c r="K1152" s="4" t="s">
        <v>7</v>
      </c>
      <c r="L1152" s="11"/>
      <c r="M1152" s="3"/>
      <c r="N1152"/>
      <c r="O1152" s="4"/>
      <c r="P1152" s="1"/>
      <c r="Q1152" s="22"/>
      <c r="R1152"/>
      <c r="S1152" s="11"/>
      <c r="T1152" t="s">
        <v>70</v>
      </c>
      <c r="U1152"/>
      <c r="V1152" s="1"/>
      <c r="W1152" s="1"/>
    </row>
    <row r="1153" spans="2:23" x14ac:dyDescent="0.35">
      <c r="B1153" s="4">
        <v>30041727</v>
      </c>
      <c r="C1153" s="1" t="s">
        <v>687</v>
      </c>
      <c r="D1153" s="4" t="s">
        <v>86</v>
      </c>
      <c r="E1153" s="3"/>
      <c r="F1153" s="3" t="s">
        <v>68</v>
      </c>
      <c r="G1153">
        <v>2</v>
      </c>
      <c r="H1153" s="4">
        <v>3</v>
      </c>
      <c r="I1153" s="4">
        <v>3</v>
      </c>
      <c r="J1153" s="4" t="s">
        <v>8</v>
      </c>
      <c r="K1153" s="4" t="s">
        <v>7</v>
      </c>
      <c r="L1153" s="11"/>
      <c r="M1153" s="3"/>
      <c r="N1153"/>
      <c r="O1153" s="4"/>
      <c r="P1153" s="1"/>
      <c r="Q1153" s="22"/>
      <c r="R1153"/>
      <c r="S1153" s="11"/>
      <c r="T1153" t="s">
        <v>70</v>
      </c>
      <c r="U1153"/>
      <c r="V1153" s="1"/>
      <c r="W1153" s="1"/>
    </row>
    <row r="1154" spans="2:23" x14ac:dyDescent="0.35">
      <c r="B1154" s="4">
        <v>30041798</v>
      </c>
      <c r="C1154" s="1" t="s">
        <v>688</v>
      </c>
      <c r="D1154" s="4" t="s">
        <v>86</v>
      </c>
      <c r="E1154" s="3"/>
      <c r="F1154" s="3" t="s">
        <v>68</v>
      </c>
      <c r="G1154">
        <v>10</v>
      </c>
      <c r="H1154" s="4">
        <v>15</v>
      </c>
      <c r="I1154" s="4">
        <v>22</v>
      </c>
      <c r="J1154" s="4" t="s">
        <v>8</v>
      </c>
      <c r="K1154" s="4" t="s">
        <v>7</v>
      </c>
      <c r="L1154" s="11"/>
      <c r="M1154" s="3"/>
      <c r="N1154"/>
      <c r="O1154" s="4"/>
      <c r="P1154" s="1"/>
      <c r="Q1154" s="22"/>
      <c r="R1154"/>
      <c r="S1154" s="11"/>
      <c r="T1154" t="s">
        <v>1603</v>
      </c>
      <c r="U1154"/>
      <c r="V1154" s="1"/>
      <c r="W1154" s="1"/>
    </row>
    <row r="1155" spans="2:23" x14ac:dyDescent="0.35">
      <c r="B1155" s="4">
        <v>30041812</v>
      </c>
      <c r="C1155" s="1" t="s">
        <v>689</v>
      </c>
      <c r="D1155" s="4" t="s">
        <v>86</v>
      </c>
      <c r="E1155" s="3"/>
      <c r="F1155" s="3" t="s">
        <v>68</v>
      </c>
      <c r="G1155">
        <v>12</v>
      </c>
      <c r="H1155" s="4">
        <v>20</v>
      </c>
      <c r="I1155" s="4">
        <v>47</v>
      </c>
      <c r="J1155" s="4" t="s">
        <v>8</v>
      </c>
      <c r="K1155" s="4" t="s">
        <v>14</v>
      </c>
      <c r="L1155" s="11"/>
      <c r="M1155" s="3"/>
      <c r="N1155"/>
      <c r="O1155" s="4"/>
      <c r="P1155" s="1"/>
      <c r="Q1155" s="22"/>
      <c r="R1155"/>
      <c r="S1155" s="11"/>
      <c r="T1155" t="s">
        <v>67</v>
      </c>
      <c r="U1155"/>
      <c r="V1155" s="1"/>
      <c r="W1155" s="1"/>
    </row>
    <row r="1156" spans="2:23" x14ac:dyDescent="0.35">
      <c r="B1156" s="4">
        <v>30042073</v>
      </c>
      <c r="C1156" s="1" t="s">
        <v>690</v>
      </c>
      <c r="D1156" s="4" t="s">
        <v>86</v>
      </c>
      <c r="E1156" s="3"/>
      <c r="F1156" s="3" t="s">
        <v>68</v>
      </c>
      <c r="G1156">
        <v>1</v>
      </c>
      <c r="H1156" s="4">
        <v>1</v>
      </c>
      <c r="I1156" s="4">
        <v>1</v>
      </c>
      <c r="J1156" s="4" t="s">
        <v>8</v>
      </c>
      <c r="K1156" s="4" t="s">
        <v>7</v>
      </c>
      <c r="L1156" s="11"/>
      <c r="M1156" s="3"/>
      <c r="N1156"/>
      <c r="O1156" s="4"/>
      <c r="P1156" s="1"/>
      <c r="Q1156" s="22"/>
      <c r="R1156"/>
      <c r="S1156" s="11"/>
      <c r="T1156" t="s">
        <v>70</v>
      </c>
      <c r="U1156"/>
      <c r="V1156" s="1"/>
      <c r="W1156" s="1"/>
    </row>
    <row r="1157" spans="2:23" x14ac:dyDescent="0.35">
      <c r="B1157" s="4">
        <v>30042134</v>
      </c>
      <c r="C1157" s="1" t="s">
        <v>1260</v>
      </c>
      <c r="D1157" s="4" t="s">
        <v>86</v>
      </c>
      <c r="E1157" s="3" t="s">
        <v>1225</v>
      </c>
      <c r="F1157" s="3" t="s">
        <v>102</v>
      </c>
      <c r="G1157">
        <v>4</v>
      </c>
      <c r="H1157" s="4">
        <v>3</v>
      </c>
      <c r="I1157" s="4">
        <v>5</v>
      </c>
      <c r="J1157" s="4" t="s">
        <v>8</v>
      </c>
      <c r="K1157" s="4" t="s">
        <v>7</v>
      </c>
      <c r="L1157" s="11"/>
      <c r="M1157" s="3"/>
      <c r="N1157"/>
      <c r="O1157" s="4"/>
      <c r="P1157" s="1"/>
      <c r="Q1157" s="22"/>
      <c r="R1157"/>
      <c r="S1157" s="11"/>
      <c r="T1157" t="s">
        <v>71</v>
      </c>
      <c r="U1157"/>
      <c r="V1157" s="1"/>
      <c r="W1157" s="1"/>
    </row>
    <row r="1158" spans="2:23" x14ac:dyDescent="0.35">
      <c r="B1158" s="4">
        <v>30042139</v>
      </c>
      <c r="C1158" s="1" t="s">
        <v>691</v>
      </c>
      <c r="D1158" s="4" t="s">
        <v>86</v>
      </c>
      <c r="E1158" s="3"/>
      <c r="F1158" s="3" t="s">
        <v>68</v>
      </c>
      <c r="G1158">
        <v>5</v>
      </c>
      <c r="H1158" s="4">
        <v>8</v>
      </c>
      <c r="I1158" s="4">
        <v>134</v>
      </c>
      <c r="J1158" s="4" t="s">
        <v>8</v>
      </c>
      <c r="K1158" s="4" t="s">
        <v>14</v>
      </c>
      <c r="L1158" s="11"/>
      <c r="M1158" s="3"/>
      <c r="N1158"/>
      <c r="O1158" s="4"/>
      <c r="P1158" s="1"/>
      <c r="Q1158" s="22"/>
      <c r="R1158"/>
      <c r="S1158" s="11"/>
      <c r="T1158" t="s">
        <v>70</v>
      </c>
      <c r="U1158"/>
      <c r="V1158" s="1"/>
      <c r="W1158" s="1"/>
    </row>
    <row r="1159" spans="2:23" x14ac:dyDescent="0.35">
      <c r="B1159" s="4">
        <v>30042699</v>
      </c>
      <c r="C1159" s="1" t="s">
        <v>791</v>
      </c>
      <c r="D1159" s="4" t="s">
        <v>86</v>
      </c>
      <c r="E1159" s="3"/>
      <c r="F1159" s="3" t="s">
        <v>68</v>
      </c>
      <c r="G1159">
        <v>20</v>
      </c>
      <c r="H1159" s="4">
        <v>30</v>
      </c>
      <c r="I1159" s="4">
        <v>46</v>
      </c>
      <c r="J1159" s="4" t="s">
        <v>8</v>
      </c>
      <c r="K1159" s="4" t="s">
        <v>7</v>
      </c>
      <c r="L1159" s="11"/>
      <c r="M1159" s="3"/>
      <c r="N1159"/>
      <c r="O1159" s="4"/>
      <c r="P1159" s="1"/>
      <c r="Q1159" s="22"/>
      <c r="R1159"/>
      <c r="S1159" s="11"/>
      <c r="T1159" t="s">
        <v>66</v>
      </c>
      <c r="U1159"/>
      <c r="V1159" s="1"/>
      <c r="W1159" s="1"/>
    </row>
    <row r="1160" spans="2:23" x14ac:dyDescent="0.35">
      <c r="B1160" s="4">
        <v>30042701</v>
      </c>
      <c r="C1160" s="1" t="s">
        <v>692</v>
      </c>
      <c r="D1160" s="4" t="s">
        <v>86</v>
      </c>
      <c r="E1160" s="3"/>
      <c r="F1160" s="3" t="s">
        <v>68</v>
      </c>
      <c r="G1160">
        <v>4</v>
      </c>
      <c r="H1160" s="4">
        <v>10</v>
      </c>
      <c r="I1160" s="4">
        <v>5</v>
      </c>
      <c r="J1160" s="4" t="s">
        <v>8</v>
      </c>
      <c r="K1160" s="4" t="s">
        <v>7</v>
      </c>
      <c r="L1160" s="11"/>
      <c r="M1160" s="3"/>
      <c r="N1160"/>
      <c r="O1160" s="4"/>
      <c r="P1160" s="1"/>
      <c r="Q1160" s="22"/>
      <c r="R1160"/>
      <c r="S1160" s="11"/>
      <c r="T1160" t="s">
        <v>70</v>
      </c>
      <c r="U1160"/>
      <c r="V1160" s="1"/>
      <c r="W1160" s="1"/>
    </row>
    <row r="1161" spans="2:23" x14ac:dyDescent="0.35">
      <c r="B1161" s="4">
        <v>30042935</v>
      </c>
      <c r="C1161" s="1" t="s">
        <v>694</v>
      </c>
      <c r="D1161" s="4" t="s">
        <v>86</v>
      </c>
      <c r="E1161" s="3"/>
      <c r="F1161" s="3" t="s">
        <v>68</v>
      </c>
      <c r="G1161">
        <v>2</v>
      </c>
      <c r="H1161" s="4">
        <v>1</v>
      </c>
      <c r="I1161" s="4">
        <v>5</v>
      </c>
      <c r="J1161" s="4" t="s">
        <v>8</v>
      </c>
      <c r="K1161" s="4" t="s">
        <v>14</v>
      </c>
      <c r="L1161" s="11"/>
      <c r="M1161" s="3"/>
      <c r="N1161"/>
      <c r="O1161" s="4"/>
      <c r="P1161" s="1"/>
      <c r="Q1161" s="22"/>
      <c r="R1161"/>
      <c r="S1161" s="11"/>
      <c r="T1161" t="s">
        <v>70</v>
      </c>
      <c r="U1161"/>
      <c r="V1161" s="1"/>
      <c r="W1161" s="1"/>
    </row>
    <row r="1162" spans="2:23" x14ac:dyDescent="0.35">
      <c r="B1162" s="4">
        <v>30042937</v>
      </c>
      <c r="C1162" s="1" t="s">
        <v>1541</v>
      </c>
      <c r="D1162" s="4" t="s">
        <v>86</v>
      </c>
      <c r="E1162" s="75"/>
      <c r="F1162" s="3" t="s">
        <v>68</v>
      </c>
      <c r="G1162">
        <v>2</v>
      </c>
      <c r="H1162" s="4">
        <v>1</v>
      </c>
      <c r="I1162" s="4">
        <v>4</v>
      </c>
      <c r="J1162" s="4" t="s">
        <v>8</v>
      </c>
      <c r="K1162" s="4" t="s">
        <v>14</v>
      </c>
      <c r="L1162" s="11"/>
      <c r="M1162" s="3"/>
      <c r="N1162"/>
      <c r="O1162" s="4"/>
      <c r="P1162" s="1"/>
      <c r="Q1162" s="22"/>
      <c r="R1162"/>
      <c r="S1162" s="11"/>
      <c r="T1162" t="s">
        <v>70</v>
      </c>
      <c r="U1162"/>
      <c r="V1162" s="1"/>
      <c r="W1162" s="1"/>
    </row>
    <row r="1163" spans="2:23" x14ac:dyDescent="0.35">
      <c r="B1163" s="4">
        <v>30042938</v>
      </c>
      <c r="C1163" s="1" t="s">
        <v>695</v>
      </c>
      <c r="D1163" s="4" t="s">
        <v>86</v>
      </c>
      <c r="E1163" s="3"/>
      <c r="F1163" s="3" t="s">
        <v>68</v>
      </c>
      <c r="G1163">
        <v>2</v>
      </c>
      <c r="H1163" s="4">
        <v>1</v>
      </c>
      <c r="I1163" s="4">
        <v>5</v>
      </c>
      <c r="J1163" s="4" t="s">
        <v>8</v>
      </c>
      <c r="K1163" s="4" t="s">
        <v>14</v>
      </c>
      <c r="L1163" s="11"/>
      <c r="M1163" s="3"/>
      <c r="N1163"/>
      <c r="O1163" s="4"/>
      <c r="P1163" s="1"/>
      <c r="Q1163" s="22"/>
      <c r="R1163"/>
      <c r="S1163" s="11"/>
      <c r="T1163" t="s">
        <v>70</v>
      </c>
      <c r="U1163"/>
      <c r="V1163" s="1"/>
      <c r="W1163" s="1"/>
    </row>
    <row r="1164" spans="2:23" x14ac:dyDescent="0.35">
      <c r="B1164" s="4">
        <v>30042939</v>
      </c>
      <c r="C1164" s="1" t="s">
        <v>696</v>
      </c>
      <c r="D1164" s="4" t="s">
        <v>86</v>
      </c>
      <c r="E1164" s="3"/>
      <c r="F1164" s="3" t="s">
        <v>68</v>
      </c>
      <c r="G1164">
        <v>2</v>
      </c>
      <c r="H1164" s="4">
        <v>3</v>
      </c>
      <c r="I1164" s="4">
        <v>5</v>
      </c>
      <c r="J1164" s="4" t="s">
        <v>8</v>
      </c>
      <c r="K1164" s="4" t="s">
        <v>7</v>
      </c>
      <c r="L1164" s="11"/>
      <c r="M1164" s="3"/>
      <c r="N1164"/>
      <c r="O1164" s="4"/>
      <c r="P1164" s="1"/>
      <c r="Q1164" s="22"/>
      <c r="R1164"/>
      <c r="S1164" s="11"/>
      <c r="T1164" t="s">
        <v>70</v>
      </c>
      <c r="U1164"/>
      <c r="V1164" s="1"/>
      <c r="W1164" s="1"/>
    </row>
    <row r="1165" spans="2:23" x14ac:dyDescent="0.35">
      <c r="B1165" s="4">
        <v>30042940</v>
      </c>
      <c r="C1165" s="1" t="s">
        <v>1542</v>
      </c>
      <c r="D1165" s="4" t="s">
        <v>86</v>
      </c>
      <c r="E1165" s="3"/>
      <c r="F1165" s="3" t="s">
        <v>68</v>
      </c>
      <c r="G1165">
        <v>2</v>
      </c>
      <c r="H1165" s="4">
        <v>1</v>
      </c>
      <c r="I1165" s="4">
        <v>11</v>
      </c>
      <c r="J1165" s="4" t="s">
        <v>8</v>
      </c>
      <c r="K1165" s="4" t="s">
        <v>14</v>
      </c>
      <c r="L1165" s="11"/>
      <c r="M1165" s="3"/>
      <c r="N1165"/>
      <c r="O1165" s="4"/>
      <c r="P1165" s="1"/>
      <c r="Q1165" s="22"/>
      <c r="R1165"/>
      <c r="S1165" s="11"/>
      <c r="T1165" t="s">
        <v>70</v>
      </c>
      <c r="U1165"/>
      <c r="V1165" s="1"/>
      <c r="W1165" s="1"/>
    </row>
    <row r="1166" spans="2:23" x14ac:dyDescent="0.35">
      <c r="B1166" s="4">
        <v>30042942</v>
      </c>
      <c r="C1166" s="1" t="s">
        <v>1543</v>
      </c>
      <c r="D1166" s="4" t="s">
        <v>86</v>
      </c>
      <c r="E1166" s="3"/>
      <c r="F1166" s="3" t="s">
        <v>68</v>
      </c>
      <c r="G1166">
        <v>2</v>
      </c>
      <c r="H1166" s="4">
        <v>1</v>
      </c>
      <c r="I1166" s="4">
        <v>20</v>
      </c>
      <c r="J1166" s="4" t="s">
        <v>8</v>
      </c>
      <c r="K1166" s="4" t="s">
        <v>14</v>
      </c>
      <c r="L1166" s="11"/>
      <c r="M1166" s="3"/>
      <c r="N1166"/>
      <c r="O1166" s="4"/>
      <c r="P1166" s="1"/>
      <c r="Q1166" s="22"/>
      <c r="R1166"/>
      <c r="S1166" s="11"/>
      <c r="T1166" t="s">
        <v>70</v>
      </c>
      <c r="U1166"/>
      <c r="V1166" s="1"/>
      <c r="W1166" s="1"/>
    </row>
    <row r="1167" spans="2:23" x14ac:dyDescent="0.35">
      <c r="B1167" s="4">
        <v>30042943</v>
      </c>
      <c r="C1167" s="1" t="s">
        <v>61</v>
      </c>
      <c r="D1167" s="4" t="s">
        <v>86</v>
      </c>
      <c r="E1167" s="3"/>
      <c r="F1167" s="3" t="s">
        <v>68</v>
      </c>
      <c r="G1167">
        <v>2</v>
      </c>
      <c r="H1167" s="4">
        <v>1</v>
      </c>
      <c r="I1167" s="4">
        <v>28</v>
      </c>
      <c r="J1167" s="4" t="s">
        <v>8</v>
      </c>
      <c r="K1167" s="4" t="s">
        <v>14</v>
      </c>
      <c r="L1167" s="11"/>
      <c r="M1167" s="3"/>
      <c r="N1167"/>
      <c r="O1167" s="4"/>
      <c r="P1167" s="1"/>
      <c r="Q1167" s="22"/>
      <c r="R1167"/>
      <c r="S1167" s="11"/>
      <c r="T1167" t="s">
        <v>70</v>
      </c>
      <c r="U1167"/>
      <c r="V1167" s="1"/>
      <c r="W1167" s="1"/>
    </row>
    <row r="1168" spans="2:23" x14ac:dyDescent="0.35">
      <c r="B1168" s="4">
        <v>30042944</v>
      </c>
      <c r="C1168" s="1" t="s">
        <v>1269</v>
      </c>
      <c r="D1168" s="4" t="s">
        <v>86</v>
      </c>
      <c r="E1168" s="3"/>
      <c r="F1168" s="3" t="s">
        <v>68</v>
      </c>
      <c r="G1168">
        <v>5</v>
      </c>
      <c r="H1168" s="4">
        <v>3</v>
      </c>
      <c r="I1168" s="4">
        <v>10</v>
      </c>
      <c r="J1168" s="4" t="s">
        <v>8</v>
      </c>
      <c r="K1168" s="4" t="s">
        <v>14</v>
      </c>
      <c r="L1168" s="11"/>
      <c r="M1168" s="3"/>
      <c r="N1168"/>
      <c r="O1168" s="4"/>
      <c r="P1168" s="1"/>
      <c r="Q1168" s="22"/>
      <c r="R1168"/>
      <c r="S1168" s="11" t="s">
        <v>6891</v>
      </c>
      <c r="T1168" t="s">
        <v>70</v>
      </c>
      <c r="U1168"/>
      <c r="V1168" s="1"/>
      <c r="W1168" s="1"/>
    </row>
    <row r="1169" spans="2:23" x14ac:dyDescent="0.35">
      <c r="B1169" s="4">
        <v>30042945</v>
      </c>
      <c r="C1169" s="1" t="s">
        <v>697</v>
      </c>
      <c r="D1169" s="4" t="s">
        <v>86</v>
      </c>
      <c r="E1169" s="3"/>
      <c r="F1169" s="3" t="s">
        <v>68</v>
      </c>
      <c r="G1169">
        <v>2</v>
      </c>
      <c r="H1169" s="4">
        <v>3</v>
      </c>
      <c r="I1169" s="4">
        <v>8</v>
      </c>
      <c r="J1169" s="4" t="s">
        <v>8</v>
      </c>
      <c r="K1169" s="4" t="s">
        <v>14</v>
      </c>
      <c r="L1169" s="11"/>
      <c r="M1169" s="3"/>
      <c r="N1169"/>
      <c r="O1169" s="4"/>
      <c r="P1169" s="1"/>
      <c r="Q1169" s="22"/>
      <c r="R1169"/>
      <c r="S1169" s="11"/>
      <c r="T1169" t="s">
        <v>70</v>
      </c>
      <c r="U1169"/>
      <c r="V1169" s="1"/>
      <c r="W1169" s="1"/>
    </row>
    <row r="1170" spans="2:23" x14ac:dyDescent="0.35">
      <c r="B1170" s="4">
        <v>30042946</v>
      </c>
      <c r="C1170" s="1" t="s">
        <v>698</v>
      </c>
      <c r="D1170" s="4" t="s">
        <v>86</v>
      </c>
      <c r="E1170" s="3"/>
      <c r="F1170" s="3" t="s">
        <v>68</v>
      </c>
      <c r="G1170">
        <v>3</v>
      </c>
      <c r="H1170" s="4">
        <v>5</v>
      </c>
      <c r="I1170" s="4">
        <v>9</v>
      </c>
      <c r="J1170" s="4" t="s">
        <v>8</v>
      </c>
      <c r="K1170" s="4" t="s">
        <v>14</v>
      </c>
      <c r="L1170" s="11"/>
      <c r="M1170" s="3"/>
      <c r="N1170"/>
      <c r="O1170" s="4"/>
      <c r="P1170" s="1"/>
      <c r="Q1170" s="22"/>
      <c r="R1170"/>
      <c r="S1170" s="11"/>
      <c r="T1170" t="s">
        <v>70</v>
      </c>
      <c r="U1170"/>
      <c r="V1170" s="1"/>
      <c r="W1170" s="1"/>
    </row>
    <row r="1171" spans="2:23" x14ac:dyDescent="0.35">
      <c r="B1171" s="4">
        <v>30042947</v>
      </c>
      <c r="C1171" s="1" t="s">
        <v>62</v>
      </c>
      <c r="D1171" s="4" t="s">
        <v>86</v>
      </c>
      <c r="E1171" s="75"/>
      <c r="F1171" s="3" t="s">
        <v>68</v>
      </c>
      <c r="G1171">
        <v>2</v>
      </c>
      <c r="H1171" s="4">
        <v>1</v>
      </c>
      <c r="I1171" s="4">
        <v>7</v>
      </c>
      <c r="J1171" s="4" t="s">
        <v>8</v>
      </c>
      <c r="K1171" s="4" t="s">
        <v>14</v>
      </c>
      <c r="L1171" s="11"/>
      <c r="M1171" s="3"/>
      <c r="N1171"/>
      <c r="O1171" s="4"/>
      <c r="P1171" s="1"/>
      <c r="Q1171" s="22"/>
      <c r="R1171"/>
      <c r="S1171" s="11"/>
      <c r="T1171" t="s">
        <v>70</v>
      </c>
      <c r="U1171"/>
      <c r="V1171" s="1"/>
      <c r="W1171" s="1"/>
    </row>
    <row r="1172" spans="2:23" x14ac:dyDescent="0.35">
      <c r="B1172" s="4">
        <v>30042948</v>
      </c>
      <c r="C1172" s="1" t="s">
        <v>1544</v>
      </c>
      <c r="D1172" s="4" t="s">
        <v>86</v>
      </c>
      <c r="E1172" s="3"/>
      <c r="F1172" s="3" t="s">
        <v>68</v>
      </c>
      <c r="G1172">
        <v>2</v>
      </c>
      <c r="H1172" s="4">
        <v>1</v>
      </c>
      <c r="I1172" s="4">
        <v>16</v>
      </c>
      <c r="J1172" s="4" t="s">
        <v>8</v>
      </c>
      <c r="K1172" s="4" t="s">
        <v>14</v>
      </c>
      <c r="L1172" s="11"/>
      <c r="M1172" s="3"/>
      <c r="N1172"/>
      <c r="O1172" s="4"/>
      <c r="P1172" s="1"/>
      <c r="Q1172" s="22"/>
      <c r="R1172"/>
      <c r="S1172" s="11"/>
      <c r="T1172" t="s">
        <v>70</v>
      </c>
      <c r="U1172"/>
      <c r="V1172" s="1"/>
      <c r="W1172" s="1"/>
    </row>
    <row r="1173" spans="2:23" x14ac:dyDescent="0.35">
      <c r="B1173" s="4">
        <v>30042949</v>
      </c>
      <c r="C1173" s="1" t="s">
        <v>699</v>
      </c>
      <c r="D1173" s="4" t="s">
        <v>86</v>
      </c>
      <c r="E1173" s="3"/>
      <c r="F1173" s="3" t="s">
        <v>68</v>
      </c>
      <c r="G1173">
        <v>2</v>
      </c>
      <c r="H1173" s="4">
        <v>3</v>
      </c>
      <c r="I1173" s="4">
        <v>5</v>
      </c>
      <c r="J1173" s="4" t="s">
        <v>8</v>
      </c>
      <c r="K1173" s="4" t="s">
        <v>7</v>
      </c>
      <c r="L1173" s="11"/>
      <c r="M1173" s="3"/>
      <c r="N1173"/>
      <c r="O1173" s="4"/>
      <c r="P1173" s="1"/>
      <c r="Q1173" s="22"/>
      <c r="R1173"/>
      <c r="S1173" s="11"/>
      <c r="T1173" t="s">
        <v>70</v>
      </c>
      <c r="U1173"/>
      <c r="V1173" s="1"/>
      <c r="W1173" s="1"/>
    </row>
    <row r="1174" spans="2:23" x14ac:dyDescent="0.35">
      <c r="B1174" s="4">
        <v>30042950</v>
      </c>
      <c r="C1174" s="1" t="s">
        <v>1545</v>
      </c>
      <c r="D1174" s="4" t="s">
        <v>86</v>
      </c>
      <c r="E1174" s="3"/>
      <c r="F1174" s="3" t="s">
        <v>68</v>
      </c>
      <c r="G1174">
        <v>2</v>
      </c>
      <c r="H1174" s="4">
        <v>1</v>
      </c>
      <c r="I1174" s="4">
        <v>10</v>
      </c>
      <c r="J1174" s="4" t="s">
        <v>8</v>
      </c>
      <c r="K1174" s="4" t="s">
        <v>14</v>
      </c>
      <c r="L1174" s="11"/>
      <c r="M1174" s="3"/>
      <c r="N1174"/>
      <c r="O1174" s="4"/>
      <c r="P1174" s="1"/>
      <c r="Q1174" s="22"/>
      <c r="R1174"/>
      <c r="S1174" s="11"/>
      <c r="T1174" t="s">
        <v>70</v>
      </c>
      <c r="U1174"/>
      <c r="V1174" s="1"/>
      <c r="W1174" s="1"/>
    </row>
    <row r="1175" spans="2:23" x14ac:dyDescent="0.35">
      <c r="B1175" s="4">
        <v>30042951</v>
      </c>
      <c r="C1175" s="1" t="s">
        <v>700</v>
      </c>
      <c r="D1175" s="4" t="s">
        <v>86</v>
      </c>
      <c r="E1175" s="3"/>
      <c r="F1175" s="3" t="s">
        <v>68</v>
      </c>
      <c r="G1175">
        <v>2</v>
      </c>
      <c r="H1175" s="4">
        <v>1</v>
      </c>
      <c r="I1175" s="4">
        <v>9</v>
      </c>
      <c r="J1175" s="4" t="s">
        <v>8</v>
      </c>
      <c r="K1175" s="4" t="s">
        <v>14</v>
      </c>
      <c r="L1175" s="11"/>
      <c r="M1175" s="3"/>
      <c r="N1175"/>
      <c r="O1175" s="4"/>
      <c r="P1175" s="1"/>
      <c r="Q1175" s="22"/>
      <c r="R1175"/>
      <c r="S1175" s="11" t="s">
        <v>6892</v>
      </c>
      <c r="T1175" t="s">
        <v>70</v>
      </c>
      <c r="U1175"/>
      <c r="V1175" s="1"/>
      <c r="W1175" s="1"/>
    </row>
    <row r="1176" spans="2:23" x14ac:dyDescent="0.35">
      <c r="B1176" s="4">
        <v>30042953</v>
      </c>
      <c r="C1176" s="1" t="s">
        <v>63</v>
      </c>
      <c r="D1176" s="4" t="s">
        <v>86</v>
      </c>
      <c r="E1176" s="3"/>
      <c r="F1176" s="3" t="s">
        <v>68</v>
      </c>
      <c r="G1176">
        <v>2</v>
      </c>
      <c r="H1176" s="4">
        <v>1</v>
      </c>
      <c r="I1176" s="4">
        <v>3</v>
      </c>
      <c r="J1176" s="4" t="s">
        <v>8</v>
      </c>
      <c r="K1176" s="4" t="s">
        <v>7</v>
      </c>
      <c r="L1176" s="11"/>
      <c r="M1176" s="3"/>
      <c r="N1176"/>
      <c r="O1176" s="4"/>
      <c r="P1176" s="1"/>
      <c r="Q1176" s="22"/>
      <c r="R1176"/>
      <c r="S1176" s="11"/>
      <c r="T1176" t="s">
        <v>70</v>
      </c>
      <c r="U1176"/>
      <c r="V1176" s="1"/>
      <c r="W1176" s="1"/>
    </row>
    <row r="1177" spans="2:23" x14ac:dyDescent="0.35">
      <c r="B1177" s="4">
        <v>30042954</v>
      </c>
      <c r="C1177" s="1" t="s">
        <v>1546</v>
      </c>
      <c r="D1177" s="4" t="s">
        <v>86</v>
      </c>
      <c r="E1177" s="3"/>
      <c r="F1177" s="3" t="s">
        <v>68</v>
      </c>
      <c r="G1177">
        <v>4</v>
      </c>
      <c r="H1177" s="4">
        <v>2</v>
      </c>
      <c r="I1177" s="4">
        <v>6</v>
      </c>
      <c r="J1177" s="4" t="s">
        <v>8</v>
      </c>
      <c r="K1177" s="4" t="s">
        <v>7</v>
      </c>
      <c r="L1177" s="11"/>
      <c r="M1177" s="3"/>
      <c r="N1177"/>
      <c r="O1177" s="4"/>
      <c r="P1177" s="1"/>
      <c r="Q1177" s="22"/>
      <c r="R1177"/>
      <c r="S1177" s="11"/>
      <c r="T1177" t="s">
        <v>70</v>
      </c>
      <c r="U1177"/>
      <c r="V1177" s="1"/>
      <c r="W1177" s="1"/>
    </row>
    <row r="1178" spans="2:23" x14ac:dyDescent="0.35">
      <c r="B1178" s="4">
        <v>30042955</v>
      </c>
      <c r="C1178" s="1" t="s">
        <v>701</v>
      </c>
      <c r="D1178" s="4" t="s">
        <v>86</v>
      </c>
      <c r="E1178" s="3"/>
      <c r="F1178" s="3" t="s">
        <v>68</v>
      </c>
      <c r="G1178">
        <v>3</v>
      </c>
      <c r="H1178" s="4">
        <v>5</v>
      </c>
      <c r="I1178" s="4">
        <v>6</v>
      </c>
      <c r="J1178" s="4" t="s">
        <v>8</v>
      </c>
      <c r="K1178" s="4" t="s">
        <v>7</v>
      </c>
      <c r="L1178" s="11"/>
      <c r="M1178" s="3"/>
      <c r="N1178"/>
      <c r="O1178" s="4"/>
      <c r="P1178" s="1"/>
      <c r="Q1178" s="22"/>
      <c r="R1178"/>
      <c r="S1178" s="11"/>
      <c r="T1178" t="s">
        <v>70</v>
      </c>
      <c r="U1178"/>
      <c r="V1178" s="1"/>
      <c r="W1178" s="1"/>
    </row>
    <row r="1179" spans="2:23" x14ac:dyDescent="0.35">
      <c r="B1179" s="4">
        <v>30042956</v>
      </c>
      <c r="C1179" s="1" t="s">
        <v>702</v>
      </c>
      <c r="D1179" s="4" t="s">
        <v>86</v>
      </c>
      <c r="E1179" s="3"/>
      <c r="F1179" s="3" t="s">
        <v>68</v>
      </c>
      <c r="G1179">
        <v>3</v>
      </c>
      <c r="H1179" s="4">
        <v>5</v>
      </c>
      <c r="I1179" s="4">
        <v>8</v>
      </c>
      <c r="J1179" s="4" t="s">
        <v>8</v>
      </c>
      <c r="K1179" s="4" t="s">
        <v>7</v>
      </c>
      <c r="L1179" s="11"/>
      <c r="M1179" s="3"/>
      <c r="N1179"/>
      <c r="O1179" s="4"/>
      <c r="P1179" s="1"/>
      <c r="Q1179" s="22"/>
      <c r="R1179"/>
      <c r="S1179" s="11"/>
      <c r="T1179" t="s">
        <v>70</v>
      </c>
      <c r="U1179"/>
      <c r="V1179" s="1"/>
      <c r="W1179" s="1"/>
    </row>
    <row r="1180" spans="2:23" x14ac:dyDescent="0.35">
      <c r="B1180" s="4">
        <v>30042957</v>
      </c>
      <c r="C1180" s="1" t="s">
        <v>1547</v>
      </c>
      <c r="D1180" s="4" t="s">
        <v>86</v>
      </c>
      <c r="E1180" s="3"/>
      <c r="F1180" s="3" t="s">
        <v>68</v>
      </c>
      <c r="G1180">
        <v>4</v>
      </c>
      <c r="H1180" s="4">
        <v>2</v>
      </c>
      <c r="I1180" s="4">
        <v>9</v>
      </c>
      <c r="J1180" s="4" t="s">
        <v>8</v>
      </c>
      <c r="K1180" s="4" t="s">
        <v>14</v>
      </c>
      <c r="L1180" s="11"/>
      <c r="M1180" s="3"/>
      <c r="N1180"/>
      <c r="O1180" s="4"/>
      <c r="P1180" s="1"/>
      <c r="Q1180" s="22"/>
      <c r="R1180"/>
      <c r="S1180" s="11"/>
      <c r="T1180" t="s">
        <v>70</v>
      </c>
      <c r="U1180"/>
      <c r="V1180" s="1"/>
      <c r="W1180" s="1"/>
    </row>
    <row r="1181" spans="2:23" x14ac:dyDescent="0.35">
      <c r="B1181" s="4">
        <v>30043014</v>
      </c>
      <c r="C1181" s="1" t="s">
        <v>703</v>
      </c>
      <c r="D1181" s="4" t="s">
        <v>86</v>
      </c>
      <c r="E1181" s="3"/>
      <c r="F1181" s="3" t="s">
        <v>68</v>
      </c>
      <c r="G1181">
        <v>2</v>
      </c>
      <c r="H1181" s="4">
        <v>1</v>
      </c>
      <c r="I1181" s="4">
        <v>20</v>
      </c>
      <c r="J1181" s="4" t="s">
        <v>8</v>
      </c>
      <c r="K1181" s="4" t="s">
        <v>14</v>
      </c>
      <c r="L1181" s="11"/>
      <c r="M1181" s="3"/>
      <c r="N1181"/>
      <c r="O1181" s="4"/>
      <c r="P1181" s="1"/>
      <c r="Q1181" s="22"/>
      <c r="R1181"/>
      <c r="S1181" s="11"/>
      <c r="T1181" t="s">
        <v>70</v>
      </c>
      <c r="U1181"/>
      <c r="V1181" s="1"/>
      <c r="W1181" s="1"/>
    </row>
    <row r="1182" spans="2:23" x14ac:dyDescent="0.35">
      <c r="B1182" s="4">
        <v>30043017</v>
      </c>
      <c r="C1182" s="1" t="s">
        <v>704</v>
      </c>
      <c r="D1182" s="4" t="s">
        <v>86</v>
      </c>
      <c r="E1182" s="75"/>
      <c r="F1182" s="3" t="s">
        <v>68</v>
      </c>
      <c r="G1182">
        <v>2</v>
      </c>
      <c r="H1182" s="4">
        <v>2</v>
      </c>
      <c r="I1182" s="4">
        <v>3</v>
      </c>
      <c r="J1182" s="4" t="s">
        <v>8</v>
      </c>
      <c r="K1182" s="4" t="s">
        <v>7</v>
      </c>
      <c r="L1182" s="11"/>
      <c r="M1182" s="3"/>
      <c r="N1182"/>
      <c r="O1182" s="4"/>
      <c r="P1182" s="1"/>
      <c r="Q1182" s="22"/>
      <c r="R1182"/>
      <c r="S1182" s="11"/>
      <c r="T1182" t="s">
        <v>70</v>
      </c>
      <c r="U1182"/>
      <c r="V1182" s="1"/>
      <c r="W1182" s="1"/>
    </row>
    <row r="1183" spans="2:23" x14ac:dyDescent="0.35">
      <c r="B1183" s="4">
        <v>30043067</v>
      </c>
      <c r="C1183" s="1" t="s">
        <v>705</v>
      </c>
      <c r="D1183" s="4" t="s">
        <v>86</v>
      </c>
      <c r="E1183" s="3"/>
      <c r="F1183" s="3" t="s">
        <v>68</v>
      </c>
      <c r="G1183">
        <v>4</v>
      </c>
      <c r="H1183" s="4">
        <v>6</v>
      </c>
      <c r="I1183" s="4">
        <v>1</v>
      </c>
      <c r="J1183" s="4" t="s">
        <v>8</v>
      </c>
      <c r="K1183" s="4" t="s">
        <v>9</v>
      </c>
      <c r="L1183" s="11">
        <v>1002717001</v>
      </c>
      <c r="M1183" s="3">
        <v>20</v>
      </c>
      <c r="N1183"/>
      <c r="O1183" s="4"/>
      <c r="P1183" s="1"/>
      <c r="Q1183" s="22"/>
      <c r="R1183"/>
      <c r="S1183" s="11"/>
      <c r="T1183" t="s">
        <v>1603</v>
      </c>
      <c r="U1183"/>
      <c r="V1183" s="1"/>
      <c r="W1183" s="1"/>
    </row>
    <row r="1184" spans="2:23" x14ac:dyDescent="0.35">
      <c r="B1184" s="4">
        <v>30043291</v>
      </c>
      <c r="C1184" s="1" t="s">
        <v>706</v>
      </c>
      <c r="D1184" s="4" t="s">
        <v>86</v>
      </c>
      <c r="E1184" s="3"/>
      <c r="F1184" s="3" t="s">
        <v>68</v>
      </c>
      <c r="G1184">
        <v>8</v>
      </c>
      <c r="H1184" s="4">
        <v>12</v>
      </c>
      <c r="I1184" s="4">
        <v>15</v>
      </c>
      <c r="J1184" s="4" t="s">
        <v>8</v>
      </c>
      <c r="K1184" s="4" t="s">
        <v>7</v>
      </c>
      <c r="L1184" s="11"/>
      <c r="M1184" s="3"/>
      <c r="N1184"/>
      <c r="O1184" s="4"/>
      <c r="P1184" s="1"/>
      <c r="Q1184" s="22"/>
      <c r="R1184"/>
      <c r="S1184" s="11"/>
      <c r="T1184" t="s">
        <v>70</v>
      </c>
      <c r="U1184"/>
      <c r="V1184" s="1"/>
      <c r="W1184" s="1"/>
    </row>
    <row r="1185" spans="2:23" x14ac:dyDescent="0.35">
      <c r="B1185" s="4">
        <v>30043292</v>
      </c>
      <c r="C1185" s="1" t="s">
        <v>707</v>
      </c>
      <c r="D1185" s="4" t="s">
        <v>86</v>
      </c>
      <c r="E1185" s="3"/>
      <c r="F1185" s="3" t="s">
        <v>68</v>
      </c>
      <c r="G1185">
        <v>2</v>
      </c>
      <c r="H1185" s="4">
        <v>2</v>
      </c>
      <c r="I1185" s="4">
        <v>6</v>
      </c>
      <c r="J1185" s="4" t="s">
        <v>8</v>
      </c>
      <c r="K1185" s="4" t="s">
        <v>14</v>
      </c>
      <c r="L1185" s="11"/>
      <c r="M1185" s="3"/>
      <c r="N1185"/>
      <c r="O1185" s="4"/>
      <c r="P1185" s="1"/>
      <c r="Q1185" s="22"/>
      <c r="R1185"/>
      <c r="S1185" s="11"/>
      <c r="T1185" t="s">
        <v>70</v>
      </c>
      <c r="U1185"/>
      <c r="V1185" s="1"/>
      <c r="W1185" s="1"/>
    </row>
    <row r="1186" spans="2:23" x14ac:dyDescent="0.35">
      <c r="B1186" s="4">
        <v>30043306</v>
      </c>
      <c r="C1186" s="1" t="s">
        <v>708</v>
      </c>
      <c r="D1186" s="4" t="s">
        <v>86</v>
      </c>
      <c r="E1186" s="3"/>
      <c r="F1186" s="3" t="s">
        <v>68</v>
      </c>
      <c r="G1186">
        <v>1</v>
      </c>
      <c r="H1186" s="4">
        <v>1</v>
      </c>
      <c r="I1186" s="4">
        <v>2</v>
      </c>
      <c r="J1186" s="4" t="s">
        <v>8</v>
      </c>
      <c r="K1186" s="4" t="s">
        <v>7</v>
      </c>
      <c r="L1186" s="11"/>
      <c r="M1186" s="3"/>
      <c r="N1186"/>
      <c r="O1186" s="4"/>
      <c r="P1186" s="1"/>
      <c r="Q1186" s="22"/>
      <c r="R1186"/>
      <c r="S1186" s="11"/>
      <c r="T1186" t="s">
        <v>70</v>
      </c>
      <c r="U1186"/>
      <c r="V1186" s="1"/>
      <c r="W1186" s="1"/>
    </row>
    <row r="1187" spans="2:23" x14ac:dyDescent="0.35">
      <c r="B1187" s="4">
        <v>30043323</v>
      </c>
      <c r="C1187" s="1" t="s">
        <v>709</v>
      </c>
      <c r="D1187" s="4" t="s">
        <v>86</v>
      </c>
      <c r="E1187" s="3"/>
      <c r="F1187" s="3" t="s">
        <v>68</v>
      </c>
      <c r="G1187">
        <v>12</v>
      </c>
      <c r="H1187" s="4">
        <v>4</v>
      </c>
      <c r="I1187" s="4">
        <v>32</v>
      </c>
      <c r="J1187" s="4" t="s">
        <v>8</v>
      </c>
      <c r="K1187" s="4" t="s">
        <v>14</v>
      </c>
      <c r="L1187" s="11"/>
      <c r="M1187" s="3"/>
      <c r="N1187"/>
      <c r="O1187" s="4"/>
      <c r="P1187" s="1"/>
      <c r="Q1187" s="22"/>
      <c r="R1187"/>
      <c r="S1187" s="11"/>
      <c r="T1187" t="s">
        <v>70</v>
      </c>
      <c r="U1187"/>
      <c r="V1187" s="1"/>
      <c r="W1187" s="1"/>
    </row>
    <row r="1188" spans="2:23" x14ac:dyDescent="0.35">
      <c r="B1188" s="4">
        <v>30043361</v>
      </c>
      <c r="C1188" s="1" t="s">
        <v>710</v>
      </c>
      <c r="D1188" s="4" t="s">
        <v>86</v>
      </c>
      <c r="E1188" s="3"/>
      <c r="F1188" s="3" t="s">
        <v>68</v>
      </c>
      <c r="G1188">
        <v>3</v>
      </c>
      <c r="H1188" s="4">
        <v>2</v>
      </c>
      <c r="I1188" s="4">
        <v>1</v>
      </c>
      <c r="J1188" s="4" t="s">
        <v>8</v>
      </c>
      <c r="K1188" s="4" t="s">
        <v>9</v>
      </c>
      <c r="L1188" s="11">
        <v>1002691210</v>
      </c>
      <c r="M1188" s="3"/>
      <c r="N1188"/>
      <c r="O1188" s="4"/>
      <c r="P1188" s="1"/>
      <c r="Q1188" s="22"/>
      <c r="R1188"/>
      <c r="S1188" s="11"/>
      <c r="T1188" t="s">
        <v>70</v>
      </c>
      <c r="U1188"/>
      <c r="V1188" s="1"/>
      <c r="W1188" s="1"/>
    </row>
    <row r="1189" spans="2:23" x14ac:dyDescent="0.35">
      <c r="B1189" s="4">
        <v>30043362</v>
      </c>
      <c r="C1189" s="1" t="s">
        <v>711</v>
      </c>
      <c r="D1189" s="4" t="s">
        <v>86</v>
      </c>
      <c r="E1189" s="3"/>
      <c r="F1189" s="3" t="s">
        <v>68</v>
      </c>
      <c r="G1189">
        <v>2</v>
      </c>
      <c r="H1189" s="4">
        <v>2</v>
      </c>
      <c r="I1189" s="4">
        <v>0</v>
      </c>
      <c r="J1189" s="4" t="s">
        <v>8</v>
      </c>
      <c r="K1189" s="4" t="s">
        <v>13</v>
      </c>
      <c r="L1189" s="11">
        <v>1002542940</v>
      </c>
      <c r="M1189" s="3"/>
      <c r="N1189">
        <v>4700163136</v>
      </c>
      <c r="O1189" s="4">
        <v>3</v>
      </c>
      <c r="P1189" s="1" t="s">
        <v>6904</v>
      </c>
      <c r="Q1189" s="22">
        <v>46295</v>
      </c>
      <c r="R1189"/>
      <c r="S1189" s="11" t="s">
        <v>6859</v>
      </c>
      <c r="T1189" t="s">
        <v>70</v>
      </c>
      <c r="U1189"/>
      <c r="V1189" s="1"/>
      <c r="W1189" s="1"/>
    </row>
    <row r="1190" spans="2:23" x14ac:dyDescent="0.35">
      <c r="B1190" s="4">
        <v>30043478</v>
      </c>
      <c r="C1190" s="1" t="s">
        <v>712</v>
      </c>
      <c r="D1190" s="4" t="s">
        <v>86</v>
      </c>
      <c r="E1190" s="3"/>
      <c r="F1190" s="3" t="s">
        <v>68</v>
      </c>
      <c r="G1190">
        <v>3</v>
      </c>
      <c r="H1190" s="4">
        <v>5</v>
      </c>
      <c r="I1190" s="4">
        <v>5</v>
      </c>
      <c r="J1190" s="4" t="s">
        <v>8</v>
      </c>
      <c r="K1190" s="4" t="s">
        <v>7</v>
      </c>
      <c r="L1190" s="11"/>
      <c r="M1190" s="3"/>
      <c r="N1190"/>
      <c r="O1190" s="4"/>
      <c r="P1190" s="1"/>
      <c r="Q1190" s="22"/>
      <c r="R1190"/>
      <c r="S1190" s="11"/>
      <c r="T1190" t="s">
        <v>70</v>
      </c>
      <c r="U1190"/>
      <c r="V1190" s="1"/>
      <c r="W1190" s="1"/>
    </row>
    <row r="1191" spans="2:23" x14ac:dyDescent="0.35">
      <c r="B1191" s="4">
        <v>30043585</v>
      </c>
      <c r="C1191" s="1" t="s">
        <v>713</v>
      </c>
      <c r="D1191" s="4" t="s">
        <v>86</v>
      </c>
      <c r="E1191" s="3"/>
      <c r="F1191" s="3" t="s">
        <v>68</v>
      </c>
      <c r="G1191">
        <v>3</v>
      </c>
      <c r="H1191" s="4">
        <v>5</v>
      </c>
      <c r="I1191" s="4">
        <v>7</v>
      </c>
      <c r="J1191" s="4" t="s">
        <v>8</v>
      </c>
      <c r="K1191" s="4" t="s">
        <v>7</v>
      </c>
      <c r="L1191" s="11"/>
      <c r="M1191" s="3"/>
      <c r="N1191"/>
      <c r="O1191" s="4"/>
      <c r="P1191" s="1"/>
      <c r="Q1191" s="22"/>
      <c r="R1191"/>
      <c r="S1191" s="11"/>
      <c r="T1191" t="s">
        <v>71</v>
      </c>
      <c r="U1191"/>
      <c r="V1191" s="1"/>
      <c r="W1191" s="1"/>
    </row>
    <row r="1192" spans="2:23" x14ac:dyDescent="0.35">
      <c r="B1192" s="4">
        <v>30043588</v>
      </c>
      <c r="C1192" s="1" t="s">
        <v>714</v>
      </c>
      <c r="D1192" s="4" t="s">
        <v>86</v>
      </c>
      <c r="E1192" s="3"/>
      <c r="F1192" s="3" t="s">
        <v>68</v>
      </c>
      <c r="G1192">
        <v>2</v>
      </c>
      <c r="H1192" s="4">
        <v>1</v>
      </c>
      <c r="I1192" s="4">
        <v>11</v>
      </c>
      <c r="J1192" s="4" t="s">
        <v>8</v>
      </c>
      <c r="K1192" s="4" t="s">
        <v>14</v>
      </c>
      <c r="L1192" s="11"/>
      <c r="M1192" s="3"/>
      <c r="N1192"/>
      <c r="O1192" s="4"/>
      <c r="P1192" s="1"/>
      <c r="Q1192" s="22"/>
      <c r="R1192"/>
      <c r="S1192" s="11"/>
      <c r="T1192" t="s">
        <v>70</v>
      </c>
      <c r="U1192"/>
      <c r="V1192" s="1"/>
      <c r="W1192" s="1"/>
    </row>
    <row r="1193" spans="2:23" x14ac:dyDescent="0.35">
      <c r="B1193" s="4">
        <v>30043637</v>
      </c>
      <c r="C1193" s="1" t="s">
        <v>917</v>
      </c>
      <c r="D1193" s="4" t="s">
        <v>86</v>
      </c>
      <c r="E1193" s="3" t="s">
        <v>1225</v>
      </c>
      <c r="F1193" s="3" t="s">
        <v>102</v>
      </c>
      <c r="G1193">
        <v>2</v>
      </c>
      <c r="H1193" s="4">
        <v>2</v>
      </c>
      <c r="I1193" s="4">
        <v>2</v>
      </c>
      <c r="J1193" s="4" t="s">
        <v>8</v>
      </c>
      <c r="K1193" s="4" t="s">
        <v>7</v>
      </c>
      <c r="L1193" s="11"/>
      <c r="M1193" s="3"/>
      <c r="N1193"/>
      <c r="O1193" s="4"/>
      <c r="P1193" s="1"/>
      <c r="Q1193" s="22"/>
      <c r="R1193"/>
      <c r="S1193" s="11"/>
      <c r="T1193" t="s">
        <v>71</v>
      </c>
      <c r="U1193"/>
      <c r="V1193" s="1"/>
      <c r="W1193" s="1"/>
    </row>
    <row r="1194" spans="2:23" x14ac:dyDescent="0.35">
      <c r="B1194" s="4">
        <v>30043639</v>
      </c>
      <c r="C1194" s="1" t="s">
        <v>715</v>
      </c>
      <c r="D1194" s="4" t="s">
        <v>86</v>
      </c>
      <c r="E1194" s="3"/>
      <c r="F1194" s="3" t="s">
        <v>68</v>
      </c>
      <c r="G1194">
        <v>3</v>
      </c>
      <c r="H1194" s="4">
        <v>5</v>
      </c>
      <c r="I1194" s="4">
        <v>40</v>
      </c>
      <c r="J1194" s="4" t="s">
        <v>8</v>
      </c>
      <c r="K1194" s="4" t="s">
        <v>14</v>
      </c>
      <c r="L1194" s="11"/>
      <c r="M1194" s="3"/>
      <c r="N1194"/>
      <c r="O1194" s="4"/>
      <c r="P1194" s="1"/>
      <c r="Q1194" s="22"/>
      <c r="R1194"/>
      <c r="S1194" s="11"/>
      <c r="T1194" t="s">
        <v>70</v>
      </c>
      <c r="U1194"/>
      <c r="V1194" s="1"/>
      <c r="W1194" s="1"/>
    </row>
    <row r="1195" spans="2:23" x14ac:dyDescent="0.35">
      <c r="B1195" s="4">
        <v>30043647</v>
      </c>
      <c r="C1195" s="1" t="s">
        <v>862</v>
      </c>
      <c r="D1195" s="4" t="s">
        <v>86</v>
      </c>
      <c r="E1195" s="3"/>
      <c r="F1195" s="3" t="s">
        <v>102</v>
      </c>
      <c r="G1195">
        <v>12</v>
      </c>
      <c r="H1195" s="4">
        <v>8</v>
      </c>
      <c r="I1195" s="4">
        <v>20</v>
      </c>
      <c r="J1195" s="4" t="s">
        <v>8</v>
      </c>
      <c r="K1195" s="4" t="s">
        <v>7</v>
      </c>
      <c r="L1195" s="11"/>
      <c r="M1195" s="3"/>
      <c r="N1195"/>
      <c r="O1195" s="4"/>
      <c r="P1195" s="1"/>
      <c r="Q1195" s="22"/>
      <c r="R1195"/>
      <c r="S1195" s="11"/>
      <c r="T1195" t="s">
        <v>71</v>
      </c>
      <c r="U1195"/>
      <c r="V1195" s="1"/>
      <c r="W1195" s="1"/>
    </row>
    <row r="1196" spans="2:23" x14ac:dyDescent="0.35">
      <c r="B1196" s="4">
        <v>30043656</v>
      </c>
      <c r="C1196" s="1" t="s">
        <v>716</v>
      </c>
      <c r="D1196" s="4" t="s">
        <v>86</v>
      </c>
      <c r="E1196" s="3"/>
      <c r="F1196" s="3" t="s">
        <v>68</v>
      </c>
      <c r="G1196">
        <v>1</v>
      </c>
      <c r="H1196" s="4">
        <v>1</v>
      </c>
      <c r="I1196" s="4">
        <v>1</v>
      </c>
      <c r="J1196" s="4" t="s">
        <v>8</v>
      </c>
      <c r="K1196" s="4" t="s">
        <v>7</v>
      </c>
      <c r="L1196" s="11"/>
      <c r="M1196" s="3"/>
      <c r="N1196"/>
      <c r="O1196" s="4"/>
      <c r="P1196" s="1"/>
      <c r="Q1196" s="22"/>
      <c r="R1196"/>
      <c r="S1196" s="11"/>
      <c r="T1196" t="s">
        <v>66</v>
      </c>
      <c r="U1196"/>
      <c r="V1196" s="1"/>
      <c r="W1196" s="1"/>
    </row>
    <row r="1197" spans="2:23" x14ac:dyDescent="0.35">
      <c r="B1197" s="4">
        <v>30043663</v>
      </c>
      <c r="C1197" s="1" t="s">
        <v>718</v>
      </c>
      <c r="D1197" s="4" t="s">
        <v>86</v>
      </c>
      <c r="E1197" s="3"/>
      <c r="F1197" s="3" t="s">
        <v>68</v>
      </c>
      <c r="G1197">
        <v>2</v>
      </c>
      <c r="H1197" s="4">
        <v>1</v>
      </c>
      <c r="I1197" s="4">
        <v>3</v>
      </c>
      <c r="J1197" s="4" t="s">
        <v>8</v>
      </c>
      <c r="K1197" s="4" t="s">
        <v>7</v>
      </c>
      <c r="L1197" s="11"/>
      <c r="M1197" s="3"/>
      <c r="N1197"/>
      <c r="O1197" s="4"/>
      <c r="P1197" s="1"/>
      <c r="Q1197" s="22"/>
      <c r="R1197"/>
      <c r="S1197" s="11"/>
      <c r="T1197" t="s">
        <v>70</v>
      </c>
      <c r="U1197"/>
      <c r="V1197" s="1"/>
      <c r="W1197" s="1"/>
    </row>
    <row r="1198" spans="2:23" x14ac:dyDescent="0.35">
      <c r="B1198" s="4">
        <v>30043665</v>
      </c>
      <c r="C1198" s="1" t="s">
        <v>719</v>
      </c>
      <c r="D1198" s="4" t="s">
        <v>86</v>
      </c>
      <c r="E1198" s="3"/>
      <c r="F1198" s="3" t="s">
        <v>68</v>
      </c>
      <c r="G1198">
        <v>2</v>
      </c>
      <c r="H1198" s="4">
        <v>1</v>
      </c>
      <c r="I1198" s="4">
        <v>3</v>
      </c>
      <c r="J1198" s="4" t="s">
        <v>8</v>
      </c>
      <c r="K1198" s="4" t="s">
        <v>7</v>
      </c>
      <c r="L1198" s="11"/>
      <c r="M1198" s="3"/>
      <c r="N1198"/>
      <c r="O1198" s="4"/>
      <c r="P1198" s="1"/>
      <c r="Q1198" s="22"/>
      <c r="R1198"/>
      <c r="S1198" s="11"/>
      <c r="T1198" t="s">
        <v>70</v>
      </c>
      <c r="U1198"/>
      <c r="V1198" s="1"/>
      <c r="W1198" s="1"/>
    </row>
    <row r="1199" spans="2:23" x14ac:dyDescent="0.35">
      <c r="B1199" s="4">
        <v>30043667</v>
      </c>
      <c r="C1199" s="1" t="s">
        <v>720</v>
      </c>
      <c r="D1199" s="4" t="s">
        <v>86</v>
      </c>
      <c r="E1199" s="3"/>
      <c r="F1199" s="3" t="s">
        <v>68</v>
      </c>
      <c r="G1199">
        <v>2</v>
      </c>
      <c r="H1199" s="4">
        <v>1</v>
      </c>
      <c r="I1199" s="4">
        <v>4</v>
      </c>
      <c r="J1199" s="4" t="s">
        <v>8</v>
      </c>
      <c r="K1199" s="4" t="s">
        <v>14</v>
      </c>
      <c r="L1199" s="11"/>
      <c r="M1199" s="3"/>
      <c r="N1199"/>
      <c r="O1199" s="4"/>
      <c r="P1199" s="1"/>
      <c r="Q1199" s="22"/>
      <c r="R1199"/>
      <c r="S1199" s="11"/>
      <c r="T1199" t="s">
        <v>70</v>
      </c>
      <c r="U1199"/>
      <c r="V1199" s="1"/>
      <c r="W1199" s="1"/>
    </row>
    <row r="1200" spans="2:23" x14ac:dyDescent="0.35">
      <c r="B1200" s="4">
        <v>30043762</v>
      </c>
      <c r="C1200" s="1" t="s">
        <v>721</v>
      </c>
      <c r="D1200" s="4" t="s">
        <v>86</v>
      </c>
      <c r="E1200" s="3"/>
      <c r="F1200" s="3" t="s">
        <v>68</v>
      </c>
      <c r="G1200">
        <v>3</v>
      </c>
      <c r="H1200" s="4">
        <v>5</v>
      </c>
      <c r="I1200" s="4">
        <v>8</v>
      </c>
      <c r="J1200" s="4" t="s">
        <v>8</v>
      </c>
      <c r="K1200" s="4" t="s">
        <v>7</v>
      </c>
      <c r="L1200" s="11"/>
      <c r="M1200" s="3"/>
      <c r="N1200"/>
      <c r="O1200" s="4"/>
      <c r="P1200" s="1"/>
      <c r="Q1200" s="22"/>
      <c r="R1200"/>
      <c r="S1200" s="11"/>
      <c r="T1200" t="s">
        <v>70</v>
      </c>
      <c r="U1200"/>
      <c r="V1200" s="1"/>
      <c r="W1200" s="1"/>
    </row>
    <row r="1201" spans="2:23" x14ac:dyDescent="0.35">
      <c r="B1201" s="4">
        <v>30043767</v>
      </c>
      <c r="C1201" s="1" t="s">
        <v>722</v>
      </c>
      <c r="D1201" s="4" t="s">
        <v>86</v>
      </c>
      <c r="E1201" s="3"/>
      <c r="F1201" s="3" t="s">
        <v>68</v>
      </c>
      <c r="G1201">
        <v>4</v>
      </c>
      <c r="H1201" s="4">
        <v>4</v>
      </c>
      <c r="I1201" s="4">
        <v>6</v>
      </c>
      <c r="J1201" s="4" t="s">
        <v>8</v>
      </c>
      <c r="K1201" s="4" t="s">
        <v>7</v>
      </c>
      <c r="L1201" s="11"/>
      <c r="M1201" s="3"/>
      <c r="N1201"/>
      <c r="O1201" s="4"/>
      <c r="P1201" s="1"/>
      <c r="Q1201" s="22"/>
      <c r="R1201"/>
      <c r="S1201" s="11"/>
      <c r="T1201" t="s">
        <v>70</v>
      </c>
      <c r="U1201"/>
      <c r="V1201" s="1"/>
      <c r="W1201" s="1"/>
    </row>
    <row r="1202" spans="2:23" x14ac:dyDescent="0.35">
      <c r="B1202" s="4">
        <v>30043820</v>
      </c>
      <c r="C1202" s="1" t="s">
        <v>723</v>
      </c>
      <c r="D1202" s="4" t="s">
        <v>86</v>
      </c>
      <c r="E1202" s="3"/>
      <c r="F1202" s="3" t="s">
        <v>68</v>
      </c>
      <c r="G1202">
        <v>2</v>
      </c>
      <c r="H1202" s="4">
        <v>2</v>
      </c>
      <c r="I1202" s="4">
        <v>2</v>
      </c>
      <c r="J1202" s="4" t="s">
        <v>8</v>
      </c>
      <c r="K1202" s="4" t="s">
        <v>7</v>
      </c>
      <c r="L1202" s="11"/>
      <c r="M1202" s="3"/>
      <c r="N1202"/>
      <c r="O1202" s="4"/>
      <c r="P1202" s="1"/>
      <c r="Q1202" s="22"/>
      <c r="R1202"/>
      <c r="S1202" s="11"/>
      <c r="T1202" t="s">
        <v>70</v>
      </c>
      <c r="U1202"/>
      <c r="V1202" s="1"/>
      <c r="W1202" s="1"/>
    </row>
    <row r="1203" spans="2:23" x14ac:dyDescent="0.35">
      <c r="B1203" s="4">
        <v>30043856</v>
      </c>
      <c r="C1203" s="1" t="s">
        <v>724</v>
      </c>
      <c r="D1203" s="4" t="s">
        <v>86</v>
      </c>
      <c r="E1203" s="3"/>
      <c r="F1203" s="3" t="s">
        <v>68</v>
      </c>
      <c r="G1203">
        <v>4</v>
      </c>
      <c r="H1203" s="4">
        <v>4</v>
      </c>
      <c r="I1203" s="4">
        <v>3</v>
      </c>
      <c r="J1203" s="4" t="s">
        <v>8</v>
      </c>
      <c r="K1203" s="4" t="s">
        <v>9</v>
      </c>
      <c r="L1203" s="11"/>
      <c r="M1203" s="3"/>
      <c r="N1203">
        <v>4502711577</v>
      </c>
      <c r="O1203" s="4">
        <v>1</v>
      </c>
      <c r="P1203" s="1" t="s">
        <v>6853</v>
      </c>
      <c r="Q1203" s="22">
        <v>46335</v>
      </c>
      <c r="R1203"/>
      <c r="S1203" s="11"/>
      <c r="T1203" t="s">
        <v>70</v>
      </c>
      <c r="U1203"/>
      <c r="V1203" s="1"/>
      <c r="W1203" s="1"/>
    </row>
    <row r="1204" spans="2:23" x14ac:dyDescent="0.35">
      <c r="B1204" s="4">
        <v>30043879</v>
      </c>
      <c r="C1204" s="1" t="s">
        <v>725</v>
      </c>
      <c r="D1204" s="4" t="s">
        <v>86</v>
      </c>
      <c r="E1204" s="3"/>
      <c r="F1204" s="3" t="s">
        <v>68</v>
      </c>
      <c r="G1204">
        <v>2</v>
      </c>
      <c r="H1204" s="4">
        <v>2</v>
      </c>
      <c r="I1204" s="4">
        <v>3</v>
      </c>
      <c r="J1204" s="4" t="s">
        <v>8</v>
      </c>
      <c r="K1204" s="4" t="s">
        <v>7</v>
      </c>
      <c r="L1204" s="11"/>
      <c r="M1204" s="3"/>
      <c r="N1204"/>
      <c r="O1204" s="4"/>
      <c r="P1204" s="1"/>
      <c r="Q1204" s="22"/>
      <c r="R1204"/>
      <c r="S1204" s="11"/>
      <c r="T1204" t="s">
        <v>70</v>
      </c>
      <c r="U1204"/>
      <c r="V1204" s="1"/>
      <c r="W1204" s="1"/>
    </row>
    <row r="1205" spans="2:23" x14ac:dyDescent="0.35">
      <c r="B1205" s="4">
        <v>30043884</v>
      </c>
      <c r="C1205" s="1" t="s">
        <v>726</v>
      </c>
      <c r="D1205" s="4" t="s">
        <v>86</v>
      </c>
      <c r="E1205" s="3"/>
      <c r="F1205" s="3" t="s">
        <v>68</v>
      </c>
      <c r="G1205">
        <v>2</v>
      </c>
      <c r="H1205" s="4">
        <v>2</v>
      </c>
      <c r="I1205" s="4">
        <v>0</v>
      </c>
      <c r="J1205" s="4" t="s">
        <v>8</v>
      </c>
      <c r="K1205" s="4" t="s">
        <v>13</v>
      </c>
      <c r="L1205" s="11">
        <v>1002704296</v>
      </c>
      <c r="M1205" s="3">
        <v>4</v>
      </c>
      <c r="N1205"/>
      <c r="O1205" s="4"/>
      <c r="P1205" s="1"/>
      <c r="Q1205" s="22"/>
      <c r="R1205"/>
      <c r="S1205" s="11"/>
      <c r="T1205" t="s">
        <v>70</v>
      </c>
      <c r="U1205"/>
      <c r="V1205" s="1"/>
      <c r="W1205" s="1"/>
    </row>
    <row r="1206" spans="2:23" x14ac:dyDescent="0.35">
      <c r="B1206" s="4">
        <v>30044002</v>
      </c>
      <c r="C1206" s="1" t="s">
        <v>727</v>
      </c>
      <c r="D1206" s="4" t="s">
        <v>86</v>
      </c>
      <c r="E1206" s="3"/>
      <c r="F1206" s="3" t="s">
        <v>68</v>
      </c>
      <c r="G1206">
        <v>2</v>
      </c>
      <c r="H1206" s="4">
        <v>1</v>
      </c>
      <c r="I1206" s="4">
        <v>21</v>
      </c>
      <c r="J1206" s="4" t="s">
        <v>8</v>
      </c>
      <c r="K1206" s="4" t="s">
        <v>14</v>
      </c>
      <c r="L1206" s="11"/>
      <c r="M1206" s="3"/>
      <c r="N1206"/>
      <c r="O1206" s="4"/>
      <c r="P1206" s="1"/>
      <c r="Q1206" s="22"/>
      <c r="R1206"/>
      <c r="S1206" s="11"/>
      <c r="T1206" t="s">
        <v>70</v>
      </c>
      <c r="U1206"/>
      <c r="V1206" s="1"/>
      <c r="W1206" s="1"/>
    </row>
    <row r="1207" spans="2:23" x14ac:dyDescent="0.35">
      <c r="B1207" s="4">
        <v>30045704</v>
      </c>
      <c r="C1207" s="1" t="s">
        <v>728</v>
      </c>
      <c r="D1207" s="4" t="s">
        <v>86</v>
      </c>
      <c r="E1207" s="3"/>
      <c r="F1207" s="3" t="s">
        <v>68</v>
      </c>
      <c r="G1207">
        <v>2</v>
      </c>
      <c r="H1207" s="4">
        <v>2</v>
      </c>
      <c r="I1207" s="4">
        <v>3</v>
      </c>
      <c r="J1207" s="4" t="s">
        <v>8</v>
      </c>
      <c r="K1207" s="4" t="s">
        <v>7</v>
      </c>
      <c r="L1207" s="11"/>
      <c r="M1207" s="3"/>
      <c r="N1207"/>
      <c r="O1207" s="4"/>
      <c r="P1207" s="1"/>
      <c r="Q1207" s="22"/>
      <c r="R1207"/>
      <c r="S1207" s="11"/>
      <c r="T1207" t="s">
        <v>70</v>
      </c>
      <c r="U1207"/>
      <c r="V1207" s="1"/>
      <c r="W1207" s="1"/>
    </row>
    <row r="1208" spans="2:23" x14ac:dyDescent="0.35">
      <c r="B1208" s="4">
        <v>30048788</v>
      </c>
      <c r="C1208" s="1" t="s">
        <v>730</v>
      </c>
      <c r="D1208" s="4" t="s">
        <v>86</v>
      </c>
      <c r="E1208" s="3"/>
      <c r="F1208" s="3" t="s">
        <v>68</v>
      </c>
      <c r="G1208">
        <v>22</v>
      </c>
      <c r="H1208" s="4">
        <v>37</v>
      </c>
      <c r="I1208" s="4">
        <v>30</v>
      </c>
      <c r="J1208" s="4" t="s">
        <v>10</v>
      </c>
      <c r="K1208" s="4" t="s">
        <v>7</v>
      </c>
      <c r="L1208" s="11"/>
      <c r="M1208" s="3"/>
      <c r="N1208"/>
      <c r="O1208" s="4"/>
      <c r="P1208" s="1"/>
      <c r="Q1208" s="22"/>
      <c r="R1208"/>
      <c r="S1208" s="11"/>
      <c r="T1208" t="s">
        <v>66</v>
      </c>
      <c r="U1208"/>
      <c r="V1208" s="1"/>
      <c r="W1208" s="1"/>
    </row>
    <row r="1209" spans="2:23" x14ac:dyDescent="0.35">
      <c r="B1209" s="4">
        <v>30050566</v>
      </c>
      <c r="C1209" s="1" t="s">
        <v>731</v>
      </c>
      <c r="D1209" s="4" t="s">
        <v>86</v>
      </c>
      <c r="E1209" s="3"/>
      <c r="F1209" s="3" t="s">
        <v>68</v>
      </c>
      <c r="G1209">
        <v>2</v>
      </c>
      <c r="H1209" s="4">
        <v>1</v>
      </c>
      <c r="I1209" s="4">
        <v>2</v>
      </c>
      <c r="J1209" s="4" t="s">
        <v>8</v>
      </c>
      <c r="K1209" s="4" t="s">
        <v>7</v>
      </c>
      <c r="L1209" s="11"/>
      <c r="M1209" s="3"/>
      <c r="N1209"/>
      <c r="O1209" s="4"/>
      <c r="P1209" s="1"/>
      <c r="Q1209" s="22"/>
      <c r="R1209"/>
      <c r="S1209" s="11"/>
      <c r="T1209" t="s">
        <v>70</v>
      </c>
      <c r="U1209"/>
      <c r="V1209" s="1"/>
      <c r="W1209" s="1"/>
    </row>
    <row r="1210" spans="2:23" x14ac:dyDescent="0.35">
      <c r="B1210" s="4">
        <v>30050573</v>
      </c>
      <c r="C1210" s="1" t="s">
        <v>1089</v>
      </c>
      <c r="D1210" s="4" t="s">
        <v>86</v>
      </c>
      <c r="E1210" s="3"/>
      <c r="F1210" s="3" t="s">
        <v>102</v>
      </c>
      <c r="G1210">
        <v>73</v>
      </c>
      <c r="H1210" s="4">
        <v>72</v>
      </c>
      <c r="I1210" s="4">
        <v>239</v>
      </c>
      <c r="J1210" s="4" t="s">
        <v>8</v>
      </c>
      <c r="K1210" s="4" t="s">
        <v>14</v>
      </c>
      <c r="L1210" s="11"/>
      <c r="M1210" s="3"/>
      <c r="N1210"/>
      <c r="O1210" s="4"/>
      <c r="P1210" s="1"/>
      <c r="Q1210" s="22"/>
      <c r="R1210"/>
      <c r="S1210" s="11"/>
      <c r="T1210" t="s">
        <v>71</v>
      </c>
      <c r="U1210"/>
      <c r="V1210" s="1"/>
      <c r="W1210" s="1"/>
    </row>
    <row r="1211" spans="2:23" x14ac:dyDescent="0.35">
      <c r="B1211" s="4">
        <v>30050574</v>
      </c>
      <c r="C1211" s="1" t="s">
        <v>732</v>
      </c>
      <c r="D1211" s="4" t="s">
        <v>86</v>
      </c>
      <c r="E1211" s="3"/>
      <c r="F1211" s="3" t="s">
        <v>68</v>
      </c>
      <c r="G1211">
        <v>8</v>
      </c>
      <c r="H1211" s="4">
        <v>15</v>
      </c>
      <c r="I1211" s="4">
        <v>9</v>
      </c>
      <c r="J1211" s="4" t="s">
        <v>8</v>
      </c>
      <c r="K1211" s="4" t="s">
        <v>7</v>
      </c>
      <c r="L1211" s="11"/>
      <c r="M1211" s="3"/>
      <c r="N1211"/>
      <c r="O1211" s="4"/>
      <c r="P1211" s="1"/>
      <c r="Q1211" s="22"/>
      <c r="R1211"/>
      <c r="S1211" s="11"/>
      <c r="T1211" t="s">
        <v>70</v>
      </c>
      <c r="U1211"/>
      <c r="V1211" s="1"/>
      <c r="W1211" s="1"/>
    </row>
    <row r="1212" spans="2:23" x14ac:dyDescent="0.35">
      <c r="B1212" s="4">
        <v>30050579</v>
      </c>
      <c r="C1212" s="1" t="s">
        <v>733</v>
      </c>
      <c r="D1212" s="4" t="s">
        <v>86</v>
      </c>
      <c r="E1212" s="3"/>
      <c r="F1212" s="3" t="s">
        <v>68</v>
      </c>
      <c r="G1212">
        <v>3</v>
      </c>
      <c r="H1212" s="4">
        <v>5</v>
      </c>
      <c r="I1212" s="4">
        <v>34</v>
      </c>
      <c r="J1212" s="4" t="s">
        <v>8</v>
      </c>
      <c r="K1212" s="4" t="s">
        <v>14</v>
      </c>
      <c r="L1212" s="11"/>
      <c r="M1212" s="3"/>
      <c r="N1212"/>
      <c r="O1212" s="4"/>
      <c r="P1212" s="1"/>
      <c r="Q1212" s="22"/>
      <c r="R1212"/>
      <c r="S1212" s="11"/>
      <c r="T1212" t="s">
        <v>70</v>
      </c>
      <c r="U1212"/>
      <c r="V1212" s="1"/>
      <c r="W1212" s="1"/>
    </row>
    <row r="1213" spans="2:23" x14ac:dyDescent="0.35">
      <c r="B1213" s="4">
        <v>30050586</v>
      </c>
      <c r="C1213" s="1" t="s">
        <v>1090</v>
      </c>
      <c r="D1213" s="4" t="s">
        <v>86</v>
      </c>
      <c r="E1213" s="3"/>
      <c r="F1213" s="3" t="s">
        <v>102</v>
      </c>
      <c r="G1213">
        <v>17</v>
      </c>
      <c r="H1213" s="4">
        <v>16</v>
      </c>
      <c r="I1213" s="4">
        <v>26</v>
      </c>
      <c r="J1213" s="4" t="s">
        <v>8</v>
      </c>
      <c r="K1213" s="4" t="s">
        <v>7</v>
      </c>
      <c r="L1213" s="11"/>
      <c r="M1213" s="3"/>
      <c r="N1213"/>
      <c r="O1213" s="4"/>
      <c r="P1213" s="1"/>
      <c r="Q1213" s="22"/>
      <c r="R1213"/>
      <c r="S1213" s="11"/>
      <c r="T1213" t="s">
        <v>71</v>
      </c>
      <c r="U1213"/>
      <c r="V1213" s="1"/>
      <c r="W1213" s="1"/>
    </row>
    <row r="1214" spans="2:23" x14ac:dyDescent="0.35">
      <c r="B1214" s="4">
        <v>30050731</v>
      </c>
      <c r="C1214" s="1" t="s">
        <v>735</v>
      </c>
      <c r="D1214" s="4" t="s">
        <v>86</v>
      </c>
      <c r="E1214" s="3"/>
      <c r="F1214" s="3" t="s">
        <v>68</v>
      </c>
      <c r="G1214">
        <v>2</v>
      </c>
      <c r="H1214" s="4">
        <v>2</v>
      </c>
      <c r="I1214" s="4">
        <v>3</v>
      </c>
      <c r="J1214" s="4" t="s">
        <v>8</v>
      </c>
      <c r="K1214" s="4" t="s">
        <v>7</v>
      </c>
      <c r="L1214" s="11"/>
      <c r="M1214" s="3"/>
      <c r="N1214"/>
      <c r="O1214" s="4"/>
      <c r="P1214" s="1"/>
      <c r="Q1214" s="22"/>
      <c r="R1214"/>
      <c r="S1214" s="11"/>
      <c r="T1214" t="s">
        <v>70</v>
      </c>
      <c r="U1214"/>
      <c r="V1214" s="1"/>
      <c r="W1214" s="1"/>
    </row>
    <row r="1215" spans="2:23" x14ac:dyDescent="0.35">
      <c r="B1215" s="4">
        <v>30050887</v>
      </c>
      <c r="C1215" s="1" t="s">
        <v>863</v>
      </c>
      <c r="D1215" s="4" t="s">
        <v>86</v>
      </c>
      <c r="E1215" s="3"/>
      <c r="F1215" s="3" t="s">
        <v>102</v>
      </c>
      <c r="G1215">
        <v>2</v>
      </c>
      <c r="H1215" s="4">
        <v>4</v>
      </c>
      <c r="I1215" s="4">
        <v>8</v>
      </c>
      <c r="J1215" s="4" t="s">
        <v>8</v>
      </c>
      <c r="K1215" s="4" t="s">
        <v>14</v>
      </c>
      <c r="L1215" s="11"/>
      <c r="M1215" s="3"/>
      <c r="N1215"/>
      <c r="O1215" s="4"/>
      <c r="P1215" s="1"/>
      <c r="Q1215" s="22"/>
      <c r="R1215"/>
      <c r="S1215" s="11"/>
      <c r="T1215" t="s">
        <v>70</v>
      </c>
      <c r="U1215"/>
      <c r="V1215" s="1"/>
      <c r="W1215" s="1"/>
    </row>
    <row r="1216" spans="2:23" x14ac:dyDescent="0.35">
      <c r="B1216" s="4">
        <v>30050889</v>
      </c>
      <c r="C1216" s="1" t="s">
        <v>864</v>
      </c>
      <c r="D1216" s="4" t="s">
        <v>86</v>
      </c>
      <c r="E1216" s="3"/>
      <c r="F1216" s="3" t="s">
        <v>102</v>
      </c>
      <c r="G1216">
        <v>8</v>
      </c>
      <c r="H1216" s="4">
        <v>8</v>
      </c>
      <c r="I1216" s="4">
        <v>3</v>
      </c>
      <c r="J1216" s="4" t="s">
        <v>8</v>
      </c>
      <c r="K1216" s="4" t="s">
        <v>9</v>
      </c>
      <c r="L1216" s="11">
        <v>1002703441</v>
      </c>
      <c r="M1216" s="3"/>
      <c r="N1216">
        <v>4502713573</v>
      </c>
      <c r="O1216" s="4">
        <v>12</v>
      </c>
      <c r="P1216" s="1" t="s">
        <v>1452</v>
      </c>
      <c r="Q1216" s="22">
        <v>46282</v>
      </c>
      <c r="R1216"/>
      <c r="S1216" s="11"/>
      <c r="T1216" t="s">
        <v>70</v>
      </c>
      <c r="U1216"/>
      <c r="V1216" s="1"/>
      <c r="W1216" s="1"/>
    </row>
    <row r="1217" spans="2:23" x14ac:dyDescent="0.35">
      <c r="B1217" s="4">
        <v>30050922</v>
      </c>
      <c r="C1217" s="1" t="s">
        <v>918</v>
      </c>
      <c r="D1217" s="4" t="s">
        <v>86</v>
      </c>
      <c r="E1217" s="3"/>
      <c r="F1217" s="3" t="s">
        <v>102</v>
      </c>
      <c r="G1217">
        <v>5</v>
      </c>
      <c r="H1217" s="4">
        <v>4</v>
      </c>
      <c r="I1217" s="4">
        <v>9</v>
      </c>
      <c r="J1217" s="4" t="s">
        <v>8</v>
      </c>
      <c r="K1217" s="4" t="s">
        <v>7</v>
      </c>
      <c r="L1217" s="11"/>
      <c r="M1217" s="3"/>
      <c r="N1217"/>
      <c r="O1217" s="4"/>
      <c r="P1217" s="1"/>
      <c r="Q1217" s="22"/>
      <c r="R1217"/>
      <c r="S1217" s="11"/>
      <c r="T1217" t="s">
        <v>66</v>
      </c>
      <c r="U1217"/>
      <c r="V1217" s="1"/>
      <c r="W1217" s="1"/>
    </row>
    <row r="1218" spans="2:23" x14ac:dyDescent="0.35">
      <c r="B1218" s="4">
        <v>30050978</v>
      </c>
      <c r="C1218" s="1" t="s">
        <v>736</v>
      </c>
      <c r="D1218" s="4" t="s">
        <v>86</v>
      </c>
      <c r="E1218" s="3"/>
      <c r="F1218" s="3" t="s">
        <v>68</v>
      </c>
      <c r="G1218">
        <v>2</v>
      </c>
      <c r="H1218" s="4">
        <v>1</v>
      </c>
      <c r="I1218" s="4">
        <v>2</v>
      </c>
      <c r="J1218" s="4" t="s">
        <v>8</v>
      </c>
      <c r="K1218" s="4" t="s">
        <v>7</v>
      </c>
      <c r="L1218" s="11"/>
      <c r="M1218" s="3"/>
      <c r="N1218"/>
      <c r="O1218" s="4"/>
      <c r="P1218" s="1"/>
      <c r="Q1218" s="22"/>
      <c r="R1218"/>
      <c r="S1218" s="11"/>
      <c r="T1218" t="s">
        <v>70</v>
      </c>
      <c r="U1218"/>
      <c r="V1218" s="1"/>
      <c r="W1218" s="1"/>
    </row>
    <row r="1219" spans="2:23" x14ac:dyDescent="0.35">
      <c r="B1219" s="4">
        <v>30050979</v>
      </c>
      <c r="C1219" s="1" t="s">
        <v>737</v>
      </c>
      <c r="D1219" s="4" t="s">
        <v>86</v>
      </c>
      <c r="E1219" s="3"/>
      <c r="F1219" s="3" t="s">
        <v>68</v>
      </c>
      <c r="G1219">
        <v>2</v>
      </c>
      <c r="H1219" s="4">
        <v>2</v>
      </c>
      <c r="I1219" s="4">
        <v>2</v>
      </c>
      <c r="J1219" s="4" t="s">
        <v>8</v>
      </c>
      <c r="K1219" s="4" t="s">
        <v>7</v>
      </c>
      <c r="L1219" s="11"/>
      <c r="M1219" s="3"/>
      <c r="N1219"/>
      <c r="O1219" s="4"/>
      <c r="P1219" s="1"/>
      <c r="Q1219" s="22"/>
      <c r="R1219"/>
      <c r="S1219" s="11"/>
      <c r="T1219" t="s">
        <v>70</v>
      </c>
      <c r="U1219"/>
      <c r="V1219" s="1"/>
      <c r="W1219" s="1"/>
    </row>
    <row r="1220" spans="2:23" x14ac:dyDescent="0.35">
      <c r="B1220" s="4">
        <v>30050981</v>
      </c>
      <c r="C1220" s="1" t="s">
        <v>739</v>
      </c>
      <c r="D1220" s="4" t="s">
        <v>86</v>
      </c>
      <c r="E1220" s="3"/>
      <c r="F1220" s="3" t="s">
        <v>68</v>
      </c>
      <c r="G1220">
        <v>1</v>
      </c>
      <c r="H1220" s="4">
        <v>1</v>
      </c>
      <c r="I1220" s="4">
        <v>1</v>
      </c>
      <c r="J1220" s="4" t="s">
        <v>8</v>
      </c>
      <c r="K1220" s="4" t="s">
        <v>7</v>
      </c>
      <c r="L1220" s="11"/>
      <c r="M1220" s="3"/>
      <c r="N1220"/>
      <c r="O1220" s="4"/>
      <c r="P1220" s="1"/>
      <c r="Q1220" s="22"/>
      <c r="R1220"/>
      <c r="S1220" s="11"/>
      <c r="T1220" t="s">
        <v>70</v>
      </c>
      <c r="U1220"/>
      <c r="V1220" s="1"/>
      <c r="W1220" s="1"/>
    </row>
    <row r="1221" spans="2:23" x14ac:dyDescent="0.35">
      <c r="B1221" s="4">
        <v>30051087</v>
      </c>
      <c r="C1221" s="1" t="s">
        <v>740</v>
      </c>
      <c r="D1221" s="4" t="s">
        <v>86</v>
      </c>
      <c r="E1221" s="3"/>
      <c r="F1221" s="3" t="s">
        <v>68</v>
      </c>
      <c r="G1221">
        <v>6</v>
      </c>
      <c r="H1221" s="4">
        <v>4</v>
      </c>
      <c r="I1221" s="4">
        <v>6</v>
      </c>
      <c r="J1221" s="4" t="s">
        <v>8</v>
      </c>
      <c r="K1221" s="4" t="s">
        <v>7</v>
      </c>
      <c r="L1221" s="11"/>
      <c r="M1221" s="3"/>
      <c r="N1221"/>
      <c r="O1221" s="4"/>
      <c r="P1221" s="1"/>
      <c r="Q1221" s="22"/>
      <c r="R1221"/>
      <c r="S1221" s="11"/>
      <c r="T1221" t="s">
        <v>70</v>
      </c>
      <c r="U1221"/>
      <c r="V1221" s="1"/>
      <c r="W1221" s="1"/>
    </row>
    <row r="1222" spans="2:23" x14ac:dyDescent="0.35">
      <c r="B1222" s="4">
        <v>30051091</v>
      </c>
      <c r="C1222" s="1" t="s">
        <v>744</v>
      </c>
      <c r="D1222" s="4" t="s">
        <v>86</v>
      </c>
      <c r="E1222" s="3"/>
      <c r="F1222" s="3" t="s">
        <v>68</v>
      </c>
      <c r="G1222">
        <v>9</v>
      </c>
      <c r="H1222" s="4">
        <v>4</v>
      </c>
      <c r="I1222" s="4">
        <v>9</v>
      </c>
      <c r="J1222" s="4" t="s">
        <v>8</v>
      </c>
      <c r="K1222" s="4" t="s">
        <v>7</v>
      </c>
      <c r="L1222" s="11"/>
      <c r="M1222" s="3"/>
      <c r="N1222"/>
      <c r="O1222" s="4"/>
      <c r="P1222" s="1"/>
      <c r="Q1222" s="22"/>
      <c r="R1222"/>
      <c r="S1222" s="11"/>
      <c r="T1222" t="s">
        <v>70</v>
      </c>
      <c r="U1222"/>
      <c r="V1222" s="1"/>
      <c r="W1222" s="1"/>
    </row>
    <row r="1223" spans="2:23" x14ac:dyDescent="0.35">
      <c r="B1223" s="4">
        <v>30051123</v>
      </c>
      <c r="C1223" s="1" t="s">
        <v>746</v>
      </c>
      <c r="D1223" s="4" t="s">
        <v>86</v>
      </c>
      <c r="E1223" s="3"/>
      <c r="F1223" s="3" t="s">
        <v>68</v>
      </c>
      <c r="G1223">
        <v>9</v>
      </c>
      <c r="H1223" s="4">
        <v>6</v>
      </c>
      <c r="I1223" s="4">
        <v>9</v>
      </c>
      <c r="J1223" s="4" t="s">
        <v>8</v>
      </c>
      <c r="K1223" s="4" t="s">
        <v>7</v>
      </c>
      <c r="L1223" s="11"/>
      <c r="M1223" s="3"/>
      <c r="N1223"/>
      <c r="O1223" s="4"/>
      <c r="P1223" s="1"/>
      <c r="Q1223" s="22"/>
      <c r="R1223"/>
      <c r="S1223" s="11"/>
      <c r="T1223" t="s">
        <v>70</v>
      </c>
      <c r="U1223"/>
      <c r="V1223" s="1"/>
      <c r="W1223" s="1"/>
    </row>
    <row r="1224" spans="2:23" x14ac:dyDescent="0.35">
      <c r="B1224" s="4">
        <v>30051126</v>
      </c>
      <c r="C1224" s="1" t="s">
        <v>1253</v>
      </c>
      <c r="D1224" s="4" t="s">
        <v>86</v>
      </c>
      <c r="E1224" s="3"/>
      <c r="F1224" s="3" t="s">
        <v>68</v>
      </c>
      <c r="G1224">
        <v>7</v>
      </c>
      <c r="H1224" s="4">
        <v>4</v>
      </c>
      <c r="I1224" s="4">
        <v>8</v>
      </c>
      <c r="J1224" s="4" t="s">
        <v>8</v>
      </c>
      <c r="K1224" s="4" t="s">
        <v>7</v>
      </c>
      <c r="L1224" s="11"/>
      <c r="M1224" s="3"/>
      <c r="N1224"/>
      <c r="O1224" s="4"/>
      <c r="P1224" s="1"/>
      <c r="Q1224" s="22"/>
      <c r="R1224"/>
      <c r="S1224" s="11"/>
      <c r="T1224" t="s">
        <v>70</v>
      </c>
      <c r="U1224"/>
      <c r="V1224" s="1"/>
      <c r="W1224" s="1"/>
    </row>
    <row r="1225" spans="2:23" x14ac:dyDescent="0.35">
      <c r="B1225" s="4">
        <v>30051127</v>
      </c>
      <c r="C1225" s="1" t="s">
        <v>1254</v>
      </c>
      <c r="D1225" s="4" t="s">
        <v>86</v>
      </c>
      <c r="E1225" s="3"/>
      <c r="F1225" s="3" t="s">
        <v>68</v>
      </c>
      <c r="G1225">
        <v>7</v>
      </c>
      <c r="H1225" s="4">
        <v>4</v>
      </c>
      <c r="I1225" s="4">
        <v>8</v>
      </c>
      <c r="J1225" s="4" t="s">
        <v>8</v>
      </c>
      <c r="K1225" s="4" t="s">
        <v>7</v>
      </c>
      <c r="L1225" s="11"/>
      <c r="M1225" s="3"/>
      <c r="N1225"/>
      <c r="O1225" s="4"/>
      <c r="P1225" s="1"/>
      <c r="Q1225" s="22"/>
      <c r="R1225"/>
      <c r="S1225" s="11"/>
      <c r="T1225" t="s">
        <v>70</v>
      </c>
      <c r="U1225"/>
      <c r="V1225" s="1"/>
      <c r="W1225" s="1"/>
    </row>
    <row r="1226" spans="2:23" x14ac:dyDescent="0.35">
      <c r="B1226" s="4">
        <v>30051148</v>
      </c>
      <c r="C1226" s="1" t="s">
        <v>748</v>
      </c>
      <c r="D1226" s="4" t="s">
        <v>86</v>
      </c>
      <c r="E1226" s="3"/>
      <c r="F1226" s="3" t="s">
        <v>68</v>
      </c>
      <c r="G1226">
        <v>4</v>
      </c>
      <c r="H1226" s="4">
        <v>2</v>
      </c>
      <c r="I1226" s="4">
        <v>5</v>
      </c>
      <c r="J1226" s="4" t="s">
        <v>8</v>
      </c>
      <c r="K1226" s="4" t="s">
        <v>7</v>
      </c>
      <c r="L1226" s="11"/>
      <c r="M1226" s="3"/>
      <c r="N1226"/>
      <c r="O1226" s="4"/>
      <c r="P1226" s="1"/>
      <c r="Q1226" s="22"/>
      <c r="R1226"/>
      <c r="S1226" s="11" t="s">
        <v>6893</v>
      </c>
      <c r="T1226" t="s">
        <v>70</v>
      </c>
      <c r="U1226"/>
      <c r="V1226" s="1"/>
      <c r="W1226" s="1"/>
    </row>
    <row r="1227" spans="2:23" x14ac:dyDescent="0.35">
      <c r="B1227" s="4">
        <v>30051149</v>
      </c>
      <c r="C1227" s="1" t="s">
        <v>870</v>
      </c>
      <c r="D1227" s="4" t="s">
        <v>86</v>
      </c>
      <c r="E1227" s="3"/>
      <c r="F1227" s="3" t="s">
        <v>102</v>
      </c>
      <c r="G1227">
        <v>4</v>
      </c>
      <c r="H1227" s="4">
        <v>3</v>
      </c>
      <c r="I1227" s="4">
        <v>4</v>
      </c>
      <c r="J1227" s="4" t="s">
        <v>8</v>
      </c>
      <c r="K1227" s="4" t="s">
        <v>7</v>
      </c>
      <c r="L1227" s="11"/>
      <c r="M1227" s="3"/>
      <c r="N1227"/>
      <c r="O1227" s="4"/>
      <c r="P1227" s="1"/>
      <c r="Q1227" s="22"/>
      <c r="R1227"/>
      <c r="S1227" s="11"/>
      <c r="T1227" t="s">
        <v>70</v>
      </c>
      <c r="U1227"/>
      <c r="V1227" s="1"/>
      <c r="W1227" s="1"/>
    </row>
    <row r="1228" spans="2:23" x14ac:dyDescent="0.35">
      <c r="B1228" s="4">
        <v>30051151</v>
      </c>
      <c r="C1228" s="1" t="s">
        <v>919</v>
      </c>
      <c r="D1228" s="4" t="s">
        <v>86</v>
      </c>
      <c r="E1228" s="3" t="s">
        <v>1225</v>
      </c>
      <c r="F1228" s="3" t="s">
        <v>102</v>
      </c>
      <c r="G1228">
        <v>4</v>
      </c>
      <c r="H1228" s="4">
        <v>3</v>
      </c>
      <c r="I1228" s="4">
        <v>6</v>
      </c>
      <c r="J1228" s="4" t="s">
        <v>8</v>
      </c>
      <c r="K1228" s="4" t="s">
        <v>7</v>
      </c>
      <c r="L1228" s="11"/>
      <c r="M1228" s="3"/>
      <c r="N1228"/>
      <c r="O1228" s="4"/>
      <c r="P1228" s="1"/>
      <c r="Q1228" s="22"/>
      <c r="R1228"/>
      <c r="S1228" s="11"/>
      <c r="T1228" t="s">
        <v>71</v>
      </c>
      <c r="U1228"/>
      <c r="V1228" s="1"/>
      <c r="W1228" s="1"/>
    </row>
    <row r="1229" spans="2:23" x14ac:dyDescent="0.35">
      <c r="B1229" s="4">
        <v>30051303</v>
      </c>
      <c r="C1229" s="1" t="s">
        <v>749</v>
      </c>
      <c r="D1229" s="4" t="s">
        <v>86</v>
      </c>
      <c r="E1229" s="3"/>
      <c r="F1229" s="3" t="s">
        <v>68</v>
      </c>
      <c r="G1229">
        <v>2</v>
      </c>
      <c r="H1229" s="4">
        <v>3</v>
      </c>
      <c r="I1229" s="4">
        <v>2</v>
      </c>
      <c r="J1229" s="4" t="s">
        <v>8</v>
      </c>
      <c r="K1229" s="4" t="s">
        <v>7</v>
      </c>
      <c r="L1229" s="11"/>
      <c r="M1229" s="3"/>
      <c r="N1229"/>
      <c r="O1229" s="4"/>
      <c r="P1229" s="1"/>
      <c r="Q1229" s="22"/>
      <c r="R1229"/>
      <c r="S1229" s="11"/>
      <c r="T1229" t="s">
        <v>70</v>
      </c>
      <c r="U1229"/>
      <c r="V1229" s="1"/>
      <c r="W1229" s="1"/>
    </row>
    <row r="1230" spans="2:23" x14ac:dyDescent="0.35">
      <c r="B1230" s="4">
        <v>30051390</v>
      </c>
      <c r="C1230" s="1" t="s">
        <v>750</v>
      </c>
      <c r="D1230" s="4" t="s">
        <v>86</v>
      </c>
      <c r="E1230" s="3"/>
      <c r="F1230" s="3" t="s">
        <v>68</v>
      </c>
      <c r="G1230">
        <v>54</v>
      </c>
      <c r="H1230" s="4">
        <v>54</v>
      </c>
      <c r="I1230" s="4">
        <v>59</v>
      </c>
      <c r="J1230" s="4" t="s">
        <v>25</v>
      </c>
      <c r="K1230" s="4" t="s">
        <v>7</v>
      </c>
      <c r="L1230" s="11"/>
      <c r="M1230" s="3"/>
      <c r="N1230"/>
      <c r="O1230" s="4"/>
      <c r="P1230" s="1"/>
      <c r="Q1230" s="22"/>
      <c r="R1230"/>
      <c r="S1230" s="11"/>
      <c r="T1230" t="s">
        <v>71</v>
      </c>
      <c r="U1230"/>
      <c r="V1230" s="1"/>
      <c r="W1230" s="1"/>
    </row>
    <row r="1231" spans="2:23" x14ac:dyDescent="0.35">
      <c r="B1231" s="4">
        <v>30051434</v>
      </c>
      <c r="C1231" s="1" t="s">
        <v>751</v>
      </c>
      <c r="D1231" s="4" t="s">
        <v>86</v>
      </c>
      <c r="E1231" s="3"/>
      <c r="F1231" s="3" t="s">
        <v>68</v>
      </c>
      <c r="G1231">
        <v>15</v>
      </c>
      <c r="H1231" s="4">
        <v>15</v>
      </c>
      <c r="I1231" s="4">
        <v>26</v>
      </c>
      <c r="J1231" s="4" t="s">
        <v>8</v>
      </c>
      <c r="K1231" s="4" t="s">
        <v>7</v>
      </c>
      <c r="L1231" s="11"/>
      <c r="M1231" s="3"/>
      <c r="N1231"/>
      <c r="O1231" s="4"/>
      <c r="P1231" s="1"/>
      <c r="Q1231" s="22"/>
      <c r="R1231"/>
      <c r="S1231" s="11"/>
      <c r="T1231" t="s">
        <v>70</v>
      </c>
      <c r="U1231"/>
      <c r="V1231" s="1"/>
      <c r="W1231" s="1"/>
    </row>
    <row r="1232" spans="2:23" x14ac:dyDescent="0.35">
      <c r="B1232" s="4">
        <v>30051435</v>
      </c>
      <c r="C1232" s="1" t="s">
        <v>752</v>
      </c>
      <c r="D1232" s="4" t="s">
        <v>86</v>
      </c>
      <c r="E1232" s="3"/>
      <c r="F1232" s="3" t="s">
        <v>68</v>
      </c>
      <c r="G1232">
        <v>28</v>
      </c>
      <c r="H1232" s="4">
        <v>20</v>
      </c>
      <c r="I1232" s="4">
        <v>46</v>
      </c>
      <c r="J1232" s="4" t="s">
        <v>8</v>
      </c>
      <c r="K1232" s="4" t="s">
        <v>7</v>
      </c>
      <c r="L1232" s="11"/>
      <c r="M1232" s="3"/>
      <c r="N1232"/>
      <c r="O1232" s="4"/>
      <c r="P1232" s="1"/>
      <c r="Q1232" s="22"/>
      <c r="R1232"/>
      <c r="S1232" s="11"/>
      <c r="T1232" t="s">
        <v>70</v>
      </c>
      <c r="U1232"/>
      <c r="V1232" s="1"/>
      <c r="W1232" s="1"/>
    </row>
    <row r="1233" spans="2:23" x14ac:dyDescent="0.35">
      <c r="B1233" s="4">
        <v>30051440</v>
      </c>
      <c r="C1233" s="1" t="s">
        <v>753</v>
      </c>
      <c r="D1233" s="4" t="s">
        <v>86</v>
      </c>
      <c r="E1233" s="3"/>
      <c r="F1233" s="3" t="s">
        <v>68</v>
      </c>
      <c r="G1233">
        <v>3500</v>
      </c>
      <c r="H1233" s="4">
        <v>12740</v>
      </c>
      <c r="I1233" s="4">
        <v>3538</v>
      </c>
      <c r="J1233" s="4" t="s">
        <v>23</v>
      </c>
      <c r="K1233" s="4" t="s">
        <v>7</v>
      </c>
      <c r="L1233" s="11"/>
      <c r="M1233" s="3"/>
      <c r="N1233"/>
      <c r="O1233" s="4"/>
      <c r="P1233" s="1"/>
      <c r="Q1233" s="22"/>
      <c r="R1233"/>
      <c r="S1233" s="11"/>
      <c r="T1233" t="s">
        <v>70</v>
      </c>
      <c r="U1233"/>
      <c r="V1233" s="1"/>
      <c r="W1233" s="1"/>
    </row>
    <row r="1234" spans="2:23" x14ac:dyDescent="0.35">
      <c r="B1234" s="4">
        <v>30051455</v>
      </c>
      <c r="C1234" s="1" t="s">
        <v>754</v>
      </c>
      <c r="D1234" s="4" t="s">
        <v>86</v>
      </c>
      <c r="E1234" s="3"/>
      <c r="F1234" s="3" t="s">
        <v>68</v>
      </c>
      <c r="G1234">
        <v>3</v>
      </c>
      <c r="H1234" s="4">
        <v>3</v>
      </c>
      <c r="I1234" s="4">
        <v>4</v>
      </c>
      <c r="J1234" s="4" t="s">
        <v>8</v>
      </c>
      <c r="K1234" s="4" t="s">
        <v>7</v>
      </c>
      <c r="L1234" s="11"/>
      <c r="M1234" s="3"/>
      <c r="N1234"/>
      <c r="O1234" s="4"/>
      <c r="P1234" s="1"/>
      <c r="Q1234" s="22"/>
      <c r="R1234"/>
      <c r="S1234" s="11"/>
      <c r="T1234" t="s">
        <v>70</v>
      </c>
      <c r="U1234"/>
      <c r="V1234" s="1"/>
      <c r="W1234" s="1"/>
    </row>
    <row r="1235" spans="2:23" x14ac:dyDescent="0.35">
      <c r="B1235" s="4">
        <v>30051536</v>
      </c>
      <c r="C1235" s="1" t="s">
        <v>1616</v>
      </c>
      <c r="D1235" s="4" t="s">
        <v>86</v>
      </c>
      <c r="E1235" s="3"/>
      <c r="F1235" s="3" t="s">
        <v>68</v>
      </c>
      <c r="G1235">
        <v>200</v>
      </c>
      <c r="H1235" s="4">
        <v>50</v>
      </c>
      <c r="I1235" s="4">
        <v>300</v>
      </c>
      <c r="J1235" s="4" t="s">
        <v>8</v>
      </c>
      <c r="K1235" s="4" t="s">
        <v>14</v>
      </c>
      <c r="L1235" s="11"/>
      <c r="M1235" s="3"/>
      <c r="N1235"/>
      <c r="O1235" s="4"/>
      <c r="P1235" s="1"/>
      <c r="Q1235" s="22"/>
      <c r="R1235"/>
      <c r="S1235" s="11"/>
      <c r="T1235" t="s">
        <v>70</v>
      </c>
      <c r="U1235"/>
      <c r="V1235" s="1"/>
      <c r="W1235" s="1"/>
    </row>
    <row r="1236" spans="2:23" x14ac:dyDescent="0.35">
      <c r="B1236" s="4">
        <v>30051537</v>
      </c>
      <c r="C1236" s="1" t="s">
        <v>755</v>
      </c>
      <c r="D1236" s="4" t="s">
        <v>86</v>
      </c>
      <c r="E1236" s="3"/>
      <c r="F1236" s="3" t="s">
        <v>68</v>
      </c>
      <c r="G1236">
        <v>200</v>
      </c>
      <c r="H1236" s="4">
        <v>50</v>
      </c>
      <c r="I1236" s="4">
        <v>344</v>
      </c>
      <c r="J1236" s="4" t="s">
        <v>8</v>
      </c>
      <c r="K1236" s="4" t="s">
        <v>14</v>
      </c>
      <c r="L1236" s="11"/>
      <c r="M1236" s="3"/>
      <c r="N1236"/>
      <c r="O1236" s="4"/>
      <c r="P1236" s="1"/>
      <c r="Q1236" s="22"/>
      <c r="R1236"/>
      <c r="S1236" s="11"/>
      <c r="T1236" t="s">
        <v>1603</v>
      </c>
      <c r="U1236"/>
      <c r="V1236" s="1"/>
      <c r="W1236" s="1"/>
    </row>
    <row r="1237" spans="2:23" x14ac:dyDescent="0.35">
      <c r="B1237" s="4">
        <v>30051538</v>
      </c>
      <c r="C1237" s="1" t="s">
        <v>756</v>
      </c>
      <c r="D1237" s="4" t="s">
        <v>86</v>
      </c>
      <c r="E1237" s="3"/>
      <c r="F1237" s="3" t="s">
        <v>68</v>
      </c>
      <c r="G1237">
        <v>200</v>
      </c>
      <c r="H1237" s="4">
        <v>50</v>
      </c>
      <c r="I1237" s="4">
        <v>203</v>
      </c>
      <c r="J1237" s="4" t="s">
        <v>8</v>
      </c>
      <c r="K1237" s="4" t="s">
        <v>7</v>
      </c>
      <c r="L1237" s="11"/>
      <c r="M1237" s="3"/>
      <c r="N1237"/>
      <c r="O1237" s="4"/>
      <c r="P1237" s="1"/>
      <c r="Q1237" s="22"/>
      <c r="R1237"/>
      <c r="S1237" s="11"/>
      <c r="T1237" t="s">
        <v>1603</v>
      </c>
      <c r="U1237"/>
      <c r="V1237" s="1"/>
      <c r="W1237" s="1"/>
    </row>
    <row r="1238" spans="2:23" x14ac:dyDescent="0.35">
      <c r="B1238" s="4">
        <v>30051539</v>
      </c>
      <c r="C1238" s="1" t="s">
        <v>1507</v>
      </c>
      <c r="D1238" s="4" t="s">
        <v>86</v>
      </c>
      <c r="E1238" s="3"/>
      <c r="F1238" s="3" t="s">
        <v>68</v>
      </c>
      <c r="G1238">
        <v>100</v>
      </c>
      <c r="H1238" s="4">
        <v>300</v>
      </c>
      <c r="I1238" s="4">
        <v>400</v>
      </c>
      <c r="J1238" s="4" t="s">
        <v>8</v>
      </c>
      <c r="K1238" s="4" t="s">
        <v>7</v>
      </c>
      <c r="L1238" s="11"/>
      <c r="M1238" s="3"/>
      <c r="N1238"/>
      <c r="O1238" s="4"/>
      <c r="P1238" s="1"/>
      <c r="Q1238" s="22"/>
      <c r="R1238"/>
      <c r="S1238" s="11"/>
      <c r="T1238" t="s">
        <v>1603</v>
      </c>
      <c r="U1238"/>
      <c r="V1238" s="1"/>
      <c r="W1238" s="1"/>
    </row>
    <row r="1239" spans="2:23" x14ac:dyDescent="0.35">
      <c r="B1239" s="4">
        <v>30051540</v>
      </c>
      <c r="C1239" s="1" t="s">
        <v>757</v>
      </c>
      <c r="D1239" s="4" t="s">
        <v>86</v>
      </c>
      <c r="E1239" s="3"/>
      <c r="F1239" s="3" t="s">
        <v>68</v>
      </c>
      <c r="G1239">
        <v>150</v>
      </c>
      <c r="H1239" s="4">
        <v>300</v>
      </c>
      <c r="I1239" s="4">
        <v>200</v>
      </c>
      <c r="J1239" s="4" t="s">
        <v>8</v>
      </c>
      <c r="K1239" s="4" t="s">
        <v>7</v>
      </c>
      <c r="L1239" s="11"/>
      <c r="M1239" s="3"/>
      <c r="N1239"/>
      <c r="O1239" s="4"/>
      <c r="P1239" s="1"/>
      <c r="Q1239" s="22"/>
      <c r="R1239"/>
      <c r="S1239" s="11"/>
      <c r="T1239" t="s">
        <v>1603</v>
      </c>
      <c r="U1239"/>
      <c r="V1239" s="1"/>
      <c r="W1239" s="1"/>
    </row>
    <row r="1240" spans="2:23" x14ac:dyDescent="0.35">
      <c r="B1240" s="4">
        <v>30051541</v>
      </c>
      <c r="C1240" s="1" t="s">
        <v>758</v>
      </c>
      <c r="D1240" s="4" t="s">
        <v>86</v>
      </c>
      <c r="E1240" s="3"/>
      <c r="F1240" s="3" t="s">
        <v>68</v>
      </c>
      <c r="G1240">
        <v>2</v>
      </c>
      <c r="H1240" s="4">
        <v>2</v>
      </c>
      <c r="I1240" s="4">
        <v>8</v>
      </c>
      <c r="J1240" s="4" t="s">
        <v>8</v>
      </c>
      <c r="K1240" s="4" t="s">
        <v>14</v>
      </c>
      <c r="L1240" s="11"/>
      <c r="M1240" s="3"/>
      <c r="N1240"/>
      <c r="O1240" s="4"/>
      <c r="P1240" s="1"/>
      <c r="Q1240" s="22"/>
      <c r="R1240"/>
      <c r="S1240" s="11"/>
      <c r="T1240" t="s">
        <v>70</v>
      </c>
      <c r="U1240"/>
      <c r="V1240" s="1"/>
      <c r="W1240" s="1"/>
    </row>
    <row r="1241" spans="2:23" x14ac:dyDescent="0.35">
      <c r="B1241" s="4">
        <v>30051542</v>
      </c>
      <c r="C1241" s="1" t="s">
        <v>1343</v>
      </c>
      <c r="D1241" s="4" t="s">
        <v>86</v>
      </c>
      <c r="E1241" s="3"/>
      <c r="F1241" s="3" t="s">
        <v>68</v>
      </c>
      <c r="G1241">
        <v>3</v>
      </c>
      <c r="H1241" s="4">
        <v>4</v>
      </c>
      <c r="I1241" s="4">
        <v>4</v>
      </c>
      <c r="J1241" s="4" t="s">
        <v>8</v>
      </c>
      <c r="K1241" s="4" t="s">
        <v>7</v>
      </c>
      <c r="L1241" s="11"/>
      <c r="M1241" s="3"/>
      <c r="N1241"/>
      <c r="O1241" s="4"/>
      <c r="P1241" s="1"/>
      <c r="Q1241" s="22"/>
      <c r="R1241"/>
      <c r="S1241" s="11"/>
      <c r="T1241" t="s">
        <v>66</v>
      </c>
      <c r="U1241"/>
      <c r="V1241" s="1"/>
      <c r="W1241" s="1"/>
    </row>
    <row r="1242" spans="2:23" x14ac:dyDescent="0.35">
      <c r="B1242" s="4">
        <v>30051604</v>
      </c>
      <c r="C1242" s="1" t="s">
        <v>759</v>
      </c>
      <c r="D1242" s="4" t="s">
        <v>86</v>
      </c>
      <c r="E1242" s="3"/>
      <c r="F1242" s="3" t="s">
        <v>68</v>
      </c>
      <c r="G1242">
        <v>2</v>
      </c>
      <c r="H1242" s="4">
        <v>2</v>
      </c>
      <c r="I1242" s="4">
        <v>6</v>
      </c>
      <c r="J1242" s="4" t="s">
        <v>8</v>
      </c>
      <c r="K1242" s="4" t="s">
        <v>14</v>
      </c>
      <c r="L1242" s="11"/>
      <c r="M1242" s="3"/>
      <c r="N1242"/>
      <c r="O1242" s="4"/>
      <c r="P1242" s="1"/>
      <c r="Q1242" s="22"/>
      <c r="R1242"/>
      <c r="S1242" s="11"/>
      <c r="T1242" t="s">
        <v>66</v>
      </c>
      <c r="U1242"/>
      <c r="V1242" s="1"/>
      <c r="W1242" s="1"/>
    </row>
    <row r="1243" spans="2:23" x14ac:dyDescent="0.35">
      <c r="B1243" s="4">
        <v>30051653</v>
      </c>
      <c r="C1243" s="1" t="s">
        <v>760</v>
      </c>
      <c r="D1243" s="4" t="s">
        <v>86</v>
      </c>
      <c r="E1243" s="3"/>
      <c r="F1243" s="3" t="s">
        <v>68</v>
      </c>
      <c r="G1243">
        <v>2</v>
      </c>
      <c r="H1243" s="4">
        <v>3</v>
      </c>
      <c r="I1243" s="4">
        <v>5</v>
      </c>
      <c r="J1243" s="4" t="s">
        <v>8</v>
      </c>
      <c r="K1243" s="4" t="s">
        <v>7</v>
      </c>
      <c r="L1243" s="11"/>
      <c r="M1243" s="3"/>
      <c r="N1243"/>
      <c r="O1243" s="4"/>
      <c r="P1243" s="1"/>
      <c r="Q1243" s="22"/>
      <c r="R1243"/>
      <c r="S1243" s="11"/>
      <c r="T1243" t="s">
        <v>66</v>
      </c>
      <c r="U1243"/>
      <c r="V1243" s="1"/>
      <c r="W1243" s="1"/>
    </row>
    <row r="1244" spans="2:23" x14ac:dyDescent="0.35">
      <c r="B1244" s="4">
        <v>30051659</v>
      </c>
      <c r="C1244" s="1" t="s">
        <v>761</v>
      </c>
      <c r="D1244" s="4" t="s">
        <v>86</v>
      </c>
      <c r="E1244" s="3"/>
      <c r="F1244" s="3" t="s">
        <v>68</v>
      </c>
      <c r="G1244">
        <v>7</v>
      </c>
      <c r="H1244" s="4">
        <v>4</v>
      </c>
      <c r="I1244" s="4">
        <v>8</v>
      </c>
      <c r="J1244" s="4" t="s">
        <v>8</v>
      </c>
      <c r="K1244" s="4" t="s">
        <v>7</v>
      </c>
      <c r="L1244" s="11"/>
      <c r="M1244" s="3"/>
      <c r="N1244"/>
      <c r="O1244" s="4"/>
      <c r="P1244" s="1"/>
      <c r="Q1244" s="22"/>
      <c r="R1244"/>
      <c r="S1244" s="11"/>
      <c r="T1244" t="s">
        <v>71</v>
      </c>
      <c r="U1244"/>
      <c r="V1244" s="1"/>
      <c r="W1244" s="1"/>
    </row>
    <row r="1245" spans="2:23" x14ac:dyDescent="0.35">
      <c r="B1245" s="4">
        <v>30051725</v>
      </c>
      <c r="C1245" s="1" t="s">
        <v>762</v>
      </c>
      <c r="D1245" s="4" t="s">
        <v>86</v>
      </c>
      <c r="E1245" s="3"/>
      <c r="F1245" s="3" t="s">
        <v>68</v>
      </c>
      <c r="G1245">
        <v>2</v>
      </c>
      <c r="H1245" s="4">
        <v>3</v>
      </c>
      <c r="I1245" s="4">
        <v>3</v>
      </c>
      <c r="J1245" s="4" t="s">
        <v>8</v>
      </c>
      <c r="K1245" s="4" t="s">
        <v>7</v>
      </c>
      <c r="L1245" s="11"/>
      <c r="M1245" s="3"/>
      <c r="N1245"/>
      <c r="O1245" s="4"/>
      <c r="P1245" s="1"/>
      <c r="Q1245" s="22"/>
      <c r="R1245"/>
      <c r="S1245" s="11"/>
      <c r="T1245" t="s">
        <v>66</v>
      </c>
      <c r="U1245"/>
      <c r="V1245" s="1"/>
      <c r="W1245" s="1"/>
    </row>
    <row r="1246" spans="2:23" x14ac:dyDescent="0.35">
      <c r="B1246" s="4">
        <v>30051767</v>
      </c>
      <c r="C1246" s="1" t="s">
        <v>763</v>
      </c>
      <c r="D1246" s="4" t="s">
        <v>86</v>
      </c>
      <c r="E1246" s="3"/>
      <c r="F1246" s="3" t="s">
        <v>68</v>
      </c>
      <c r="G1246">
        <v>20</v>
      </c>
      <c r="H1246" s="4">
        <v>20</v>
      </c>
      <c r="I1246" s="4">
        <v>34</v>
      </c>
      <c r="J1246" s="4" t="s">
        <v>10</v>
      </c>
      <c r="K1246" s="4" t="s">
        <v>7</v>
      </c>
      <c r="L1246" s="11"/>
      <c r="M1246" s="3"/>
      <c r="N1246"/>
      <c r="O1246" s="4"/>
      <c r="P1246" s="1"/>
      <c r="Q1246" s="22"/>
      <c r="R1246"/>
      <c r="S1246" s="11"/>
      <c r="T1246" t="s">
        <v>66</v>
      </c>
      <c r="U1246"/>
      <c r="V1246" s="1"/>
      <c r="W1246" s="1"/>
    </row>
    <row r="1247" spans="2:23" x14ac:dyDescent="0.35">
      <c r="B1247" s="4">
        <v>30052303</v>
      </c>
      <c r="C1247" s="1" t="s">
        <v>765</v>
      </c>
      <c r="D1247" s="4" t="s">
        <v>86</v>
      </c>
      <c r="E1247" s="3"/>
      <c r="F1247" s="3" t="s">
        <v>68</v>
      </c>
      <c r="G1247">
        <v>2</v>
      </c>
      <c r="H1247" s="4">
        <v>2</v>
      </c>
      <c r="I1247" s="4">
        <v>2</v>
      </c>
      <c r="J1247" s="4" t="s">
        <v>8</v>
      </c>
      <c r="K1247" s="4" t="s">
        <v>7</v>
      </c>
      <c r="L1247" s="11"/>
      <c r="M1247" s="3"/>
      <c r="N1247"/>
      <c r="O1247" s="4"/>
      <c r="P1247" s="1"/>
      <c r="Q1247" s="22"/>
      <c r="R1247"/>
      <c r="S1247" s="11"/>
      <c r="T1247" t="s">
        <v>71</v>
      </c>
      <c r="U1247"/>
      <c r="V1247" s="1"/>
      <c r="W1247" s="1"/>
    </row>
    <row r="1248" spans="2:23" x14ac:dyDescent="0.35">
      <c r="B1248" s="4">
        <v>30052311</v>
      </c>
      <c r="C1248" s="1" t="s">
        <v>766</v>
      </c>
      <c r="D1248" s="4" t="s">
        <v>86</v>
      </c>
      <c r="E1248" s="3"/>
      <c r="F1248" s="3" t="s">
        <v>68</v>
      </c>
      <c r="G1248">
        <v>2</v>
      </c>
      <c r="H1248" s="4">
        <v>1</v>
      </c>
      <c r="I1248" s="4">
        <v>18</v>
      </c>
      <c r="J1248" s="4" t="s">
        <v>8</v>
      </c>
      <c r="K1248" s="4" t="s">
        <v>14</v>
      </c>
      <c r="L1248" s="11"/>
      <c r="M1248" s="3"/>
      <c r="N1248"/>
      <c r="O1248" s="4"/>
      <c r="P1248" s="1"/>
      <c r="Q1248" s="22"/>
      <c r="R1248"/>
      <c r="S1248" s="11"/>
      <c r="T1248" t="s">
        <v>70</v>
      </c>
      <c r="U1248"/>
      <c r="V1248" s="1"/>
      <c r="W1248" s="1"/>
    </row>
    <row r="1249" spans="2:23" x14ac:dyDescent="0.35">
      <c r="B1249" s="4">
        <v>30052324</v>
      </c>
      <c r="C1249" s="1" t="s">
        <v>767</v>
      </c>
      <c r="D1249" s="4" t="s">
        <v>86</v>
      </c>
      <c r="E1249" s="3"/>
      <c r="F1249" s="3" t="s">
        <v>68</v>
      </c>
      <c r="G1249">
        <v>2</v>
      </c>
      <c r="H1249" s="4">
        <v>1</v>
      </c>
      <c r="I1249" s="4">
        <v>27</v>
      </c>
      <c r="J1249" s="4" t="s">
        <v>8</v>
      </c>
      <c r="K1249" s="4" t="s">
        <v>14</v>
      </c>
      <c r="L1249" s="11"/>
      <c r="M1249" s="3"/>
      <c r="N1249"/>
      <c r="O1249" s="4"/>
      <c r="P1249" s="1"/>
      <c r="Q1249" s="22"/>
      <c r="R1249"/>
      <c r="S1249" s="11"/>
      <c r="T1249" t="s">
        <v>67</v>
      </c>
      <c r="U1249"/>
      <c r="V1249" s="1"/>
      <c r="W1249" s="1"/>
    </row>
    <row r="1250" spans="2:23" x14ac:dyDescent="0.35">
      <c r="B1250" s="4">
        <v>30052991</v>
      </c>
      <c r="C1250" s="1" t="s">
        <v>1092</v>
      </c>
      <c r="D1250" s="4" t="s">
        <v>86</v>
      </c>
      <c r="E1250" s="3"/>
      <c r="F1250" s="3" t="s">
        <v>102</v>
      </c>
      <c r="G1250">
        <v>2</v>
      </c>
      <c r="H1250" s="4">
        <v>1</v>
      </c>
      <c r="I1250" s="4">
        <v>3</v>
      </c>
      <c r="J1250" s="4" t="s">
        <v>8</v>
      </c>
      <c r="K1250" s="4" t="s">
        <v>7</v>
      </c>
      <c r="L1250" s="11"/>
      <c r="M1250" s="3"/>
      <c r="N1250"/>
      <c r="O1250" s="4"/>
      <c r="P1250" s="1"/>
      <c r="Q1250" s="22"/>
      <c r="R1250"/>
      <c r="S1250" s="11"/>
      <c r="T1250" t="s">
        <v>67</v>
      </c>
      <c r="U1250"/>
      <c r="V1250" s="1"/>
      <c r="W1250" s="1"/>
    </row>
    <row r="1251" spans="2:23" x14ac:dyDescent="0.35">
      <c r="B1251" s="4">
        <v>30053002</v>
      </c>
      <c r="C1251" s="1" t="s">
        <v>920</v>
      </c>
      <c r="D1251" s="4" t="s">
        <v>86</v>
      </c>
      <c r="E1251" s="3" t="s">
        <v>1225</v>
      </c>
      <c r="F1251" s="3" t="s">
        <v>102</v>
      </c>
      <c r="G1251">
        <v>3</v>
      </c>
      <c r="H1251" s="4">
        <v>2</v>
      </c>
      <c r="I1251" s="4">
        <v>3</v>
      </c>
      <c r="J1251" s="4" t="s">
        <v>8</v>
      </c>
      <c r="K1251" s="4" t="s">
        <v>7</v>
      </c>
      <c r="L1251" s="11"/>
      <c r="M1251" s="3"/>
      <c r="N1251"/>
      <c r="O1251" s="4"/>
      <c r="P1251" s="1"/>
      <c r="Q1251" s="22"/>
      <c r="R1251"/>
      <c r="S1251" s="11"/>
      <c r="T1251" t="s">
        <v>71</v>
      </c>
      <c r="U1251"/>
      <c r="V1251" s="1"/>
      <c r="W1251" s="1"/>
    </row>
    <row r="1252" spans="2:23" x14ac:dyDescent="0.35">
      <c r="B1252" s="4">
        <v>30053005</v>
      </c>
      <c r="C1252" s="1" t="s">
        <v>921</v>
      </c>
      <c r="D1252" s="4" t="s">
        <v>86</v>
      </c>
      <c r="E1252" s="3" t="s">
        <v>1225</v>
      </c>
      <c r="F1252" s="3" t="s">
        <v>102</v>
      </c>
      <c r="G1252">
        <v>2</v>
      </c>
      <c r="H1252" s="4">
        <v>2</v>
      </c>
      <c r="I1252" s="4">
        <v>3</v>
      </c>
      <c r="J1252" s="4" t="s">
        <v>8</v>
      </c>
      <c r="K1252" s="4" t="s">
        <v>7</v>
      </c>
      <c r="L1252" s="11"/>
      <c r="M1252" s="3"/>
      <c r="N1252"/>
      <c r="O1252" s="4"/>
      <c r="P1252" s="1"/>
      <c r="Q1252" s="22"/>
      <c r="R1252"/>
      <c r="S1252" s="11"/>
      <c r="T1252" t="s">
        <v>71</v>
      </c>
      <c r="U1252"/>
      <c r="V1252" s="1"/>
      <c r="W1252" s="1"/>
    </row>
    <row r="1253" spans="2:23" x14ac:dyDescent="0.35">
      <c r="B1253" s="4">
        <v>30053006</v>
      </c>
      <c r="C1253" s="1" t="s">
        <v>922</v>
      </c>
      <c r="D1253" s="4" t="s">
        <v>86</v>
      </c>
      <c r="E1253" s="3" t="s">
        <v>1225</v>
      </c>
      <c r="F1253" s="3" t="s">
        <v>102</v>
      </c>
      <c r="G1253">
        <v>2</v>
      </c>
      <c r="H1253" s="4">
        <v>2</v>
      </c>
      <c r="I1253" s="4">
        <v>3</v>
      </c>
      <c r="J1253" s="4" t="s">
        <v>8</v>
      </c>
      <c r="K1253" s="4" t="s">
        <v>7</v>
      </c>
      <c r="L1253" s="11"/>
      <c r="M1253" s="3"/>
      <c r="N1253"/>
      <c r="O1253" s="4"/>
      <c r="P1253" s="1"/>
      <c r="Q1253" s="22"/>
      <c r="R1253"/>
      <c r="S1253" s="11"/>
      <c r="T1253" t="s">
        <v>71</v>
      </c>
      <c r="U1253"/>
      <c r="V1253" s="1"/>
      <c r="W1253" s="1"/>
    </row>
    <row r="1254" spans="2:23" x14ac:dyDescent="0.35">
      <c r="B1254" s="4">
        <v>30053007</v>
      </c>
      <c r="C1254" s="1" t="s">
        <v>923</v>
      </c>
      <c r="D1254" s="4" t="s">
        <v>86</v>
      </c>
      <c r="E1254" s="3" t="s">
        <v>1225</v>
      </c>
      <c r="F1254" s="3" t="s">
        <v>102</v>
      </c>
      <c r="G1254">
        <v>2</v>
      </c>
      <c r="H1254" s="4">
        <v>2</v>
      </c>
      <c r="I1254" s="4">
        <v>3</v>
      </c>
      <c r="J1254" s="4" t="s">
        <v>8</v>
      </c>
      <c r="K1254" s="4" t="s">
        <v>7</v>
      </c>
      <c r="L1254" s="11"/>
      <c r="M1254" s="3"/>
      <c r="N1254"/>
      <c r="O1254" s="4"/>
      <c r="P1254" s="1"/>
      <c r="Q1254" s="22"/>
      <c r="R1254"/>
      <c r="S1254" s="11"/>
      <c r="T1254" t="s">
        <v>71</v>
      </c>
      <c r="U1254"/>
      <c r="V1254" s="1"/>
      <c r="W1254" s="1"/>
    </row>
    <row r="1255" spans="2:23" x14ac:dyDescent="0.35">
      <c r="B1255" s="4">
        <v>30053069</v>
      </c>
      <c r="C1255" s="1" t="s">
        <v>1376</v>
      </c>
      <c r="D1255" s="4" t="s">
        <v>86</v>
      </c>
      <c r="E1255" s="3"/>
      <c r="F1255" s="3" t="s">
        <v>68</v>
      </c>
      <c r="G1255">
        <v>1</v>
      </c>
      <c r="H1255" s="4">
        <v>1</v>
      </c>
      <c r="I1255" s="4">
        <v>1</v>
      </c>
      <c r="J1255" s="4" t="s">
        <v>8</v>
      </c>
      <c r="K1255" s="4" t="s">
        <v>7</v>
      </c>
      <c r="L1255" s="11"/>
      <c r="M1255" s="3"/>
      <c r="N1255"/>
      <c r="O1255" s="4"/>
      <c r="P1255" s="1"/>
      <c r="Q1255" s="22"/>
      <c r="R1255"/>
      <c r="S1255" s="11"/>
      <c r="T1255" t="s">
        <v>1602</v>
      </c>
      <c r="U1255"/>
      <c r="V1255" s="1"/>
      <c r="W1255" s="1"/>
    </row>
    <row r="1256" spans="2:23" x14ac:dyDescent="0.35">
      <c r="B1256" s="4">
        <v>30053076</v>
      </c>
      <c r="C1256" s="1" t="s">
        <v>768</v>
      </c>
      <c r="D1256" s="4" t="s">
        <v>86</v>
      </c>
      <c r="E1256" s="3"/>
      <c r="F1256" s="3" t="s">
        <v>68</v>
      </c>
      <c r="G1256">
        <v>5</v>
      </c>
      <c r="H1256" s="4">
        <v>4</v>
      </c>
      <c r="I1256" s="4">
        <v>7</v>
      </c>
      <c r="J1256" s="4" t="s">
        <v>8</v>
      </c>
      <c r="K1256" s="4" t="s">
        <v>7</v>
      </c>
      <c r="L1256" s="11"/>
      <c r="M1256" s="3"/>
      <c r="N1256"/>
      <c r="O1256" s="4"/>
      <c r="P1256" s="1"/>
      <c r="Q1256" s="22"/>
      <c r="R1256"/>
      <c r="S1256" s="11"/>
      <c r="T1256" t="s">
        <v>70</v>
      </c>
      <c r="U1256"/>
      <c r="V1256" s="1"/>
      <c r="W1256" s="1"/>
    </row>
    <row r="1257" spans="2:23" x14ac:dyDescent="0.35">
      <c r="B1257" s="4">
        <v>30053079</v>
      </c>
      <c r="C1257" s="1" t="s">
        <v>769</v>
      </c>
      <c r="D1257" s="4" t="s">
        <v>86</v>
      </c>
      <c r="E1257" s="3"/>
      <c r="F1257" s="3" t="s">
        <v>68</v>
      </c>
      <c r="G1257">
        <v>3</v>
      </c>
      <c r="H1257" s="4">
        <v>3</v>
      </c>
      <c r="I1257" s="4">
        <v>3</v>
      </c>
      <c r="J1257" s="4" t="s">
        <v>8</v>
      </c>
      <c r="K1257" s="4" t="s">
        <v>7</v>
      </c>
      <c r="L1257" s="11"/>
      <c r="M1257" s="3"/>
      <c r="N1257"/>
      <c r="O1257" s="4"/>
      <c r="P1257" s="1"/>
      <c r="Q1257" s="22"/>
      <c r="R1257"/>
      <c r="S1257" s="11"/>
      <c r="T1257" t="s">
        <v>67</v>
      </c>
      <c r="U1257"/>
      <c r="V1257" s="1"/>
      <c r="W1257" s="1"/>
    </row>
    <row r="1258" spans="2:23" x14ac:dyDescent="0.35">
      <c r="B1258" s="4">
        <v>30053405</v>
      </c>
      <c r="C1258" s="1" t="s">
        <v>770</v>
      </c>
      <c r="D1258" s="4" t="s">
        <v>86</v>
      </c>
      <c r="E1258" s="3"/>
      <c r="F1258" s="3" t="s">
        <v>68</v>
      </c>
      <c r="G1258">
        <v>1</v>
      </c>
      <c r="H1258" s="4">
        <v>2</v>
      </c>
      <c r="I1258" s="4">
        <v>2</v>
      </c>
      <c r="J1258" s="4" t="s">
        <v>8</v>
      </c>
      <c r="K1258" s="4" t="s">
        <v>7</v>
      </c>
      <c r="L1258" s="11"/>
      <c r="M1258" s="3"/>
      <c r="N1258"/>
      <c r="O1258" s="4"/>
      <c r="P1258" s="1"/>
      <c r="Q1258" s="22"/>
      <c r="R1258"/>
      <c r="S1258" s="11"/>
      <c r="T1258" t="s">
        <v>70</v>
      </c>
      <c r="U1258"/>
      <c r="V1258" s="1"/>
      <c r="W1258" s="1"/>
    </row>
    <row r="1259" spans="2:23" x14ac:dyDescent="0.35">
      <c r="B1259" s="4">
        <v>30053650</v>
      </c>
      <c r="C1259" s="1" t="s">
        <v>772</v>
      </c>
      <c r="D1259" s="4" t="s">
        <v>86</v>
      </c>
      <c r="E1259" s="3"/>
      <c r="F1259" s="3" t="s">
        <v>68</v>
      </c>
      <c r="G1259">
        <v>5</v>
      </c>
      <c r="H1259" s="4">
        <v>8</v>
      </c>
      <c r="I1259" s="4">
        <v>9</v>
      </c>
      <c r="J1259" s="4" t="s">
        <v>8</v>
      </c>
      <c r="K1259" s="4" t="s">
        <v>7</v>
      </c>
      <c r="L1259" s="11"/>
      <c r="M1259" s="3"/>
      <c r="N1259"/>
      <c r="O1259" s="4"/>
      <c r="P1259" s="1"/>
      <c r="Q1259" s="22"/>
      <c r="R1259"/>
      <c r="S1259" s="11"/>
      <c r="T1259" t="s">
        <v>70</v>
      </c>
      <c r="U1259"/>
      <c r="V1259" s="1"/>
      <c r="W1259" s="1"/>
    </row>
    <row r="1260" spans="2:23" x14ac:dyDescent="0.35">
      <c r="B1260" s="4">
        <v>30053694</v>
      </c>
      <c r="C1260" s="1" t="s">
        <v>773</v>
      </c>
      <c r="D1260" s="4" t="s">
        <v>86</v>
      </c>
      <c r="E1260" s="3"/>
      <c r="F1260" s="3" t="s">
        <v>68</v>
      </c>
      <c r="G1260">
        <v>8</v>
      </c>
      <c r="H1260" s="4">
        <v>8</v>
      </c>
      <c r="I1260" s="4">
        <v>10</v>
      </c>
      <c r="J1260" s="4" t="s">
        <v>8</v>
      </c>
      <c r="K1260" s="4" t="s">
        <v>7</v>
      </c>
      <c r="L1260" s="11"/>
      <c r="M1260" s="3"/>
      <c r="N1260"/>
      <c r="O1260" s="4"/>
      <c r="P1260" s="1"/>
      <c r="Q1260" s="22"/>
      <c r="R1260"/>
      <c r="S1260" s="11"/>
      <c r="T1260" t="s">
        <v>66</v>
      </c>
      <c r="U1260"/>
      <c r="V1260" s="1"/>
      <c r="W1260" s="1"/>
    </row>
    <row r="1261" spans="2:23" x14ac:dyDescent="0.35">
      <c r="B1261" s="4">
        <v>30060410</v>
      </c>
      <c r="C1261" s="1" t="s">
        <v>1419</v>
      </c>
      <c r="D1261" s="4" t="s">
        <v>86</v>
      </c>
      <c r="E1261" s="3"/>
      <c r="F1261" s="3" t="s">
        <v>68</v>
      </c>
      <c r="G1261">
        <v>2</v>
      </c>
      <c r="H1261" s="4">
        <v>4</v>
      </c>
      <c r="I1261" s="4">
        <v>7</v>
      </c>
      <c r="J1261" s="4" t="s">
        <v>8</v>
      </c>
      <c r="K1261" s="4" t="s">
        <v>14</v>
      </c>
      <c r="L1261" s="11"/>
      <c r="M1261" s="3"/>
      <c r="N1261"/>
      <c r="O1261" s="4"/>
      <c r="P1261" s="1"/>
      <c r="Q1261" s="22"/>
      <c r="R1261"/>
      <c r="S1261" s="11"/>
      <c r="T1261" t="s">
        <v>67</v>
      </c>
      <c r="U1261"/>
      <c r="V1261" s="1"/>
      <c r="W1261" s="1"/>
    </row>
    <row r="1262" spans="2:23" x14ac:dyDescent="0.35">
      <c r="B1262" s="4">
        <v>30060836</v>
      </c>
      <c r="C1262" s="1" t="s">
        <v>774</v>
      </c>
      <c r="D1262" s="4" t="s">
        <v>86</v>
      </c>
      <c r="E1262" s="3"/>
      <c r="F1262" s="3" t="s">
        <v>68</v>
      </c>
      <c r="G1262">
        <v>32</v>
      </c>
      <c r="H1262" s="4">
        <v>32</v>
      </c>
      <c r="I1262" s="4">
        <v>32</v>
      </c>
      <c r="J1262" s="4" t="s">
        <v>8</v>
      </c>
      <c r="K1262" s="4" t="s">
        <v>7</v>
      </c>
      <c r="L1262" s="11"/>
      <c r="M1262" s="3"/>
      <c r="N1262"/>
      <c r="O1262" s="4"/>
      <c r="P1262" s="1"/>
      <c r="Q1262" s="22"/>
      <c r="R1262"/>
      <c r="S1262" s="11" t="s">
        <v>6872</v>
      </c>
      <c r="T1262" t="s">
        <v>70</v>
      </c>
      <c r="U1262"/>
      <c r="V1262" s="1"/>
      <c r="W1262" s="1"/>
    </row>
    <row r="1263" spans="2:23" x14ac:dyDescent="0.35">
      <c r="B1263" s="4">
        <v>30063224</v>
      </c>
      <c r="C1263" s="1" t="s">
        <v>775</v>
      </c>
      <c r="D1263" s="4" t="s">
        <v>86</v>
      </c>
      <c r="E1263" s="3"/>
      <c r="F1263" s="3" t="s">
        <v>68</v>
      </c>
      <c r="G1263">
        <v>10</v>
      </c>
      <c r="H1263" s="4">
        <v>10</v>
      </c>
      <c r="I1263" s="4">
        <v>22</v>
      </c>
      <c r="J1263" s="4" t="s">
        <v>8</v>
      </c>
      <c r="K1263" s="4" t="s">
        <v>14</v>
      </c>
      <c r="L1263" s="11"/>
      <c r="M1263" s="3"/>
      <c r="N1263"/>
      <c r="O1263" s="4"/>
      <c r="P1263" s="1"/>
      <c r="Q1263" s="22"/>
      <c r="R1263"/>
      <c r="S1263" s="11"/>
      <c r="T1263" t="s">
        <v>66</v>
      </c>
      <c r="U1263"/>
      <c r="V1263" s="1"/>
      <c r="W1263" s="1"/>
    </row>
    <row r="1264" spans="2:23" x14ac:dyDescent="0.35">
      <c r="B1264" s="4">
        <v>30063274</v>
      </c>
      <c r="C1264" s="1" t="s">
        <v>924</v>
      </c>
      <c r="D1264" s="4" t="s">
        <v>86</v>
      </c>
      <c r="E1264" s="3" t="s">
        <v>1225</v>
      </c>
      <c r="F1264" s="3" t="s">
        <v>102</v>
      </c>
      <c r="G1264">
        <v>3</v>
      </c>
      <c r="H1264" s="4">
        <v>2</v>
      </c>
      <c r="I1264" s="4">
        <v>1</v>
      </c>
      <c r="J1264" s="4" t="s">
        <v>8</v>
      </c>
      <c r="K1264" s="4" t="s">
        <v>9</v>
      </c>
      <c r="L1264" s="11" t="s">
        <v>6896</v>
      </c>
      <c r="M1264" s="3"/>
      <c r="N1264"/>
      <c r="O1264" s="4"/>
      <c r="P1264" s="1"/>
      <c r="Q1264" s="22"/>
      <c r="R1264"/>
      <c r="S1264" s="11" t="s">
        <v>6854</v>
      </c>
      <c r="T1264" t="s">
        <v>71</v>
      </c>
      <c r="U1264"/>
      <c r="V1264" s="1"/>
      <c r="W1264" s="1"/>
    </row>
    <row r="1265" spans="2:23" x14ac:dyDescent="0.35">
      <c r="B1265" s="4">
        <v>30063455</v>
      </c>
      <c r="C1265" s="1" t="s">
        <v>1252</v>
      </c>
      <c r="D1265" s="4" t="s">
        <v>86</v>
      </c>
      <c r="E1265" s="3"/>
      <c r="F1265" s="3" t="s">
        <v>68</v>
      </c>
      <c r="G1265">
        <v>500</v>
      </c>
      <c r="H1265" s="4">
        <v>200</v>
      </c>
      <c r="I1265" s="4">
        <v>588</v>
      </c>
      <c r="J1265" s="4" t="s">
        <v>8</v>
      </c>
      <c r="K1265" s="4" t="s">
        <v>7</v>
      </c>
      <c r="L1265" s="11"/>
      <c r="M1265" s="3"/>
      <c r="N1265"/>
      <c r="O1265" s="4"/>
      <c r="P1265" s="1"/>
      <c r="Q1265" s="22"/>
      <c r="R1265"/>
      <c r="S1265" s="11"/>
      <c r="T1265" t="s">
        <v>66</v>
      </c>
      <c r="U1265"/>
      <c r="V1265" s="1"/>
      <c r="W1265" s="1"/>
    </row>
    <row r="1266" spans="2:23" x14ac:dyDescent="0.35">
      <c r="B1266" s="4">
        <v>30063479</v>
      </c>
      <c r="C1266" s="1" t="s">
        <v>776</v>
      </c>
      <c r="D1266" s="4" t="s">
        <v>86</v>
      </c>
      <c r="E1266" s="3"/>
      <c r="F1266" s="3" t="s">
        <v>68</v>
      </c>
      <c r="G1266">
        <v>50</v>
      </c>
      <c r="H1266" s="4">
        <v>30</v>
      </c>
      <c r="I1266" s="4">
        <v>54</v>
      </c>
      <c r="J1266" s="4" t="s">
        <v>8</v>
      </c>
      <c r="K1266" s="4" t="s">
        <v>7</v>
      </c>
      <c r="L1266" s="11"/>
      <c r="M1266" s="3"/>
      <c r="N1266"/>
      <c r="O1266" s="4"/>
      <c r="P1266" s="1"/>
      <c r="Q1266" s="22"/>
      <c r="R1266"/>
      <c r="S1266" s="11"/>
      <c r="T1266" t="s">
        <v>66</v>
      </c>
      <c r="U1266"/>
      <c r="V1266" s="1"/>
      <c r="W1266" s="1"/>
    </row>
    <row r="1267" spans="2:23" x14ac:dyDescent="0.35">
      <c r="B1267" s="4">
        <v>30063480</v>
      </c>
      <c r="C1267" s="1" t="s">
        <v>777</v>
      </c>
      <c r="D1267" s="4" t="s">
        <v>86</v>
      </c>
      <c r="E1267" s="3"/>
      <c r="F1267" s="3" t="s">
        <v>68</v>
      </c>
      <c r="G1267">
        <v>50</v>
      </c>
      <c r="H1267" s="4">
        <v>30</v>
      </c>
      <c r="I1267" s="4">
        <v>64</v>
      </c>
      <c r="J1267" s="4" t="s">
        <v>8</v>
      </c>
      <c r="K1267" s="4" t="s">
        <v>7</v>
      </c>
      <c r="L1267" s="11"/>
      <c r="M1267" s="3"/>
      <c r="N1267"/>
      <c r="O1267" s="4"/>
      <c r="P1267" s="1"/>
      <c r="Q1267" s="22"/>
      <c r="R1267"/>
      <c r="S1267" s="11"/>
      <c r="T1267" t="s">
        <v>66</v>
      </c>
      <c r="U1267"/>
      <c r="V1267" s="1"/>
      <c r="W1267" s="1"/>
    </row>
    <row r="1268" spans="2:23" x14ac:dyDescent="0.35">
      <c r="B1268" s="4">
        <v>30063865</v>
      </c>
      <c r="C1268" s="1" t="s">
        <v>778</v>
      </c>
      <c r="D1268" s="4" t="s">
        <v>86</v>
      </c>
      <c r="E1268" s="3"/>
      <c r="F1268" s="3" t="s">
        <v>68</v>
      </c>
      <c r="G1268">
        <v>8</v>
      </c>
      <c r="H1268" s="4">
        <v>4</v>
      </c>
      <c r="I1268" s="4">
        <v>11</v>
      </c>
      <c r="J1268" s="4" t="s">
        <v>8</v>
      </c>
      <c r="K1268" s="4" t="s">
        <v>7</v>
      </c>
      <c r="L1268" s="11"/>
      <c r="M1268" s="3"/>
      <c r="N1268"/>
      <c r="O1268" s="4"/>
      <c r="P1268" s="1"/>
      <c r="Q1268" s="22"/>
      <c r="R1268"/>
      <c r="S1268" s="11"/>
      <c r="T1268" t="s">
        <v>66</v>
      </c>
      <c r="U1268"/>
      <c r="V1268" s="1"/>
      <c r="W1268" s="1"/>
    </row>
    <row r="1269" spans="2:23" x14ac:dyDescent="0.35">
      <c r="B1269" s="4">
        <v>30063866</v>
      </c>
      <c r="C1269" s="1" t="s">
        <v>779</v>
      </c>
      <c r="D1269" s="4" t="s">
        <v>86</v>
      </c>
      <c r="E1269" s="3"/>
      <c r="F1269" s="3" t="s">
        <v>68</v>
      </c>
      <c r="G1269">
        <v>480</v>
      </c>
      <c r="H1269" s="4">
        <v>240</v>
      </c>
      <c r="I1269" s="4">
        <v>660</v>
      </c>
      <c r="J1269" s="4" t="s">
        <v>23</v>
      </c>
      <c r="K1269" s="4" t="s">
        <v>7</v>
      </c>
      <c r="L1269" s="11"/>
      <c r="M1269" s="3"/>
      <c r="N1269"/>
      <c r="O1269" s="4"/>
      <c r="P1269" s="1"/>
      <c r="Q1269" s="22"/>
      <c r="R1269"/>
      <c r="S1269" s="11"/>
      <c r="T1269" t="s">
        <v>1602</v>
      </c>
      <c r="U1269"/>
      <c r="V1269" s="1"/>
      <c r="W1269" s="1"/>
    </row>
    <row r="1270" spans="2:23" x14ac:dyDescent="0.35">
      <c r="B1270" s="4">
        <v>30063870</v>
      </c>
      <c r="C1270" s="1" t="s">
        <v>1319</v>
      </c>
      <c r="D1270" s="4" t="s">
        <v>86</v>
      </c>
      <c r="E1270" s="3"/>
      <c r="F1270" s="3" t="s">
        <v>68</v>
      </c>
      <c r="G1270">
        <v>4</v>
      </c>
      <c r="H1270" s="4">
        <v>8</v>
      </c>
      <c r="I1270" s="4">
        <v>5</v>
      </c>
      <c r="J1270" s="4" t="s">
        <v>8</v>
      </c>
      <c r="K1270" s="4" t="s">
        <v>7</v>
      </c>
      <c r="L1270" s="11"/>
      <c r="M1270" s="3"/>
      <c r="N1270"/>
      <c r="O1270" s="4"/>
      <c r="P1270" s="1"/>
      <c r="Q1270" s="22"/>
      <c r="R1270"/>
      <c r="S1270" s="11"/>
      <c r="T1270" t="s">
        <v>70</v>
      </c>
      <c r="U1270"/>
      <c r="V1270" s="1"/>
      <c r="W1270" s="1"/>
    </row>
    <row r="1271" spans="2:23" x14ac:dyDescent="0.35">
      <c r="B1271" s="4">
        <v>30063922</v>
      </c>
      <c r="C1271" s="1" t="s">
        <v>780</v>
      </c>
      <c r="D1271" s="4" t="s">
        <v>86</v>
      </c>
      <c r="E1271" s="3"/>
      <c r="F1271" s="3" t="s">
        <v>68</v>
      </c>
      <c r="G1271">
        <v>8</v>
      </c>
      <c r="H1271" s="4">
        <v>5</v>
      </c>
      <c r="I1271" s="4">
        <v>12</v>
      </c>
      <c r="J1271" s="4" t="s">
        <v>8</v>
      </c>
      <c r="K1271" s="4" t="s">
        <v>7</v>
      </c>
      <c r="L1271" s="11"/>
      <c r="M1271" s="3"/>
      <c r="N1271"/>
      <c r="O1271" s="4"/>
      <c r="P1271" s="1"/>
      <c r="Q1271" s="22"/>
      <c r="R1271"/>
      <c r="S1271" s="11"/>
      <c r="T1271" t="s">
        <v>67</v>
      </c>
      <c r="U1271"/>
      <c r="V1271" s="1"/>
      <c r="W1271" s="1"/>
    </row>
    <row r="1272" spans="2:23" x14ac:dyDescent="0.35">
      <c r="B1272" s="4">
        <v>30064038</v>
      </c>
      <c r="C1272" s="1" t="s">
        <v>925</v>
      </c>
      <c r="D1272" s="4" t="s">
        <v>86</v>
      </c>
      <c r="E1272" s="3"/>
      <c r="F1272" s="3" t="s">
        <v>102</v>
      </c>
      <c r="G1272">
        <v>1</v>
      </c>
      <c r="H1272" s="4">
        <v>2</v>
      </c>
      <c r="I1272" s="4">
        <v>2</v>
      </c>
      <c r="J1272" s="4" t="s">
        <v>8</v>
      </c>
      <c r="K1272" s="4" t="s">
        <v>7</v>
      </c>
      <c r="L1272" s="11"/>
      <c r="M1272" s="3"/>
      <c r="N1272"/>
      <c r="O1272" s="4"/>
      <c r="P1272" s="1"/>
      <c r="Q1272" s="22"/>
      <c r="R1272"/>
      <c r="S1272" s="11"/>
      <c r="T1272" t="s">
        <v>66</v>
      </c>
      <c r="U1272"/>
      <c r="V1272" s="1"/>
      <c r="W1272" s="1"/>
    </row>
    <row r="1273" spans="2:23" x14ac:dyDescent="0.35">
      <c r="B1273" s="4">
        <v>30064039</v>
      </c>
      <c r="C1273" s="1" t="s">
        <v>865</v>
      </c>
      <c r="D1273" s="4" t="s">
        <v>86</v>
      </c>
      <c r="E1273" s="3"/>
      <c r="F1273" s="3" t="s">
        <v>102</v>
      </c>
      <c r="G1273">
        <v>1</v>
      </c>
      <c r="H1273" s="4">
        <v>2</v>
      </c>
      <c r="I1273" s="4">
        <v>1</v>
      </c>
      <c r="J1273" s="4" t="s">
        <v>781</v>
      </c>
      <c r="K1273" s="4" t="s">
        <v>7</v>
      </c>
      <c r="L1273" s="11"/>
      <c r="M1273" s="3"/>
      <c r="N1273"/>
      <c r="O1273" s="4"/>
      <c r="P1273" s="1"/>
      <c r="Q1273" s="22"/>
      <c r="R1273"/>
      <c r="S1273" s="11"/>
      <c r="T1273" t="s">
        <v>71</v>
      </c>
      <c r="U1273"/>
      <c r="V1273" s="1"/>
      <c r="W1273" s="1"/>
    </row>
    <row r="1274" spans="2:23" x14ac:dyDescent="0.35">
      <c r="B1274" s="4">
        <v>30064145</v>
      </c>
      <c r="C1274" s="1" t="s">
        <v>1337</v>
      </c>
      <c r="D1274" s="4" t="s">
        <v>86</v>
      </c>
      <c r="E1274" s="3"/>
      <c r="F1274" s="3" t="s">
        <v>68</v>
      </c>
      <c r="G1274">
        <v>1</v>
      </c>
      <c r="H1274" s="4">
        <v>2</v>
      </c>
      <c r="I1274" s="4">
        <v>1</v>
      </c>
      <c r="J1274" s="4" t="s">
        <v>8</v>
      </c>
      <c r="K1274" s="4" t="s">
        <v>7</v>
      </c>
      <c r="L1274" s="11"/>
      <c r="M1274" s="3"/>
      <c r="N1274"/>
      <c r="O1274" s="4"/>
      <c r="P1274" s="1"/>
      <c r="Q1274" s="22"/>
      <c r="R1274"/>
      <c r="S1274" s="11"/>
      <c r="T1274" t="s">
        <v>67</v>
      </c>
      <c r="U1274"/>
      <c r="V1274" s="1"/>
      <c r="W1274" s="1"/>
    </row>
    <row r="1275" spans="2:23" x14ac:dyDescent="0.35">
      <c r="B1275" s="4">
        <v>30064192</v>
      </c>
      <c r="C1275" s="1" t="s">
        <v>866</v>
      </c>
      <c r="D1275" s="4" t="s">
        <v>86</v>
      </c>
      <c r="E1275" s="3"/>
      <c r="F1275" s="3" t="s">
        <v>102</v>
      </c>
      <c r="G1275">
        <v>8</v>
      </c>
      <c r="H1275" s="4">
        <v>16</v>
      </c>
      <c r="I1275" s="4">
        <v>20</v>
      </c>
      <c r="J1275" s="4" t="s">
        <v>8</v>
      </c>
      <c r="K1275" s="4" t="s">
        <v>7</v>
      </c>
      <c r="L1275" s="11"/>
      <c r="M1275" s="3"/>
      <c r="N1275"/>
      <c r="O1275" s="4"/>
      <c r="P1275" s="1"/>
      <c r="Q1275" s="22"/>
      <c r="R1275"/>
      <c r="S1275" s="11"/>
      <c r="T1275" t="s">
        <v>71</v>
      </c>
      <c r="U1275"/>
      <c r="V1275" s="1"/>
      <c r="W1275" s="1"/>
    </row>
    <row r="1276" spans="2:23" x14ac:dyDescent="0.35">
      <c r="B1276" s="4">
        <v>30064435</v>
      </c>
      <c r="C1276" s="1" t="s">
        <v>1059</v>
      </c>
      <c r="D1276" s="4" t="s">
        <v>86</v>
      </c>
      <c r="E1276" s="3"/>
      <c r="F1276" s="3" t="s">
        <v>68</v>
      </c>
      <c r="G1276">
        <v>2</v>
      </c>
      <c r="H1276" s="4">
        <v>2</v>
      </c>
      <c r="I1276" s="4">
        <v>2</v>
      </c>
      <c r="J1276" s="4" t="s">
        <v>8</v>
      </c>
      <c r="K1276" s="4" t="s">
        <v>7</v>
      </c>
      <c r="L1276" s="11"/>
      <c r="M1276" s="3"/>
      <c r="N1276"/>
      <c r="O1276" s="4"/>
      <c r="P1276" s="1"/>
      <c r="Q1276" s="22"/>
      <c r="R1276"/>
      <c r="S1276" s="11"/>
      <c r="T1276" t="s">
        <v>67</v>
      </c>
      <c r="U1276"/>
      <c r="V1276" s="1"/>
      <c r="W1276" s="1"/>
    </row>
    <row r="1277" spans="2:23" x14ac:dyDescent="0.35">
      <c r="B1277" s="4">
        <v>30064436</v>
      </c>
      <c r="C1277" s="1" t="s">
        <v>867</v>
      </c>
      <c r="D1277" s="4" t="s">
        <v>86</v>
      </c>
      <c r="E1277" s="3"/>
      <c r="F1277" s="3" t="s">
        <v>68</v>
      </c>
      <c r="G1277">
        <v>2</v>
      </c>
      <c r="H1277" s="4">
        <v>2</v>
      </c>
      <c r="I1277" s="4">
        <v>2</v>
      </c>
      <c r="J1277" s="4" t="s">
        <v>8</v>
      </c>
      <c r="K1277" s="4" t="s">
        <v>7</v>
      </c>
      <c r="L1277" s="11"/>
      <c r="M1277" s="3"/>
      <c r="N1277"/>
      <c r="O1277" s="4"/>
      <c r="P1277" s="1"/>
      <c r="Q1277" s="22"/>
      <c r="R1277"/>
      <c r="S1277" s="11"/>
      <c r="T1277" t="s">
        <v>67</v>
      </c>
      <c r="U1277"/>
      <c r="V1277" s="1"/>
      <c r="W1277" s="1"/>
    </row>
    <row r="1278" spans="2:23" x14ac:dyDescent="0.35">
      <c r="B1278" s="4">
        <v>30064437</v>
      </c>
      <c r="C1278" s="1" t="s">
        <v>868</v>
      </c>
      <c r="D1278" s="4" t="s">
        <v>86</v>
      </c>
      <c r="E1278" s="3"/>
      <c r="F1278" s="3" t="s">
        <v>68</v>
      </c>
      <c r="G1278">
        <v>10</v>
      </c>
      <c r="H1278" s="4">
        <v>10</v>
      </c>
      <c r="I1278" s="4">
        <v>14</v>
      </c>
      <c r="J1278" s="4" t="s">
        <v>8</v>
      </c>
      <c r="K1278" s="4" t="s">
        <v>7</v>
      </c>
      <c r="L1278" s="11"/>
      <c r="M1278" s="3"/>
      <c r="N1278"/>
      <c r="O1278" s="4"/>
      <c r="P1278" s="1"/>
      <c r="Q1278" s="22"/>
      <c r="R1278"/>
      <c r="S1278" s="11"/>
      <c r="T1278" t="s">
        <v>67</v>
      </c>
      <c r="U1278"/>
      <c r="V1278" s="1"/>
      <c r="W1278" s="1"/>
    </row>
    <row r="1279" spans="2:23" x14ac:dyDescent="0.35">
      <c r="B1279" s="4">
        <v>30064456</v>
      </c>
      <c r="C1279" s="1" t="s">
        <v>1256</v>
      </c>
      <c r="D1279" s="4" t="s">
        <v>86</v>
      </c>
      <c r="E1279" s="3"/>
      <c r="F1279" s="3" t="s">
        <v>68</v>
      </c>
      <c r="G1279">
        <v>5</v>
      </c>
      <c r="H1279" s="4">
        <v>8</v>
      </c>
      <c r="I1279" s="4">
        <v>8</v>
      </c>
      <c r="J1279" s="4" t="s">
        <v>8</v>
      </c>
      <c r="K1279" s="4" t="s">
        <v>7</v>
      </c>
      <c r="L1279" s="11"/>
      <c r="M1279" s="3"/>
      <c r="N1279"/>
      <c r="O1279" s="4"/>
      <c r="P1279" s="1"/>
      <c r="Q1279" s="22"/>
      <c r="R1279"/>
      <c r="S1279" s="11" t="s">
        <v>6894</v>
      </c>
      <c r="T1279" t="s">
        <v>70</v>
      </c>
      <c r="U1279"/>
      <c r="V1279" s="1"/>
      <c r="W1279" s="1"/>
    </row>
    <row r="1280" spans="2:23" x14ac:dyDescent="0.35">
      <c r="B1280" s="4">
        <v>30064643</v>
      </c>
      <c r="C1280" s="1" t="s">
        <v>782</v>
      </c>
      <c r="D1280" s="4" t="s">
        <v>86</v>
      </c>
      <c r="E1280" s="3"/>
      <c r="F1280" s="3" t="s">
        <v>68</v>
      </c>
      <c r="G1280">
        <v>3</v>
      </c>
      <c r="H1280" s="4">
        <v>2</v>
      </c>
      <c r="I1280" s="4">
        <v>3</v>
      </c>
      <c r="J1280" s="4" t="s">
        <v>8</v>
      </c>
      <c r="K1280" s="4" t="s">
        <v>7</v>
      </c>
      <c r="L1280" s="11"/>
      <c r="M1280" s="3"/>
      <c r="N1280"/>
      <c r="O1280" s="4"/>
      <c r="P1280" s="1"/>
      <c r="Q1280" s="22"/>
      <c r="R1280"/>
      <c r="S1280" s="11"/>
      <c r="T1280" t="s">
        <v>70</v>
      </c>
      <c r="U1280"/>
      <c r="V1280" s="1"/>
      <c r="W1280" s="1"/>
    </row>
    <row r="1281" spans="2:23" x14ac:dyDescent="0.35">
      <c r="B1281" s="4">
        <v>30064717</v>
      </c>
      <c r="C1281" s="1" t="s">
        <v>1440</v>
      </c>
      <c r="D1281" s="4" t="s">
        <v>86</v>
      </c>
      <c r="E1281" s="3"/>
      <c r="F1281" s="3" t="s">
        <v>68</v>
      </c>
      <c r="G1281">
        <v>4</v>
      </c>
      <c r="H1281" s="4">
        <v>4</v>
      </c>
      <c r="I1281" s="4">
        <v>4</v>
      </c>
      <c r="J1281" s="4" t="s">
        <v>8</v>
      </c>
      <c r="K1281" s="4" t="s">
        <v>7</v>
      </c>
      <c r="L1281" s="11"/>
      <c r="M1281" s="3"/>
      <c r="N1281"/>
      <c r="O1281" s="4"/>
      <c r="P1281" s="1"/>
      <c r="Q1281" s="22"/>
      <c r="R1281"/>
      <c r="S1281" s="11"/>
      <c r="T1281" t="s">
        <v>70</v>
      </c>
      <c r="U1281"/>
      <c r="V1281" s="1"/>
      <c r="W1281" s="1"/>
    </row>
    <row r="1282" spans="2:23" x14ac:dyDescent="0.35">
      <c r="B1282" s="4">
        <v>30064722</v>
      </c>
      <c r="C1282" s="1" t="s">
        <v>1320</v>
      </c>
      <c r="D1282" s="4" t="s">
        <v>86</v>
      </c>
      <c r="E1282" s="3"/>
      <c r="F1282" s="3" t="s">
        <v>68</v>
      </c>
      <c r="G1282">
        <v>10</v>
      </c>
      <c r="H1282" s="4">
        <v>20</v>
      </c>
      <c r="I1282" s="4">
        <v>10</v>
      </c>
      <c r="J1282" s="4" t="s">
        <v>8</v>
      </c>
      <c r="K1282" s="4" t="s">
        <v>7</v>
      </c>
      <c r="L1282" s="11"/>
      <c r="M1282" s="3"/>
      <c r="N1282"/>
      <c r="O1282" s="4"/>
      <c r="P1282" s="1"/>
      <c r="Q1282" s="22"/>
      <c r="R1282"/>
      <c r="S1282" s="11"/>
      <c r="T1282" t="s">
        <v>66</v>
      </c>
      <c r="U1282"/>
      <c r="V1282" s="1"/>
      <c r="W1282" s="1"/>
    </row>
    <row r="1283" spans="2:23" x14ac:dyDescent="0.35">
      <c r="B1283" s="4">
        <v>30064723</v>
      </c>
      <c r="C1283" s="1" t="s">
        <v>1216</v>
      </c>
      <c r="D1283" s="4" t="s">
        <v>86</v>
      </c>
      <c r="E1283" s="3"/>
      <c r="F1283" s="3" t="s">
        <v>89</v>
      </c>
      <c r="G1283">
        <v>22</v>
      </c>
      <c r="H1283" s="4">
        <v>18</v>
      </c>
      <c r="I1283" s="4">
        <v>35</v>
      </c>
      <c r="J1283" s="4" t="s">
        <v>8</v>
      </c>
      <c r="K1283" s="4" t="s">
        <v>7</v>
      </c>
      <c r="L1283" s="11"/>
      <c r="M1283" s="3"/>
      <c r="N1283"/>
      <c r="O1283" s="4"/>
      <c r="P1283" s="1"/>
      <c r="Q1283" s="22"/>
      <c r="R1283"/>
      <c r="S1283" s="11"/>
      <c r="T1283" t="s">
        <v>66</v>
      </c>
      <c r="U1283"/>
      <c r="V1283" s="1"/>
      <c r="W1283" s="1"/>
    </row>
    <row r="1284" spans="2:23" x14ac:dyDescent="0.35">
      <c r="B1284" s="4">
        <v>30064984</v>
      </c>
      <c r="C1284" s="1" t="s">
        <v>783</v>
      </c>
      <c r="D1284" s="4" t="s">
        <v>86</v>
      </c>
      <c r="E1284" s="3"/>
      <c r="F1284" s="3" t="s">
        <v>68</v>
      </c>
      <c r="G1284">
        <v>2</v>
      </c>
      <c r="H1284" s="4">
        <v>1</v>
      </c>
      <c r="I1284" s="4">
        <v>2</v>
      </c>
      <c r="J1284" s="4" t="s">
        <v>781</v>
      </c>
      <c r="K1284" s="4" t="s">
        <v>7</v>
      </c>
      <c r="L1284" s="11"/>
      <c r="M1284" s="3"/>
      <c r="N1284"/>
      <c r="O1284" s="4"/>
      <c r="P1284" s="1"/>
      <c r="Q1284" s="22"/>
      <c r="R1284"/>
      <c r="S1284" s="11"/>
      <c r="T1284" t="s">
        <v>71</v>
      </c>
      <c r="U1284"/>
      <c r="V1284" s="1"/>
      <c r="W1284" s="1"/>
    </row>
    <row r="1285" spans="2:23" x14ac:dyDescent="0.35">
      <c r="B1285" s="4">
        <v>30065038</v>
      </c>
      <c r="C1285" s="1" t="s">
        <v>1371</v>
      </c>
      <c r="D1285" s="4" t="s">
        <v>86</v>
      </c>
      <c r="E1285" s="3"/>
      <c r="F1285" s="3" t="s">
        <v>68</v>
      </c>
      <c r="G1285">
        <v>4</v>
      </c>
      <c r="H1285" s="4">
        <v>2</v>
      </c>
      <c r="I1285" s="4">
        <v>5</v>
      </c>
      <c r="J1285" s="4" t="s">
        <v>8</v>
      </c>
      <c r="K1285" s="4" t="s">
        <v>7</v>
      </c>
      <c r="L1285" s="11"/>
      <c r="M1285" s="3"/>
      <c r="N1285"/>
      <c r="O1285" s="4"/>
      <c r="P1285" s="1"/>
      <c r="Q1285" s="22"/>
      <c r="R1285"/>
      <c r="S1285" s="11"/>
      <c r="T1285" t="s">
        <v>66</v>
      </c>
      <c r="U1285"/>
      <c r="V1285" s="1"/>
      <c r="W1285" s="1"/>
    </row>
    <row r="1286" spans="2:23" x14ac:dyDescent="0.35">
      <c r="B1286" s="4">
        <v>30065415</v>
      </c>
      <c r="C1286" s="1" t="s">
        <v>784</v>
      </c>
      <c r="D1286" s="4" t="s">
        <v>86</v>
      </c>
      <c r="E1286" s="3"/>
      <c r="F1286" s="3" t="s">
        <v>68</v>
      </c>
      <c r="G1286">
        <v>2</v>
      </c>
      <c r="H1286" s="4">
        <v>2</v>
      </c>
      <c r="I1286" s="4">
        <v>2</v>
      </c>
      <c r="J1286" s="4" t="s">
        <v>8</v>
      </c>
      <c r="K1286" s="4" t="s">
        <v>7</v>
      </c>
      <c r="L1286" s="11"/>
      <c r="M1286" s="3"/>
      <c r="N1286"/>
      <c r="O1286" s="4"/>
      <c r="P1286" s="1"/>
      <c r="Q1286" s="22"/>
      <c r="R1286"/>
      <c r="S1286" s="11"/>
      <c r="T1286" t="s">
        <v>67</v>
      </c>
      <c r="U1286"/>
      <c r="V1286" s="1"/>
      <c r="W1286" s="1"/>
    </row>
    <row r="1287" spans="2:23" x14ac:dyDescent="0.35">
      <c r="B1287" s="4">
        <v>30065416</v>
      </c>
      <c r="C1287" s="1" t="s">
        <v>785</v>
      </c>
      <c r="D1287" s="4" t="s">
        <v>86</v>
      </c>
      <c r="E1287" s="3"/>
      <c r="F1287" s="3" t="s">
        <v>68</v>
      </c>
      <c r="G1287">
        <v>2</v>
      </c>
      <c r="H1287" s="4">
        <v>2</v>
      </c>
      <c r="I1287" s="4">
        <v>3</v>
      </c>
      <c r="J1287" s="4" t="s">
        <v>8</v>
      </c>
      <c r="K1287" s="4" t="s">
        <v>7</v>
      </c>
      <c r="L1287" s="11"/>
      <c r="M1287" s="3"/>
      <c r="N1287"/>
      <c r="O1287" s="4"/>
      <c r="P1287" s="1"/>
      <c r="Q1287" s="22"/>
      <c r="R1287"/>
      <c r="S1287" s="11"/>
      <c r="T1287" t="s">
        <v>67</v>
      </c>
      <c r="U1287"/>
      <c r="V1287" s="1"/>
      <c r="W1287" s="1"/>
    </row>
    <row r="1288" spans="2:23" x14ac:dyDescent="0.35">
      <c r="B1288" s="4">
        <v>30066447</v>
      </c>
      <c r="C1288" s="1" t="s">
        <v>786</v>
      </c>
      <c r="D1288" s="4" t="s">
        <v>86</v>
      </c>
      <c r="E1288" s="3"/>
      <c r="F1288" s="3" t="s">
        <v>68</v>
      </c>
      <c r="G1288">
        <v>2</v>
      </c>
      <c r="H1288" s="4">
        <v>2</v>
      </c>
      <c r="I1288" s="4">
        <v>2</v>
      </c>
      <c r="J1288" s="4" t="s">
        <v>8</v>
      </c>
      <c r="K1288" s="4" t="s">
        <v>7</v>
      </c>
      <c r="L1288" s="11"/>
      <c r="M1288" s="3"/>
      <c r="N1288"/>
      <c r="O1288" s="4"/>
      <c r="P1288" s="1"/>
      <c r="Q1288" s="22"/>
      <c r="R1288"/>
      <c r="S1288" s="11"/>
      <c r="T1288" t="s">
        <v>66</v>
      </c>
      <c r="U1288"/>
      <c r="V1288" s="1"/>
      <c r="W1288" s="1"/>
    </row>
    <row r="1289" spans="2:23" x14ac:dyDescent="0.35">
      <c r="B1289" s="4">
        <v>30066732</v>
      </c>
      <c r="C1289" s="1" t="s">
        <v>1420</v>
      </c>
      <c r="D1289" s="4" t="s">
        <v>86</v>
      </c>
      <c r="E1289" s="3"/>
      <c r="F1289" s="3" t="s">
        <v>68</v>
      </c>
      <c r="G1289">
        <v>2</v>
      </c>
      <c r="H1289" s="4">
        <v>4</v>
      </c>
      <c r="I1289" s="4">
        <v>12</v>
      </c>
      <c r="J1289" s="4" t="s">
        <v>8</v>
      </c>
      <c r="K1289" s="4" t="s">
        <v>14</v>
      </c>
      <c r="L1289" s="11"/>
      <c r="M1289" s="3"/>
      <c r="N1289"/>
      <c r="O1289" s="4"/>
      <c r="P1289" s="1"/>
      <c r="Q1289" s="22"/>
      <c r="R1289"/>
      <c r="S1289" s="11"/>
      <c r="T1289" t="s">
        <v>67</v>
      </c>
      <c r="U1289"/>
      <c r="V1289" s="1"/>
      <c r="W1289" s="1"/>
    </row>
    <row r="1290" spans="2:23" x14ac:dyDescent="0.35">
      <c r="B1290" s="4">
        <v>30066759</v>
      </c>
      <c r="C1290" s="1" t="s">
        <v>1321</v>
      </c>
      <c r="D1290" s="4" t="s">
        <v>86</v>
      </c>
      <c r="E1290" s="3"/>
      <c r="F1290" s="3" t="s">
        <v>68</v>
      </c>
      <c r="G1290">
        <v>1</v>
      </c>
      <c r="H1290" s="4">
        <v>2</v>
      </c>
      <c r="I1290" s="4">
        <v>2</v>
      </c>
      <c r="J1290" s="4" t="s">
        <v>8</v>
      </c>
      <c r="K1290" s="4" t="s">
        <v>7</v>
      </c>
      <c r="L1290" s="11"/>
      <c r="M1290" s="3"/>
      <c r="N1290"/>
      <c r="O1290" s="4"/>
      <c r="P1290" s="1"/>
      <c r="Q1290" s="22"/>
      <c r="R1290"/>
      <c r="S1290" s="11"/>
      <c r="T1290" t="s">
        <v>70</v>
      </c>
      <c r="U1290"/>
      <c r="V1290" s="1"/>
      <c r="W1290" s="1"/>
    </row>
    <row r="1291" spans="2:23" x14ac:dyDescent="0.35">
      <c r="B1291" s="4">
        <v>30067046</v>
      </c>
      <c r="C1291" s="1" t="s">
        <v>787</v>
      </c>
      <c r="D1291" s="4" t="s">
        <v>86</v>
      </c>
      <c r="E1291" s="3"/>
      <c r="F1291" s="3" t="s">
        <v>68</v>
      </c>
      <c r="G1291">
        <v>5</v>
      </c>
      <c r="H1291" s="4">
        <v>5</v>
      </c>
      <c r="I1291" s="4">
        <v>21</v>
      </c>
      <c r="J1291" s="4" t="s">
        <v>8</v>
      </c>
      <c r="K1291" s="4" t="s">
        <v>14</v>
      </c>
      <c r="L1291" s="11"/>
      <c r="M1291" s="3"/>
      <c r="N1291"/>
      <c r="O1291" s="4"/>
      <c r="P1291" s="1"/>
      <c r="Q1291" s="22"/>
      <c r="R1291"/>
      <c r="S1291" s="11"/>
      <c r="T1291" t="s">
        <v>66</v>
      </c>
      <c r="U1291"/>
      <c r="V1291" s="1"/>
      <c r="W1291" s="1"/>
    </row>
    <row r="1292" spans="2:23" x14ac:dyDescent="0.35">
      <c r="B1292" s="4">
        <v>30067094</v>
      </c>
      <c r="C1292" s="1" t="s">
        <v>788</v>
      </c>
      <c r="D1292" s="4" t="s">
        <v>86</v>
      </c>
      <c r="E1292" s="3"/>
      <c r="F1292" s="3" t="s">
        <v>68</v>
      </c>
      <c r="G1292">
        <v>3</v>
      </c>
      <c r="H1292" s="4">
        <v>2</v>
      </c>
      <c r="I1292" s="4">
        <v>4</v>
      </c>
      <c r="J1292" s="4" t="s">
        <v>8</v>
      </c>
      <c r="K1292" s="4" t="s">
        <v>7</v>
      </c>
      <c r="L1292" s="11"/>
      <c r="M1292" s="3"/>
      <c r="N1292"/>
      <c r="O1292" s="4"/>
      <c r="P1292" s="1"/>
      <c r="Q1292" s="22"/>
      <c r="R1292"/>
      <c r="S1292" s="11"/>
      <c r="T1292" t="s">
        <v>70</v>
      </c>
      <c r="U1292"/>
      <c r="V1292" s="1"/>
      <c r="W1292" s="1"/>
    </row>
    <row r="1293" spans="2:23" x14ac:dyDescent="0.35">
      <c r="B1293" s="4">
        <v>30067253</v>
      </c>
      <c r="C1293" s="1" t="s">
        <v>869</v>
      </c>
      <c r="D1293" s="4" t="s">
        <v>86</v>
      </c>
      <c r="E1293" s="3"/>
      <c r="F1293" s="3" t="s">
        <v>68</v>
      </c>
      <c r="G1293">
        <v>3</v>
      </c>
      <c r="H1293" s="4">
        <v>3</v>
      </c>
      <c r="I1293" s="4">
        <v>4</v>
      </c>
      <c r="J1293" s="4" t="s">
        <v>8</v>
      </c>
      <c r="K1293" s="4" t="s">
        <v>7</v>
      </c>
      <c r="L1293" s="11"/>
      <c r="M1293" s="3"/>
      <c r="N1293"/>
      <c r="O1293" s="4"/>
      <c r="P1293" s="1"/>
      <c r="Q1293" s="22"/>
      <c r="R1293"/>
      <c r="S1293" s="11"/>
      <c r="T1293" t="s">
        <v>67</v>
      </c>
      <c r="U1293"/>
      <c r="V1293" s="1"/>
      <c r="W1293" s="1"/>
    </row>
    <row r="1294" spans="2:23" x14ac:dyDescent="0.35">
      <c r="B1294" s="4">
        <v>30067420</v>
      </c>
      <c r="C1294" s="1" t="s">
        <v>1594</v>
      </c>
      <c r="D1294" s="4" t="s">
        <v>86</v>
      </c>
      <c r="E1294" s="3" t="s">
        <v>1225</v>
      </c>
      <c r="F1294" s="3" t="s">
        <v>102</v>
      </c>
      <c r="G1294">
        <v>1</v>
      </c>
      <c r="H1294" s="4">
        <v>1</v>
      </c>
      <c r="I1294" s="4">
        <v>0</v>
      </c>
      <c r="J1294" s="4" t="s">
        <v>8</v>
      </c>
      <c r="K1294" s="4" t="s">
        <v>13</v>
      </c>
      <c r="L1294" s="11"/>
      <c r="M1294" s="3"/>
      <c r="N1294">
        <v>4502667945</v>
      </c>
      <c r="O1294" s="4">
        <v>1</v>
      </c>
      <c r="P1294" s="1" t="s">
        <v>1563</v>
      </c>
      <c r="Q1294" s="22">
        <v>46244</v>
      </c>
      <c r="R1294"/>
      <c r="S1294" s="11"/>
      <c r="T1294" t="s">
        <v>71</v>
      </c>
      <c r="U1294"/>
      <c r="V1294" s="1"/>
      <c r="W1294" s="1"/>
    </row>
    <row r="1295" spans="2:23" x14ac:dyDescent="0.35">
      <c r="B1295" s="4">
        <v>30067433</v>
      </c>
      <c r="C1295" s="1" t="s">
        <v>1513</v>
      </c>
      <c r="D1295" s="4" t="s">
        <v>86</v>
      </c>
      <c r="E1295" s="3" t="s">
        <v>1225</v>
      </c>
      <c r="F1295" s="3" t="s">
        <v>102</v>
      </c>
      <c r="G1295">
        <v>1</v>
      </c>
      <c r="H1295" s="4">
        <v>1</v>
      </c>
      <c r="I1295" s="4">
        <v>2</v>
      </c>
      <c r="J1295" s="4" t="s">
        <v>8</v>
      </c>
      <c r="K1295" s="4" t="s">
        <v>7</v>
      </c>
      <c r="L1295" s="11"/>
      <c r="M1295" s="3"/>
      <c r="N1295"/>
      <c r="O1295" s="4"/>
      <c r="P1295" s="1"/>
      <c r="Q1295" s="22"/>
      <c r="R1295"/>
      <c r="S1295" s="11"/>
      <c r="T1295" t="s">
        <v>71</v>
      </c>
      <c r="U1295"/>
      <c r="V1295" s="1"/>
      <c r="W1295" s="1"/>
    </row>
    <row r="1296" spans="2:23" x14ac:dyDescent="0.35">
      <c r="B1296" s="4">
        <v>30067446</v>
      </c>
      <c r="C1296" s="1" t="s">
        <v>1596</v>
      </c>
      <c r="D1296" s="4" t="s">
        <v>86</v>
      </c>
      <c r="E1296" s="3" t="s">
        <v>1225</v>
      </c>
      <c r="F1296" s="3" t="s">
        <v>102</v>
      </c>
      <c r="G1296">
        <v>1</v>
      </c>
      <c r="H1296" s="4">
        <v>1</v>
      </c>
      <c r="I1296" s="4">
        <v>1</v>
      </c>
      <c r="J1296" s="4" t="s">
        <v>8</v>
      </c>
      <c r="K1296" s="4" t="s">
        <v>7</v>
      </c>
      <c r="L1296" s="11"/>
      <c r="M1296" s="3"/>
      <c r="N1296">
        <v>4502710492</v>
      </c>
      <c r="O1296" s="4">
        <v>1</v>
      </c>
      <c r="P1296" s="1" t="s">
        <v>1563</v>
      </c>
      <c r="Q1296" s="22">
        <v>46346</v>
      </c>
      <c r="R1296"/>
      <c r="S1296" s="11"/>
      <c r="T1296" t="s">
        <v>71</v>
      </c>
      <c r="U1296"/>
      <c r="V1296" s="1"/>
      <c r="W1296" s="1"/>
    </row>
    <row r="1297" spans="2:23" x14ac:dyDescent="0.35">
      <c r="B1297" s="4">
        <v>30067449</v>
      </c>
      <c r="C1297" s="1" t="s">
        <v>1597</v>
      </c>
      <c r="D1297" s="4" t="s">
        <v>86</v>
      </c>
      <c r="E1297" s="3" t="s">
        <v>1225</v>
      </c>
      <c r="F1297" s="3" t="s">
        <v>102</v>
      </c>
      <c r="G1297">
        <v>1</v>
      </c>
      <c r="H1297" s="4">
        <v>1</v>
      </c>
      <c r="I1297" s="4">
        <v>1</v>
      </c>
      <c r="J1297" s="4" t="s">
        <v>8</v>
      </c>
      <c r="K1297" s="4" t="s">
        <v>7</v>
      </c>
      <c r="L1297" s="11"/>
      <c r="M1297" s="3"/>
      <c r="N1297"/>
      <c r="O1297" s="4"/>
      <c r="P1297" s="1"/>
      <c r="Q1297" s="22"/>
      <c r="R1297"/>
      <c r="S1297" s="11"/>
      <c r="T1297" t="s">
        <v>71</v>
      </c>
      <c r="U1297"/>
      <c r="V1297" s="1"/>
      <c r="W1297" s="1"/>
    </row>
    <row r="1298" spans="2:23" x14ac:dyDescent="0.35">
      <c r="B1298" s="4">
        <v>30067450</v>
      </c>
      <c r="C1298" s="1" t="s">
        <v>1598</v>
      </c>
      <c r="D1298" s="4" t="s">
        <v>86</v>
      </c>
      <c r="E1298" s="3" t="s">
        <v>1225</v>
      </c>
      <c r="F1298" s="3" t="s">
        <v>102</v>
      </c>
      <c r="G1298">
        <v>2</v>
      </c>
      <c r="H1298" s="4">
        <v>1</v>
      </c>
      <c r="I1298" s="4">
        <v>2</v>
      </c>
      <c r="J1298" s="4" t="s">
        <v>8</v>
      </c>
      <c r="K1298" s="4" t="s">
        <v>7</v>
      </c>
      <c r="L1298" s="11"/>
      <c r="M1298" s="3"/>
      <c r="N1298"/>
      <c r="O1298" s="4"/>
      <c r="P1298" s="1"/>
      <c r="Q1298" s="22"/>
      <c r="R1298"/>
      <c r="S1298" s="11"/>
      <c r="T1298" t="s">
        <v>71</v>
      </c>
      <c r="U1298"/>
      <c r="V1298" s="1"/>
      <c r="W1298" s="1"/>
    </row>
    <row r="1299" spans="2:23" x14ac:dyDescent="0.35">
      <c r="B1299" s="4">
        <v>30067457</v>
      </c>
      <c r="C1299" s="1" t="s">
        <v>1480</v>
      </c>
      <c r="D1299" s="4" t="s">
        <v>86</v>
      </c>
      <c r="E1299" s="3"/>
      <c r="F1299" s="3" t="s">
        <v>68</v>
      </c>
      <c r="G1299">
        <v>3</v>
      </c>
      <c r="H1299" s="4">
        <v>5</v>
      </c>
      <c r="I1299" s="4">
        <v>3</v>
      </c>
      <c r="J1299" s="4" t="s">
        <v>8</v>
      </c>
      <c r="K1299" s="4" t="s">
        <v>7</v>
      </c>
      <c r="L1299" s="11"/>
      <c r="M1299" s="3"/>
      <c r="N1299"/>
      <c r="O1299" s="4"/>
      <c r="P1299" s="1"/>
      <c r="Q1299" s="22"/>
      <c r="R1299"/>
      <c r="S1299" s="11"/>
      <c r="T1299" t="s">
        <v>1603</v>
      </c>
      <c r="U1299"/>
      <c r="V1299" s="1"/>
      <c r="W1299" s="1"/>
    </row>
    <row r="1300" spans="2:23" x14ac:dyDescent="0.35">
      <c r="B1300" s="4">
        <v>30068104</v>
      </c>
      <c r="C1300" s="1" t="s">
        <v>1257</v>
      </c>
      <c r="D1300" s="4" t="s">
        <v>86</v>
      </c>
      <c r="E1300" s="3"/>
      <c r="F1300" s="3" t="s">
        <v>68</v>
      </c>
      <c r="G1300">
        <v>4</v>
      </c>
      <c r="H1300" s="4">
        <v>4</v>
      </c>
      <c r="I1300" s="4">
        <v>6</v>
      </c>
      <c r="J1300" s="4" t="s">
        <v>8</v>
      </c>
      <c r="K1300" s="4" t="s">
        <v>7</v>
      </c>
      <c r="L1300" s="11"/>
      <c r="M1300" s="3"/>
      <c r="N1300"/>
      <c r="O1300" s="4"/>
      <c r="P1300" s="1"/>
      <c r="Q1300" s="22"/>
      <c r="R1300"/>
      <c r="S1300" s="11"/>
      <c r="T1300" t="s">
        <v>67</v>
      </c>
      <c r="U1300"/>
      <c r="V1300" s="1"/>
      <c r="W1300" s="1"/>
    </row>
    <row r="1301" spans="2:23" x14ac:dyDescent="0.35">
      <c r="B1301" s="4">
        <v>30069247</v>
      </c>
      <c r="C1301" s="1" t="s">
        <v>1508</v>
      </c>
      <c r="D1301" s="4" t="s">
        <v>86</v>
      </c>
      <c r="E1301" s="3"/>
      <c r="F1301" s="3" t="s">
        <v>68</v>
      </c>
      <c r="G1301">
        <v>2</v>
      </c>
      <c r="H1301" s="4">
        <v>1</v>
      </c>
      <c r="I1301" s="4">
        <v>2</v>
      </c>
      <c r="J1301" s="4" t="s">
        <v>8</v>
      </c>
      <c r="K1301" s="4" t="s">
        <v>7</v>
      </c>
      <c r="L1301" s="11"/>
      <c r="M1301" s="3"/>
      <c r="N1301"/>
      <c r="O1301" s="4"/>
      <c r="P1301" s="1"/>
      <c r="Q1301" s="22"/>
      <c r="R1301"/>
      <c r="S1301" s="11"/>
      <c r="T1301" t="s">
        <v>70</v>
      </c>
      <c r="U1301"/>
      <c r="V1301" s="1"/>
      <c r="W1301" s="1"/>
    </row>
    <row r="1302" spans="2:23" x14ac:dyDescent="0.35">
      <c r="B1302" s="4">
        <v>30069437</v>
      </c>
      <c r="C1302" s="1" t="s">
        <v>1354</v>
      </c>
      <c r="D1302" s="4" t="s">
        <v>86</v>
      </c>
      <c r="E1302" s="3"/>
      <c r="F1302" s="3" t="s">
        <v>68</v>
      </c>
      <c r="G1302">
        <v>1</v>
      </c>
      <c r="H1302" s="4">
        <v>2</v>
      </c>
      <c r="I1302" s="4">
        <v>1</v>
      </c>
      <c r="J1302" s="4" t="s">
        <v>8</v>
      </c>
      <c r="K1302" s="4" t="s">
        <v>7</v>
      </c>
      <c r="L1302" s="11"/>
      <c r="M1302" s="3"/>
      <c r="N1302"/>
      <c r="O1302" s="4"/>
      <c r="P1302" s="1"/>
      <c r="Q1302" s="22"/>
      <c r="R1302"/>
      <c r="S1302" s="11"/>
      <c r="T1302" t="s">
        <v>67</v>
      </c>
      <c r="U1302"/>
      <c r="V1302" s="1"/>
      <c r="W1302" s="1"/>
    </row>
    <row r="1303" spans="2:23" x14ac:dyDescent="0.35">
      <c r="B1303" s="4">
        <v>30069950</v>
      </c>
      <c r="C1303" s="1" t="s">
        <v>1292</v>
      </c>
      <c r="D1303" s="4" t="s">
        <v>86</v>
      </c>
      <c r="E1303" s="3"/>
      <c r="F1303" s="3" t="s">
        <v>68</v>
      </c>
      <c r="G1303">
        <v>2</v>
      </c>
      <c r="H1303" s="4">
        <v>1</v>
      </c>
      <c r="I1303" s="4">
        <v>2</v>
      </c>
      <c r="J1303" s="4" t="s">
        <v>8</v>
      </c>
      <c r="K1303" s="4" t="s">
        <v>7</v>
      </c>
      <c r="L1303" s="11"/>
      <c r="M1303" s="3"/>
      <c r="N1303"/>
      <c r="O1303" s="4"/>
      <c r="P1303" s="1"/>
      <c r="Q1303" s="22"/>
      <c r="R1303"/>
      <c r="S1303" s="11"/>
      <c r="T1303" t="s">
        <v>67</v>
      </c>
      <c r="U1303"/>
      <c r="V1303" s="11"/>
      <c r="W1303" s="11"/>
    </row>
    <row r="1304" spans="2:23" x14ac:dyDescent="0.35">
      <c r="B1304" s="4">
        <v>30070135</v>
      </c>
      <c r="C1304" s="1" t="s">
        <v>1293</v>
      </c>
      <c r="D1304" s="4" t="s">
        <v>86</v>
      </c>
      <c r="E1304" s="3"/>
      <c r="F1304" s="3" t="s">
        <v>68</v>
      </c>
      <c r="G1304">
        <v>4500</v>
      </c>
      <c r="H1304" s="4">
        <v>5000</v>
      </c>
      <c r="I1304" s="4">
        <v>5000</v>
      </c>
      <c r="J1304" s="4" t="s">
        <v>25</v>
      </c>
      <c r="K1304" s="4" t="s">
        <v>7</v>
      </c>
      <c r="L1304" s="11"/>
      <c r="M1304" s="3"/>
      <c r="N1304"/>
      <c r="O1304" s="4"/>
      <c r="P1304" s="1"/>
      <c r="Q1304" s="22"/>
      <c r="R1304"/>
      <c r="S1304" s="11"/>
      <c r="T1304" t="s">
        <v>66</v>
      </c>
      <c r="U1304"/>
      <c r="V1304" s="11"/>
      <c r="W1304" s="11"/>
    </row>
    <row r="1305" spans="2:23" x14ac:dyDescent="0.35">
      <c r="B1305" s="4">
        <v>30070293</v>
      </c>
      <c r="C1305" s="1" t="s">
        <v>1294</v>
      </c>
      <c r="D1305" s="4" t="s">
        <v>86</v>
      </c>
      <c r="E1305" s="3"/>
      <c r="F1305" s="3" t="s">
        <v>68</v>
      </c>
      <c r="G1305">
        <v>2</v>
      </c>
      <c r="H1305" s="4">
        <v>4</v>
      </c>
      <c r="I1305" s="4">
        <v>2</v>
      </c>
      <c r="J1305" s="4" t="s">
        <v>8</v>
      </c>
      <c r="K1305" s="4" t="s">
        <v>7</v>
      </c>
      <c r="L1305" s="11"/>
      <c r="M1305" s="3"/>
      <c r="N1305"/>
      <c r="O1305" s="4"/>
      <c r="P1305" s="1"/>
      <c r="Q1305" s="22"/>
      <c r="R1305"/>
      <c r="S1305" s="11"/>
      <c r="T1305" t="s">
        <v>67</v>
      </c>
      <c r="U1305"/>
      <c r="V1305" s="11"/>
      <c r="W1305" s="11"/>
    </row>
    <row r="1306" spans="2:23" x14ac:dyDescent="0.35">
      <c r="B1306" s="4">
        <v>30070323</v>
      </c>
      <c r="C1306" s="1" t="s">
        <v>1295</v>
      </c>
      <c r="D1306" s="4" t="s">
        <v>86</v>
      </c>
      <c r="E1306" s="3"/>
      <c r="F1306" s="3" t="s">
        <v>68</v>
      </c>
      <c r="G1306">
        <v>100</v>
      </c>
      <c r="H1306" s="4">
        <v>200</v>
      </c>
      <c r="I1306" s="4">
        <v>180</v>
      </c>
      <c r="J1306" s="4" t="s">
        <v>8</v>
      </c>
      <c r="K1306" s="4" t="s">
        <v>7</v>
      </c>
      <c r="L1306" s="11"/>
      <c r="M1306" s="3"/>
      <c r="N1306"/>
      <c r="O1306" s="4"/>
      <c r="P1306" s="1"/>
      <c r="Q1306" s="22"/>
      <c r="R1306"/>
      <c r="S1306" s="11"/>
      <c r="T1306" t="s">
        <v>66</v>
      </c>
      <c r="U1306"/>
      <c r="V1306" s="11"/>
      <c r="W1306" s="11"/>
    </row>
    <row r="1307" spans="2:23" x14ac:dyDescent="0.35">
      <c r="B1307" s="4">
        <v>30070447</v>
      </c>
      <c r="C1307" s="1" t="s">
        <v>1413</v>
      </c>
      <c r="D1307" s="4" t="s">
        <v>86</v>
      </c>
      <c r="E1307" s="3"/>
      <c r="F1307" s="3" t="s">
        <v>68</v>
      </c>
      <c r="G1307">
        <v>5</v>
      </c>
      <c r="H1307" s="4">
        <v>5</v>
      </c>
      <c r="I1307" s="4">
        <v>13</v>
      </c>
      <c r="J1307" s="4" t="s">
        <v>8</v>
      </c>
      <c r="K1307" s="4" t="s">
        <v>14</v>
      </c>
      <c r="L1307" s="11"/>
      <c r="M1307" s="3"/>
      <c r="N1307"/>
      <c r="O1307" s="4"/>
      <c r="P1307" s="1"/>
      <c r="Q1307" s="22"/>
      <c r="R1307"/>
      <c r="S1307" s="11"/>
      <c r="T1307" t="s">
        <v>70</v>
      </c>
      <c r="U1307"/>
      <c r="V1307" s="11"/>
      <c r="W1307" s="11"/>
    </row>
    <row r="1308" spans="2:23" x14ac:dyDescent="0.35">
      <c r="B1308" s="4">
        <v>30070457</v>
      </c>
      <c r="C1308" s="1" t="s">
        <v>1322</v>
      </c>
      <c r="D1308" s="4" t="s">
        <v>86</v>
      </c>
      <c r="E1308" s="3"/>
      <c r="F1308" s="3" t="s">
        <v>68</v>
      </c>
      <c r="G1308">
        <v>3</v>
      </c>
      <c r="H1308" s="4">
        <v>6</v>
      </c>
      <c r="I1308" s="4">
        <v>5</v>
      </c>
      <c r="J1308" s="4" t="s">
        <v>8</v>
      </c>
      <c r="K1308" s="4" t="s">
        <v>7</v>
      </c>
      <c r="L1308" s="11"/>
      <c r="M1308" s="3"/>
      <c r="N1308"/>
      <c r="O1308" s="4"/>
      <c r="P1308" s="1"/>
      <c r="Q1308" s="22"/>
      <c r="R1308"/>
      <c r="S1308" s="11"/>
      <c r="T1308" t="s">
        <v>66</v>
      </c>
      <c r="U1308"/>
      <c r="V1308" s="11"/>
      <c r="W1308" s="11"/>
    </row>
    <row r="1309" spans="2:23" x14ac:dyDescent="0.35">
      <c r="B1309" s="4">
        <v>30070465</v>
      </c>
      <c r="C1309" s="1" t="s">
        <v>1364</v>
      </c>
      <c r="D1309" s="4" t="s">
        <v>86</v>
      </c>
      <c r="E1309" s="3"/>
      <c r="F1309" s="3" t="s">
        <v>68</v>
      </c>
      <c r="G1309">
        <v>1</v>
      </c>
      <c r="H1309" s="4">
        <v>2</v>
      </c>
      <c r="I1309" s="4">
        <v>12</v>
      </c>
      <c r="J1309" s="4" t="s">
        <v>8</v>
      </c>
      <c r="K1309" s="4" t="s">
        <v>14</v>
      </c>
      <c r="L1309" s="11"/>
      <c r="M1309" s="3"/>
      <c r="N1309"/>
      <c r="O1309" s="4"/>
      <c r="P1309" s="1"/>
      <c r="Q1309" s="22"/>
      <c r="R1309"/>
      <c r="S1309" s="11"/>
      <c r="T1309" t="s">
        <v>70</v>
      </c>
      <c r="U1309"/>
      <c r="V1309" s="11"/>
      <c r="W1309" s="11"/>
    </row>
    <row r="1310" spans="2:23" x14ac:dyDescent="0.35">
      <c r="B1310" s="4">
        <v>30070475</v>
      </c>
      <c r="C1310" s="1" t="s">
        <v>1335</v>
      </c>
      <c r="D1310" s="4" t="s">
        <v>86</v>
      </c>
      <c r="E1310" s="3"/>
      <c r="F1310" s="3" t="s">
        <v>68</v>
      </c>
      <c r="G1310">
        <v>1</v>
      </c>
      <c r="H1310" s="4">
        <v>2</v>
      </c>
      <c r="I1310" s="4">
        <v>1</v>
      </c>
      <c r="J1310" s="4" t="s">
        <v>8</v>
      </c>
      <c r="K1310" s="4" t="s">
        <v>7</v>
      </c>
      <c r="L1310" s="11"/>
      <c r="M1310" s="3"/>
      <c r="N1310"/>
      <c r="O1310" s="4"/>
      <c r="P1310" s="1"/>
      <c r="Q1310" s="22"/>
      <c r="R1310"/>
      <c r="S1310" s="11"/>
      <c r="T1310" t="s">
        <v>70</v>
      </c>
      <c r="U1310"/>
      <c r="V1310" s="11"/>
      <c r="W1310" s="11"/>
    </row>
    <row r="1311" spans="2:23" x14ac:dyDescent="0.35">
      <c r="B1311" s="4">
        <v>30070476</v>
      </c>
      <c r="C1311" s="1" t="s">
        <v>1296</v>
      </c>
      <c r="D1311" s="4" t="s">
        <v>86</v>
      </c>
      <c r="E1311" s="3"/>
      <c r="F1311" s="3" t="s">
        <v>68</v>
      </c>
      <c r="G1311">
        <v>2</v>
      </c>
      <c r="H1311" s="4">
        <v>1</v>
      </c>
      <c r="I1311" s="4">
        <v>2</v>
      </c>
      <c r="J1311" s="4" t="s">
        <v>8</v>
      </c>
      <c r="K1311" s="4" t="s">
        <v>7</v>
      </c>
      <c r="L1311" s="11"/>
      <c r="M1311" s="3"/>
      <c r="N1311"/>
      <c r="O1311" s="4"/>
      <c r="P1311" s="1"/>
      <c r="Q1311" s="22"/>
      <c r="R1311"/>
      <c r="S1311" s="11"/>
      <c r="T1311" t="s">
        <v>70</v>
      </c>
      <c r="U1311"/>
      <c r="V1311" s="11"/>
      <c r="W1311" s="11"/>
    </row>
    <row r="1312" spans="2:23" x14ac:dyDescent="0.35">
      <c r="B1312" s="4">
        <v>30070489</v>
      </c>
      <c r="C1312" s="1" t="s">
        <v>1323</v>
      </c>
      <c r="D1312" s="4" t="s">
        <v>86</v>
      </c>
      <c r="E1312" s="3"/>
      <c r="F1312" s="3" t="s">
        <v>68</v>
      </c>
      <c r="G1312">
        <v>40</v>
      </c>
      <c r="H1312" s="4">
        <v>40</v>
      </c>
      <c r="I1312" s="4">
        <v>40</v>
      </c>
      <c r="J1312" s="4" t="s">
        <v>25</v>
      </c>
      <c r="K1312" s="4" t="s">
        <v>7</v>
      </c>
      <c r="L1312" s="11"/>
      <c r="M1312" s="3"/>
      <c r="N1312"/>
      <c r="O1312" s="4"/>
      <c r="P1312" s="1"/>
      <c r="Q1312" s="22"/>
      <c r="R1312"/>
      <c r="S1312" s="11"/>
      <c r="T1312" t="s">
        <v>66</v>
      </c>
      <c r="U1312"/>
      <c r="V1312" s="11"/>
      <c r="W1312" s="11"/>
    </row>
    <row r="1313" spans="2:23" x14ac:dyDescent="0.35">
      <c r="B1313" s="4">
        <v>30070490</v>
      </c>
      <c r="C1313" s="1" t="s">
        <v>1297</v>
      </c>
      <c r="D1313" s="4" t="s">
        <v>86</v>
      </c>
      <c r="E1313" s="3"/>
      <c r="F1313" s="3" t="s">
        <v>68</v>
      </c>
      <c r="G1313">
        <v>1</v>
      </c>
      <c r="H1313" s="4">
        <v>2</v>
      </c>
      <c r="I1313" s="4">
        <v>1</v>
      </c>
      <c r="J1313" s="4" t="s">
        <v>8</v>
      </c>
      <c r="K1313" s="4" t="s">
        <v>7</v>
      </c>
      <c r="L1313" s="11"/>
      <c r="M1313" s="3"/>
      <c r="N1313"/>
      <c r="O1313" s="4"/>
      <c r="P1313" s="1"/>
      <c r="Q1313" s="22"/>
      <c r="R1313"/>
      <c r="S1313" s="11"/>
      <c r="T1313" t="s">
        <v>66</v>
      </c>
      <c r="U1313"/>
      <c r="V1313" s="11"/>
      <c r="W1313" s="11"/>
    </row>
    <row r="1314" spans="2:23" x14ac:dyDescent="0.35">
      <c r="B1314" s="4">
        <v>30070576</v>
      </c>
      <c r="C1314" s="1" t="s">
        <v>1298</v>
      </c>
      <c r="D1314" s="4" t="s">
        <v>86</v>
      </c>
      <c r="E1314" s="3"/>
      <c r="F1314" s="3" t="s">
        <v>68</v>
      </c>
      <c r="G1314">
        <v>2</v>
      </c>
      <c r="H1314" s="4">
        <v>2</v>
      </c>
      <c r="I1314" s="4">
        <v>3</v>
      </c>
      <c r="J1314" s="4" t="s">
        <v>8</v>
      </c>
      <c r="K1314" s="4" t="s">
        <v>7</v>
      </c>
      <c r="L1314" s="11"/>
      <c r="M1314" s="3"/>
      <c r="N1314"/>
      <c r="O1314" s="4"/>
      <c r="P1314" s="1"/>
      <c r="Q1314" s="22"/>
      <c r="R1314"/>
      <c r="S1314" s="11"/>
      <c r="T1314" t="s">
        <v>71</v>
      </c>
      <c r="U1314"/>
      <c r="V1314" s="11"/>
      <c r="W1314" s="11"/>
    </row>
    <row r="1315" spans="2:23" x14ac:dyDescent="0.35">
      <c r="B1315" s="4">
        <v>30070649</v>
      </c>
      <c r="C1315" s="1" t="s">
        <v>1559</v>
      </c>
      <c r="D1315" s="4" t="s">
        <v>86</v>
      </c>
      <c r="E1315" s="3"/>
      <c r="F1315" s="3" t="s">
        <v>68</v>
      </c>
      <c r="G1315">
        <v>2</v>
      </c>
      <c r="H1315" s="4">
        <v>1</v>
      </c>
      <c r="I1315" s="4">
        <v>4</v>
      </c>
      <c r="J1315" s="4" t="s">
        <v>8</v>
      </c>
      <c r="K1315" s="4" t="s">
        <v>14</v>
      </c>
      <c r="L1315" s="11"/>
      <c r="M1315" s="3"/>
      <c r="N1315"/>
      <c r="O1315" s="4"/>
      <c r="P1315" s="1"/>
      <c r="Q1315" s="22"/>
      <c r="R1315"/>
      <c r="S1315" s="11"/>
      <c r="T1315" t="s">
        <v>67</v>
      </c>
      <c r="U1315"/>
      <c r="V1315" s="11"/>
      <c r="W1315" s="11"/>
    </row>
    <row r="1316" spans="2:23" x14ac:dyDescent="0.35">
      <c r="B1316" s="4">
        <v>30070666</v>
      </c>
      <c r="C1316" s="1" t="s">
        <v>1324</v>
      </c>
      <c r="D1316" s="4" t="s">
        <v>86</v>
      </c>
      <c r="E1316" s="3"/>
      <c r="F1316" s="3" t="s">
        <v>68</v>
      </c>
      <c r="G1316">
        <v>2</v>
      </c>
      <c r="H1316" s="4">
        <v>4</v>
      </c>
      <c r="I1316" s="4">
        <v>2</v>
      </c>
      <c r="J1316" s="4" t="s">
        <v>8</v>
      </c>
      <c r="K1316" s="4" t="s">
        <v>7</v>
      </c>
      <c r="L1316" s="11"/>
      <c r="M1316" s="3"/>
      <c r="N1316"/>
      <c r="O1316" s="4"/>
      <c r="P1316" s="1"/>
      <c r="Q1316" s="22"/>
      <c r="R1316"/>
      <c r="S1316" s="11"/>
      <c r="T1316" t="s">
        <v>66</v>
      </c>
      <c r="U1316"/>
      <c r="V1316" s="11"/>
      <c r="W1316" s="11"/>
    </row>
    <row r="1317" spans="2:23" x14ac:dyDescent="0.35">
      <c r="B1317" s="4">
        <v>30070684</v>
      </c>
      <c r="C1317" s="1" t="s">
        <v>1355</v>
      </c>
      <c r="D1317" s="4" t="s">
        <v>86</v>
      </c>
      <c r="E1317" s="3"/>
      <c r="F1317" s="3" t="s">
        <v>68</v>
      </c>
      <c r="G1317">
        <v>1</v>
      </c>
      <c r="H1317" s="4">
        <v>2</v>
      </c>
      <c r="I1317" s="4">
        <v>1</v>
      </c>
      <c r="J1317" s="4" t="s">
        <v>8</v>
      </c>
      <c r="K1317" s="4" t="s">
        <v>7</v>
      </c>
      <c r="L1317" s="11"/>
      <c r="M1317" s="3"/>
      <c r="N1317"/>
      <c r="O1317" s="4"/>
      <c r="P1317" s="1"/>
      <c r="Q1317" s="22"/>
      <c r="R1317"/>
      <c r="S1317" s="11"/>
      <c r="T1317" t="s">
        <v>70</v>
      </c>
      <c r="U1317"/>
      <c r="V1317" s="11"/>
      <c r="W1317" s="11"/>
    </row>
    <row r="1318" spans="2:23" x14ac:dyDescent="0.35">
      <c r="B1318" s="4">
        <v>30070687</v>
      </c>
      <c r="C1318" s="1" t="s">
        <v>1356</v>
      </c>
      <c r="D1318" s="4" t="s">
        <v>86</v>
      </c>
      <c r="E1318" s="3"/>
      <c r="F1318" s="3" t="s">
        <v>68</v>
      </c>
      <c r="G1318">
        <v>1</v>
      </c>
      <c r="H1318" s="4">
        <v>2</v>
      </c>
      <c r="I1318" s="4">
        <v>1</v>
      </c>
      <c r="J1318" s="4" t="s">
        <v>8</v>
      </c>
      <c r="K1318" s="4" t="s">
        <v>7</v>
      </c>
      <c r="L1318" s="11"/>
      <c r="M1318" s="3"/>
      <c r="N1318"/>
      <c r="O1318" s="4"/>
      <c r="P1318" s="1"/>
      <c r="Q1318" s="22"/>
      <c r="R1318"/>
      <c r="S1318" s="11"/>
      <c r="T1318" t="s">
        <v>70</v>
      </c>
      <c r="U1318"/>
      <c r="V1318" s="11"/>
      <c r="W1318" s="11"/>
    </row>
    <row r="1319" spans="2:23" x14ac:dyDescent="0.35">
      <c r="B1319" s="4">
        <v>30070688</v>
      </c>
      <c r="C1319" s="1" t="s">
        <v>1357</v>
      </c>
      <c r="D1319" s="4" t="s">
        <v>86</v>
      </c>
      <c r="E1319" s="3"/>
      <c r="F1319" s="3" t="s">
        <v>68</v>
      </c>
      <c r="G1319">
        <v>1</v>
      </c>
      <c r="H1319" s="4">
        <v>2</v>
      </c>
      <c r="I1319" s="4">
        <v>2</v>
      </c>
      <c r="J1319" s="4" t="s">
        <v>8</v>
      </c>
      <c r="K1319" s="4" t="s">
        <v>7</v>
      </c>
      <c r="L1319" s="11"/>
      <c r="M1319" s="3"/>
      <c r="N1319"/>
      <c r="O1319" s="4"/>
      <c r="P1319" s="1"/>
      <c r="Q1319" s="22"/>
      <c r="R1319"/>
      <c r="S1319" s="11"/>
      <c r="T1319" t="s">
        <v>70</v>
      </c>
      <c r="U1319"/>
      <c r="V1319" s="11"/>
      <c r="W1319" s="11"/>
    </row>
    <row r="1320" spans="2:23" x14ac:dyDescent="0.35">
      <c r="B1320" s="4">
        <v>30070745</v>
      </c>
      <c r="C1320" s="1" t="s">
        <v>1358</v>
      </c>
      <c r="D1320" s="4" t="s">
        <v>86</v>
      </c>
      <c r="E1320" s="3"/>
      <c r="F1320" s="3" t="s">
        <v>68</v>
      </c>
      <c r="G1320">
        <v>1</v>
      </c>
      <c r="H1320" s="4">
        <v>2</v>
      </c>
      <c r="I1320" s="4">
        <v>3</v>
      </c>
      <c r="J1320" s="4" t="s">
        <v>8</v>
      </c>
      <c r="K1320" s="4" t="s">
        <v>7</v>
      </c>
      <c r="L1320" s="11"/>
      <c r="M1320" s="3"/>
      <c r="N1320"/>
      <c r="O1320" s="4"/>
      <c r="P1320" s="1"/>
      <c r="Q1320" s="22"/>
      <c r="R1320"/>
      <c r="S1320" s="11"/>
      <c r="T1320" t="s">
        <v>66</v>
      </c>
      <c r="U1320"/>
      <c r="V1320" s="11"/>
      <c r="W1320" s="11"/>
    </row>
    <row r="1321" spans="2:23" x14ac:dyDescent="0.35">
      <c r="B1321" s="4">
        <v>30070752</v>
      </c>
      <c r="C1321" s="1" t="s">
        <v>1368</v>
      </c>
      <c r="D1321" s="4" t="s">
        <v>86</v>
      </c>
      <c r="E1321" s="3"/>
      <c r="F1321" s="3" t="s">
        <v>68</v>
      </c>
      <c r="G1321">
        <v>50</v>
      </c>
      <c r="H1321" s="4">
        <v>100</v>
      </c>
      <c r="I1321" s="4">
        <v>250</v>
      </c>
      <c r="J1321" s="4" t="s">
        <v>8</v>
      </c>
      <c r="K1321" s="4" t="s">
        <v>14</v>
      </c>
      <c r="L1321" s="11"/>
      <c r="M1321" s="3"/>
      <c r="N1321"/>
      <c r="O1321" s="4"/>
      <c r="P1321" s="1"/>
      <c r="Q1321" s="22"/>
      <c r="R1321"/>
      <c r="S1321" s="11"/>
      <c r="T1321" t="s">
        <v>66</v>
      </c>
      <c r="U1321"/>
      <c r="V1321" s="11"/>
      <c r="W1321" s="11"/>
    </row>
    <row r="1322" spans="2:23" x14ac:dyDescent="0.35">
      <c r="B1322" s="4">
        <v>30070790</v>
      </c>
      <c r="C1322" s="1" t="s">
        <v>1359</v>
      </c>
      <c r="D1322" s="4" t="s">
        <v>86</v>
      </c>
      <c r="E1322" s="3"/>
      <c r="F1322" s="3" t="s">
        <v>68</v>
      </c>
      <c r="G1322">
        <v>45</v>
      </c>
      <c r="H1322" s="4">
        <v>45</v>
      </c>
      <c r="I1322" s="4">
        <v>45</v>
      </c>
      <c r="J1322" s="4" t="s">
        <v>25</v>
      </c>
      <c r="K1322" s="4" t="s">
        <v>7</v>
      </c>
      <c r="L1322" s="11"/>
      <c r="M1322" s="3"/>
      <c r="N1322"/>
      <c r="O1322" s="4"/>
      <c r="P1322" s="1"/>
      <c r="Q1322" s="22"/>
      <c r="R1322"/>
      <c r="S1322" s="11"/>
      <c r="T1322" t="s">
        <v>66</v>
      </c>
      <c r="U1322"/>
      <c r="V1322" s="11"/>
      <c r="W1322" s="11"/>
    </row>
    <row r="1323" spans="2:23" x14ac:dyDescent="0.35">
      <c r="B1323" s="4">
        <v>30070831</v>
      </c>
      <c r="C1323" s="1" t="s">
        <v>1517</v>
      </c>
      <c r="D1323" s="4" t="s">
        <v>86</v>
      </c>
      <c r="E1323" s="3"/>
      <c r="F1323" s="3" t="s">
        <v>68</v>
      </c>
      <c r="G1323">
        <v>1</v>
      </c>
      <c r="H1323" s="4">
        <v>1</v>
      </c>
      <c r="I1323" s="4">
        <v>3</v>
      </c>
      <c r="J1323" s="4" t="s">
        <v>8</v>
      </c>
      <c r="K1323" s="4" t="s">
        <v>14</v>
      </c>
      <c r="L1323" s="11"/>
      <c r="M1323" s="3"/>
      <c r="N1323"/>
      <c r="O1323" s="4"/>
      <c r="P1323" s="1"/>
      <c r="Q1323" s="22"/>
      <c r="R1323"/>
      <c r="S1323" s="11"/>
      <c r="T1323" t="s">
        <v>71</v>
      </c>
      <c r="U1323"/>
      <c r="V1323" s="11"/>
      <c r="W1323" s="11"/>
    </row>
    <row r="1324" spans="2:23" x14ac:dyDescent="0.35">
      <c r="B1324" s="4">
        <v>30071052</v>
      </c>
      <c r="C1324" s="1" t="s">
        <v>1414</v>
      </c>
      <c r="D1324" s="4" t="s">
        <v>86</v>
      </c>
      <c r="E1324" s="3"/>
      <c r="F1324" s="3" t="s">
        <v>68</v>
      </c>
      <c r="G1324">
        <v>1</v>
      </c>
      <c r="H1324" s="4">
        <v>2</v>
      </c>
      <c r="I1324" s="4">
        <v>8</v>
      </c>
      <c r="J1324" s="4" t="s">
        <v>8</v>
      </c>
      <c r="K1324" s="4" t="s">
        <v>14</v>
      </c>
      <c r="L1324" s="11"/>
      <c r="M1324" s="3"/>
      <c r="N1324"/>
      <c r="O1324" s="4"/>
      <c r="P1324" s="1"/>
      <c r="Q1324" s="22"/>
      <c r="R1324"/>
      <c r="S1324" s="11"/>
      <c r="T1324" t="s">
        <v>70</v>
      </c>
      <c r="U1324"/>
      <c r="V1324" s="11"/>
      <c r="W1324" s="11"/>
    </row>
    <row r="1325" spans="2:23" x14ac:dyDescent="0.35">
      <c r="B1325" s="4">
        <v>30072421</v>
      </c>
      <c r="C1325" s="1" t="s">
        <v>1617</v>
      </c>
      <c r="D1325" s="4" t="s">
        <v>86</v>
      </c>
      <c r="E1325" s="3"/>
      <c r="F1325" s="3" t="s">
        <v>68</v>
      </c>
      <c r="G1325">
        <v>5</v>
      </c>
      <c r="H1325" s="4">
        <v>5</v>
      </c>
      <c r="I1325" s="4">
        <v>5</v>
      </c>
      <c r="J1325" s="4" t="s">
        <v>8</v>
      </c>
      <c r="K1325" s="4" t="s">
        <v>7</v>
      </c>
      <c r="L1325" s="11"/>
      <c r="M1325" s="3"/>
      <c r="N1325"/>
      <c r="O1325" s="4"/>
      <c r="P1325" s="1"/>
      <c r="Q1325" s="22"/>
      <c r="R1325"/>
      <c r="S1325" s="11"/>
      <c r="T1325" t="s">
        <v>1602</v>
      </c>
      <c r="U1325"/>
      <c r="V1325" s="11"/>
      <c r="W1325" s="11"/>
    </row>
    <row r="1326" spans="2:23" x14ac:dyDescent="0.35">
      <c r="B1326" s="4">
        <v>30072741</v>
      </c>
      <c r="C1326" s="1" t="s">
        <v>1409</v>
      </c>
      <c r="D1326" s="4" t="s">
        <v>86</v>
      </c>
      <c r="E1326" s="3"/>
      <c r="F1326" s="3" t="s">
        <v>68</v>
      </c>
      <c r="G1326">
        <v>20</v>
      </c>
      <c r="H1326" s="4">
        <v>20</v>
      </c>
      <c r="I1326" s="4">
        <v>45</v>
      </c>
      <c r="J1326" s="4" t="s">
        <v>8</v>
      </c>
      <c r="K1326" s="4" t="s">
        <v>14</v>
      </c>
      <c r="L1326" s="11"/>
      <c r="M1326" s="3"/>
      <c r="N1326"/>
      <c r="O1326" s="4"/>
      <c r="P1326" s="1"/>
      <c r="Q1326" s="22"/>
      <c r="R1326"/>
      <c r="S1326" s="11"/>
      <c r="T1326" t="s">
        <v>1603</v>
      </c>
      <c r="U1326"/>
      <c r="V1326" s="11"/>
      <c r="W1326" s="11"/>
    </row>
    <row r="1327" spans="2:23" x14ac:dyDescent="0.35">
      <c r="B1327" s="4">
        <v>30073338</v>
      </c>
      <c r="C1327" s="1" t="s">
        <v>1441</v>
      </c>
      <c r="D1327" s="4" t="s">
        <v>86</v>
      </c>
      <c r="E1327" s="3"/>
      <c r="F1327" s="3" t="s">
        <v>68</v>
      </c>
      <c r="G1327">
        <v>10</v>
      </c>
      <c r="H1327" s="4">
        <v>15</v>
      </c>
      <c r="I1327" s="4">
        <v>22</v>
      </c>
      <c r="J1327" s="4" t="s">
        <v>8</v>
      </c>
      <c r="K1327" s="4" t="s">
        <v>7</v>
      </c>
      <c r="L1327" s="11"/>
      <c r="M1327" s="3"/>
      <c r="N1327"/>
      <c r="O1327" s="4"/>
      <c r="P1327" s="1"/>
      <c r="Q1327" s="22"/>
      <c r="R1327"/>
      <c r="S1327" s="11"/>
      <c r="T1327" t="s">
        <v>70</v>
      </c>
      <c r="U1327"/>
      <c r="V1327" s="11"/>
      <c r="W1327" s="11"/>
    </row>
    <row r="1328" spans="2:23" x14ac:dyDescent="0.35">
      <c r="B1328" s="4">
        <v>30073339</v>
      </c>
      <c r="C1328" s="1" t="s">
        <v>1430</v>
      </c>
      <c r="D1328" s="4" t="s">
        <v>86</v>
      </c>
      <c r="E1328" s="3"/>
      <c r="F1328" s="3" t="s">
        <v>68</v>
      </c>
      <c r="G1328">
        <v>7</v>
      </c>
      <c r="H1328" s="4">
        <v>10</v>
      </c>
      <c r="I1328" s="4">
        <v>10</v>
      </c>
      <c r="J1328" s="4" t="s">
        <v>8</v>
      </c>
      <c r="K1328" s="4" t="s">
        <v>7</v>
      </c>
      <c r="L1328" s="11"/>
      <c r="M1328" s="3"/>
      <c r="N1328"/>
      <c r="O1328" s="4"/>
      <c r="P1328" s="1"/>
      <c r="Q1328" s="22"/>
      <c r="R1328"/>
      <c r="S1328" s="11"/>
      <c r="T1328" t="s">
        <v>66</v>
      </c>
      <c r="U1328"/>
      <c r="V1328" s="11"/>
      <c r="W1328" s="11"/>
    </row>
    <row r="1329" spans="2:23" x14ac:dyDescent="0.35">
      <c r="B1329" s="4">
        <v>30073690</v>
      </c>
      <c r="C1329" s="1" t="s">
        <v>1442</v>
      </c>
      <c r="D1329" s="4" t="s">
        <v>86</v>
      </c>
      <c r="E1329" s="3"/>
      <c r="F1329" s="3" t="s">
        <v>68</v>
      </c>
      <c r="G1329">
        <v>5</v>
      </c>
      <c r="H1329" s="4">
        <v>5</v>
      </c>
      <c r="I1329" s="4">
        <v>10</v>
      </c>
      <c r="J1329" s="4" t="s">
        <v>8</v>
      </c>
      <c r="K1329" s="4" t="s">
        <v>7</v>
      </c>
      <c r="L1329" s="11"/>
      <c r="M1329" s="3"/>
      <c r="N1329"/>
      <c r="O1329" s="4"/>
      <c r="P1329" s="1"/>
      <c r="Q1329" s="22"/>
      <c r="R1329"/>
      <c r="S1329" s="11"/>
      <c r="T1329" t="s">
        <v>1603</v>
      </c>
      <c r="U1329"/>
      <c r="V1329" s="11"/>
      <c r="W1329" s="11"/>
    </row>
    <row r="1330" spans="2:23" x14ac:dyDescent="0.35">
      <c r="B1330" s="4">
        <v>30073849</v>
      </c>
      <c r="C1330" s="1" t="s">
        <v>1578</v>
      </c>
      <c r="D1330" s="4" t="s">
        <v>86</v>
      </c>
      <c r="E1330" s="3"/>
      <c r="F1330" s="3" t="s">
        <v>68</v>
      </c>
      <c r="G1330">
        <v>6</v>
      </c>
      <c r="H1330" s="4">
        <v>9</v>
      </c>
      <c r="I1330" s="4">
        <v>31</v>
      </c>
      <c r="J1330" s="4" t="s">
        <v>8</v>
      </c>
      <c r="K1330" s="4" t="s">
        <v>14</v>
      </c>
      <c r="L1330" s="11"/>
      <c r="M1330" s="3"/>
      <c r="N1330"/>
      <c r="O1330" s="4"/>
      <c r="P1330" s="1"/>
      <c r="Q1330" s="22"/>
      <c r="R1330"/>
      <c r="S1330" s="11"/>
      <c r="T1330" t="s">
        <v>70</v>
      </c>
      <c r="U1330"/>
      <c r="V1330" s="11"/>
      <c r="W1330" s="11"/>
    </row>
    <row r="1331" spans="2:23" x14ac:dyDescent="0.35">
      <c r="B1331" s="4">
        <v>30074489</v>
      </c>
      <c r="C1331" s="1" t="s">
        <v>1471</v>
      </c>
      <c r="D1331" s="4" t="s">
        <v>86</v>
      </c>
      <c r="E1331" s="3"/>
      <c r="F1331" s="3" t="s">
        <v>68</v>
      </c>
      <c r="G1331">
        <v>5</v>
      </c>
      <c r="H1331" s="4">
        <v>10</v>
      </c>
      <c r="I1331" s="4">
        <v>7</v>
      </c>
      <c r="J1331" s="4" t="s">
        <v>8</v>
      </c>
      <c r="K1331" s="4" t="s">
        <v>7</v>
      </c>
      <c r="L1331" s="11"/>
      <c r="M1331" s="3"/>
      <c r="N1331"/>
      <c r="O1331" s="4"/>
      <c r="P1331" s="1"/>
      <c r="Q1331" s="22"/>
      <c r="R1331"/>
      <c r="S1331" s="11"/>
      <c r="T1331" t="s">
        <v>1603</v>
      </c>
      <c r="U1331"/>
      <c r="V1331" s="11"/>
      <c r="W1331" s="11"/>
    </row>
    <row r="1332" spans="2:23" x14ac:dyDescent="0.35">
      <c r="B1332"/>
      <c r="C1332"/>
      <c r="D1332"/>
      <c r="E1332"/>
      <c r="F1332"/>
      <c r="G1332"/>
      <c r="H1332"/>
      <c r="I1332"/>
      <c r="J1332"/>
      <c r="K1332"/>
      <c r="L1332" s="11"/>
      <c r="M1332"/>
      <c r="N1332" s="3"/>
      <c r="O1332" s="11"/>
      <c r="P1332" s="11"/>
      <c r="Q1332" s="11"/>
      <c r="R1332" s="11"/>
      <c r="S1332" s="11"/>
      <c r="T1332" s="11"/>
      <c r="U1332" s="11"/>
      <c r="V1332" s="11"/>
      <c r="W1332" s="11"/>
    </row>
    <row r="1333" spans="2:23" x14ac:dyDescent="0.35">
      <c r="B1333"/>
      <c r="C1333"/>
      <c r="D1333"/>
      <c r="E1333"/>
      <c r="F1333"/>
      <c r="G1333"/>
      <c r="H1333"/>
      <c r="I1333"/>
      <c r="J1333"/>
      <c r="K1333"/>
      <c r="L1333" s="11"/>
      <c r="M1333"/>
      <c r="N1333" s="3"/>
      <c r="O1333" s="11"/>
      <c r="P1333" s="11"/>
      <c r="Q1333" s="11"/>
      <c r="R1333" s="11"/>
      <c r="S1333" s="11"/>
      <c r="T1333" s="11"/>
      <c r="U1333" s="11"/>
      <c r="V1333" s="11"/>
      <c r="W1333" s="11"/>
    </row>
    <row r="1334" spans="2:23" x14ac:dyDescent="0.35">
      <c r="B1334"/>
      <c r="C1334"/>
      <c r="D1334"/>
      <c r="E1334"/>
      <c r="F1334"/>
      <c r="G1334"/>
      <c r="H1334"/>
      <c r="I1334"/>
      <c r="J1334"/>
      <c r="K1334"/>
      <c r="L1334" s="11"/>
      <c r="M1334"/>
      <c r="N1334" s="3"/>
      <c r="O1334" s="11"/>
      <c r="P1334" s="11"/>
      <c r="Q1334" s="11"/>
      <c r="R1334" s="11"/>
      <c r="S1334" s="11"/>
      <c r="T1334" s="11"/>
      <c r="U1334" s="11"/>
      <c r="V1334" s="11"/>
      <c r="W1334" s="11"/>
    </row>
    <row r="1335" spans="2:23" x14ac:dyDescent="0.35">
      <c r="B1335"/>
      <c r="C1335"/>
      <c r="D1335"/>
      <c r="E1335"/>
      <c r="F1335"/>
      <c r="G1335"/>
      <c r="H1335"/>
      <c r="I1335"/>
      <c r="J1335"/>
      <c r="K1335"/>
      <c r="L1335" s="11"/>
      <c r="M1335"/>
      <c r="N1335" s="3"/>
      <c r="O1335" s="11"/>
      <c r="P1335" s="11"/>
      <c r="Q1335" s="11"/>
      <c r="R1335" s="11"/>
      <c r="S1335" s="11"/>
      <c r="T1335" s="11"/>
      <c r="U1335" s="11"/>
      <c r="V1335" s="11"/>
      <c r="W1335" s="11"/>
    </row>
    <row r="1336" spans="2:23" x14ac:dyDescent="0.35">
      <c r="B1336"/>
      <c r="C1336"/>
      <c r="D1336"/>
      <c r="E1336"/>
      <c r="F1336"/>
      <c r="G1336"/>
      <c r="H1336"/>
      <c r="I1336"/>
      <c r="J1336"/>
      <c r="K1336"/>
      <c r="L1336" s="11"/>
      <c r="M1336"/>
      <c r="N1336" s="3"/>
      <c r="O1336" s="11"/>
      <c r="P1336" s="11"/>
      <c r="Q1336" s="11"/>
      <c r="R1336" s="11"/>
      <c r="S1336" s="11"/>
      <c r="T1336" s="11"/>
      <c r="U1336" s="11"/>
      <c r="V1336" s="11"/>
      <c r="W1336" s="11"/>
    </row>
    <row r="1337" spans="2:23" x14ac:dyDescent="0.35">
      <c r="B1337"/>
      <c r="C1337"/>
      <c r="D1337"/>
      <c r="E1337"/>
      <c r="F1337"/>
      <c r="G1337"/>
      <c r="H1337"/>
      <c r="I1337"/>
      <c r="J1337"/>
      <c r="K1337"/>
      <c r="L1337" s="11"/>
      <c r="M1337"/>
      <c r="N1337" s="3"/>
      <c r="O1337" s="11"/>
      <c r="P1337" s="11"/>
      <c r="Q1337" s="11"/>
      <c r="R1337" s="11"/>
      <c r="S1337" s="11"/>
      <c r="T1337" s="11"/>
      <c r="U1337" s="11"/>
      <c r="V1337" s="11"/>
      <c r="W1337" s="11"/>
    </row>
    <row r="1338" spans="2:23" x14ac:dyDescent="0.35">
      <c r="B1338"/>
      <c r="C1338"/>
      <c r="D1338"/>
      <c r="E1338"/>
      <c r="F1338"/>
      <c r="G1338"/>
      <c r="H1338"/>
      <c r="I1338"/>
      <c r="J1338"/>
      <c r="K1338"/>
      <c r="L1338" s="11"/>
      <c r="M1338"/>
      <c r="N1338" s="3"/>
      <c r="O1338" s="11"/>
      <c r="P1338" s="11"/>
      <c r="Q1338" s="11"/>
      <c r="R1338" s="11"/>
      <c r="S1338" s="11"/>
      <c r="T1338" s="11"/>
      <c r="U1338" s="11"/>
      <c r="V1338" s="11"/>
      <c r="W1338" s="11"/>
    </row>
    <row r="1339" spans="2:23" x14ac:dyDescent="0.35">
      <c r="B1339"/>
      <c r="C1339"/>
      <c r="D1339"/>
      <c r="E1339"/>
      <c r="F1339"/>
      <c r="G1339"/>
      <c r="H1339"/>
      <c r="I1339"/>
      <c r="J1339"/>
      <c r="K1339"/>
      <c r="L1339" s="11"/>
      <c r="M1339"/>
      <c r="N1339" s="3"/>
      <c r="O1339" s="11"/>
      <c r="P1339" s="11"/>
      <c r="Q1339" s="11"/>
      <c r="R1339" s="11"/>
      <c r="S1339" s="11"/>
      <c r="T1339" s="11"/>
      <c r="U1339" s="11"/>
      <c r="V1339" s="11"/>
      <c r="W1339" s="11"/>
    </row>
    <row r="1340" spans="2:23" x14ac:dyDescent="0.35">
      <c r="B1340"/>
      <c r="C1340"/>
      <c r="D1340"/>
      <c r="E1340"/>
      <c r="F1340"/>
      <c r="G1340"/>
      <c r="H1340"/>
      <c r="I1340"/>
      <c r="J1340"/>
      <c r="K1340"/>
      <c r="L1340" s="11"/>
      <c r="M1340"/>
      <c r="N1340" s="3"/>
      <c r="O1340" s="11"/>
      <c r="P1340" s="11"/>
      <c r="Q1340" s="11"/>
      <c r="R1340" s="11"/>
      <c r="S1340" s="11"/>
      <c r="T1340" s="11"/>
      <c r="U1340" s="11"/>
      <c r="V1340" s="11"/>
      <c r="W1340" s="11"/>
    </row>
    <row r="1341" spans="2:23" x14ac:dyDescent="0.35">
      <c r="B1341"/>
      <c r="C1341"/>
      <c r="D1341"/>
      <c r="E1341"/>
      <c r="F1341"/>
      <c r="G1341"/>
      <c r="H1341"/>
      <c r="I1341"/>
      <c r="J1341"/>
      <c r="K1341"/>
      <c r="L1341" s="11"/>
      <c r="M1341"/>
      <c r="N1341" s="3"/>
      <c r="O1341" s="11"/>
      <c r="P1341" s="11"/>
      <c r="Q1341" s="11"/>
      <c r="R1341" s="11"/>
      <c r="S1341" s="11"/>
      <c r="T1341" s="11"/>
      <c r="U1341" s="11"/>
      <c r="V1341" s="11"/>
      <c r="W1341" s="11"/>
    </row>
    <row r="1342" spans="2:23" x14ac:dyDescent="0.35">
      <c r="B1342"/>
      <c r="C1342"/>
      <c r="D1342"/>
      <c r="E1342"/>
      <c r="F1342"/>
      <c r="G1342"/>
      <c r="H1342"/>
      <c r="I1342"/>
      <c r="J1342"/>
      <c r="K1342"/>
      <c r="L1342" s="11"/>
      <c r="M1342"/>
      <c r="N1342" s="3"/>
      <c r="O1342" s="11"/>
      <c r="P1342" s="11"/>
      <c r="Q1342" s="11"/>
      <c r="R1342" s="11"/>
      <c r="S1342" s="11"/>
      <c r="T1342" s="11"/>
      <c r="U1342" s="11"/>
      <c r="V1342" s="11"/>
      <c r="W1342" s="11"/>
    </row>
    <row r="1343" spans="2:23" x14ac:dyDescent="0.35">
      <c r="B1343"/>
      <c r="C1343"/>
      <c r="D1343"/>
      <c r="E1343"/>
      <c r="F1343"/>
      <c r="G1343"/>
      <c r="H1343"/>
      <c r="I1343"/>
      <c r="J1343"/>
      <c r="K1343"/>
      <c r="L1343" s="11"/>
      <c r="M1343"/>
      <c r="N1343" s="3"/>
      <c r="O1343" s="11"/>
      <c r="P1343" s="11"/>
      <c r="Q1343" s="11"/>
      <c r="R1343" s="11"/>
      <c r="S1343" s="11"/>
      <c r="T1343" s="11"/>
      <c r="U1343" s="11"/>
      <c r="V1343" s="11"/>
      <c r="W1343" s="11"/>
    </row>
    <row r="1344" spans="2:23" x14ac:dyDescent="0.35">
      <c r="B1344"/>
      <c r="C1344"/>
      <c r="D1344"/>
      <c r="E1344"/>
      <c r="F1344"/>
      <c r="G1344"/>
      <c r="H1344"/>
      <c r="I1344"/>
      <c r="J1344"/>
      <c r="K1344"/>
      <c r="L1344" s="11"/>
      <c r="M1344"/>
      <c r="N1344" s="3"/>
      <c r="O1344" s="11"/>
      <c r="P1344" s="11"/>
      <c r="Q1344" s="11"/>
      <c r="R1344" s="11"/>
      <c r="S1344" s="11"/>
      <c r="T1344" s="11"/>
      <c r="U1344" s="11"/>
      <c r="V1344" s="11"/>
      <c r="W1344" s="11"/>
    </row>
    <row r="1345" spans="2:23" x14ac:dyDescent="0.35">
      <c r="B1345"/>
      <c r="C1345"/>
      <c r="D1345"/>
      <c r="E1345"/>
      <c r="F1345"/>
      <c r="G1345"/>
      <c r="H1345"/>
      <c r="I1345"/>
      <c r="J1345"/>
      <c r="K1345"/>
      <c r="L1345" s="11"/>
      <c r="M1345"/>
      <c r="N1345" s="3"/>
      <c r="O1345" s="11"/>
      <c r="P1345" s="11"/>
      <c r="Q1345" s="11"/>
      <c r="R1345" s="11"/>
      <c r="S1345" s="11"/>
      <c r="T1345" s="11"/>
      <c r="U1345" s="11"/>
      <c r="V1345" s="11"/>
      <c r="W1345" s="11"/>
    </row>
    <row r="1346" spans="2:23" x14ac:dyDescent="0.35">
      <c r="B1346"/>
      <c r="C1346"/>
      <c r="D1346"/>
      <c r="E1346"/>
      <c r="F1346"/>
      <c r="G1346"/>
      <c r="H1346"/>
      <c r="I1346"/>
      <c r="J1346"/>
      <c r="K1346"/>
      <c r="L1346" s="11"/>
      <c r="M1346"/>
      <c r="N1346" s="3"/>
      <c r="O1346" s="11"/>
      <c r="P1346" s="11"/>
      <c r="Q1346" s="11"/>
      <c r="R1346" s="11"/>
      <c r="S1346" s="11"/>
      <c r="T1346" s="11"/>
      <c r="U1346" s="11"/>
      <c r="V1346" s="11"/>
      <c r="W1346" s="11"/>
    </row>
    <row r="1347" spans="2:23" x14ac:dyDescent="0.35">
      <c r="B1347"/>
      <c r="C1347"/>
      <c r="D1347"/>
      <c r="E1347"/>
      <c r="F1347"/>
      <c r="G1347"/>
      <c r="H1347"/>
      <c r="I1347"/>
      <c r="J1347"/>
      <c r="K1347"/>
      <c r="L1347" s="11"/>
      <c r="M1347"/>
      <c r="N1347" s="3"/>
      <c r="O1347" s="11"/>
      <c r="P1347" s="11"/>
      <c r="Q1347" s="11"/>
      <c r="R1347" s="11"/>
      <c r="S1347" s="11"/>
      <c r="T1347" s="11"/>
      <c r="U1347" s="11"/>
      <c r="V1347" s="11"/>
      <c r="W1347" s="11"/>
    </row>
    <row r="1348" spans="2:23" x14ac:dyDescent="0.35">
      <c r="B1348"/>
      <c r="C1348"/>
      <c r="D1348"/>
      <c r="E1348"/>
      <c r="F1348"/>
      <c r="G1348"/>
      <c r="H1348"/>
      <c r="I1348"/>
      <c r="J1348"/>
      <c r="K1348"/>
      <c r="L1348" s="11"/>
      <c r="M1348"/>
      <c r="N1348" s="3"/>
      <c r="O1348" s="11"/>
      <c r="P1348" s="11"/>
      <c r="Q1348" s="11"/>
      <c r="R1348" s="11"/>
      <c r="S1348" s="11"/>
      <c r="T1348" s="11"/>
      <c r="U1348" s="11"/>
      <c r="V1348" s="11"/>
      <c r="W1348" s="11"/>
    </row>
    <row r="1349" spans="2:23" x14ac:dyDescent="0.35">
      <c r="B1349"/>
      <c r="C1349"/>
      <c r="D1349"/>
      <c r="E1349"/>
      <c r="F1349"/>
      <c r="G1349"/>
      <c r="H1349"/>
      <c r="I1349"/>
      <c r="J1349"/>
      <c r="K1349"/>
      <c r="L1349" s="11"/>
      <c r="M1349"/>
      <c r="N1349" s="3"/>
      <c r="O1349" s="11"/>
      <c r="P1349" s="11"/>
      <c r="Q1349" s="11"/>
      <c r="R1349" s="11"/>
      <c r="S1349" s="11"/>
      <c r="T1349" s="11"/>
      <c r="U1349" s="11"/>
      <c r="V1349" s="11"/>
      <c r="W1349" s="11"/>
    </row>
    <row r="1350" spans="2:23" x14ac:dyDescent="0.35">
      <c r="B1350"/>
      <c r="C1350"/>
      <c r="D1350"/>
      <c r="E1350"/>
      <c r="F1350"/>
      <c r="G1350"/>
      <c r="H1350"/>
      <c r="I1350"/>
      <c r="J1350"/>
      <c r="K1350"/>
      <c r="L1350" s="11"/>
      <c r="M1350"/>
      <c r="N1350" s="3"/>
      <c r="O1350" s="11"/>
      <c r="P1350" s="11"/>
      <c r="Q1350" s="11"/>
      <c r="R1350" s="11"/>
      <c r="S1350" s="11"/>
      <c r="T1350" s="11"/>
      <c r="U1350" s="11"/>
      <c r="V1350" s="11"/>
      <c r="W1350" s="11"/>
    </row>
    <row r="1351" spans="2:23" x14ac:dyDescent="0.35">
      <c r="B1351"/>
      <c r="C1351"/>
      <c r="D1351"/>
      <c r="E1351"/>
      <c r="F1351"/>
      <c r="G1351"/>
      <c r="H1351"/>
      <c r="I1351"/>
      <c r="J1351"/>
      <c r="K1351"/>
      <c r="L1351" s="11"/>
      <c r="M1351"/>
      <c r="N1351" s="3"/>
      <c r="O1351" s="11"/>
      <c r="P1351" s="11"/>
      <c r="Q1351" s="11"/>
      <c r="R1351" s="11"/>
      <c r="S1351" s="11"/>
      <c r="T1351" s="11"/>
      <c r="U1351" s="11"/>
      <c r="V1351" s="11"/>
      <c r="W1351" s="11"/>
    </row>
    <row r="1352" spans="2:23" x14ac:dyDescent="0.35">
      <c r="B1352"/>
      <c r="C1352"/>
      <c r="D1352"/>
      <c r="E1352"/>
      <c r="F1352"/>
      <c r="G1352"/>
      <c r="H1352"/>
      <c r="I1352"/>
      <c r="J1352"/>
      <c r="K1352"/>
      <c r="L1352" s="11"/>
      <c r="M1352"/>
      <c r="N1352" s="3"/>
      <c r="O1352" s="11"/>
      <c r="P1352" s="11"/>
      <c r="Q1352" s="11"/>
      <c r="R1352" s="11"/>
      <c r="S1352" s="11"/>
      <c r="T1352" s="11"/>
      <c r="U1352" s="11"/>
      <c r="V1352" s="11"/>
      <c r="W1352" s="11"/>
    </row>
    <row r="1353" spans="2:23" x14ac:dyDescent="0.35">
      <c r="B1353"/>
      <c r="C1353"/>
      <c r="D1353"/>
      <c r="E1353"/>
      <c r="F1353"/>
      <c r="G1353"/>
      <c r="H1353"/>
      <c r="I1353"/>
      <c r="J1353"/>
      <c r="K1353"/>
      <c r="L1353" s="11"/>
      <c r="M1353"/>
      <c r="N1353" s="3"/>
      <c r="O1353" s="11"/>
      <c r="P1353" s="11"/>
      <c r="Q1353" s="11"/>
      <c r="R1353" s="11"/>
      <c r="S1353" s="11"/>
      <c r="T1353" s="11"/>
      <c r="U1353" s="11"/>
      <c r="V1353" s="11"/>
      <c r="W1353" s="11"/>
    </row>
    <row r="1354" spans="2:23" x14ac:dyDescent="0.35">
      <c r="B1354"/>
      <c r="C1354"/>
      <c r="D1354"/>
      <c r="E1354"/>
      <c r="F1354"/>
      <c r="G1354"/>
      <c r="H1354"/>
      <c r="I1354"/>
      <c r="J1354"/>
      <c r="K1354"/>
      <c r="L1354" s="11"/>
      <c r="M1354"/>
      <c r="N1354" s="3"/>
      <c r="O1354" s="11"/>
      <c r="P1354" s="11"/>
      <c r="Q1354" s="11"/>
      <c r="R1354" s="11"/>
      <c r="S1354" s="11"/>
      <c r="T1354" s="11"/>
      <c r="U1354" s="11"/>
      <c r="V1354" s="11"/>
      <c r="W1354" s="11"/>
    </row>
    <row r="1355" spans="2:23" x14ac:dyDescent="0.35">
      <c r="B1355"/>
      <c r="C1355"/>
      <c r="D1355"/>
      <c r="E1355"/>
      <c r="F1355"/>
      <c r="G1355"/>
      <c r="H1355"/>
      <c r="I1355"/>
      <c r="J1355"/>
      <c r="K1355"/>
      <c r="L1355" s="11"/>
      <c r="M1355"/>
      <c r="N1355" s="3"/>
      <c r="O1355" s="11"/>
      <c r="P1355" s="11"/>
      <c r="Q1355" s="11"/>
      <c r="R1355" s="11"/>
      <c r="S1355" s="11"/>
      <c r="T1355" s="11"/>
      <c r="U1355" s="11"/>
      <c r="V1355" s="11"/>
      <c r="W1355" s="11"/>
    </row>
    <row r="1356" spans="2:23" x14ac:dyDescent="0.35">
      <c r="B1356"/>
      <c r="C1356"/>
      <c r="D1356"/>
      <c r="E1356"/>
      <c r="F1356"/>
      <c r="G1356"/>
      <c r="H1356"/>
      <c r="I1356"/>
      <c r="J1356"/>
      <c r="K1356"/>
      <c r="L1356" s="11"/>
      <c r="M1356"/>
      <c r="N1356" s="3"/>
      <c r="O1356" s="11"/>
      <c r="P1356" s="11"/>
      <c r="Q1356" s="11"/>
      <c r="R1356" s="11"/>
      <c r="S1356" s="11"/>
      <c r="T1356" s="11"/>
      <c r="U1356" s="11"/>
      <c r="V1356" s="11"/>
      <c r="W1356" s="11"/>
    </row>
    <row r="1357" spans="2:23" x14ac:dyDescent="0.35">
      <c r="B1357"/>
      <c r="C1357"/>
      <c r="D1357"/>
      <c r="E1357"/>
      <c r="F1357"/>
      <c r="G1357"/>
      <c r="H1357"/>
      <c r="I1357"/>
      <c r="J1357"/>
      <c r="K1357"/>
      <c r="L1357" s="11"/>
      <c r="M1357"/>
      <c r="N1357" s="3"/>
      <c r="O1357" s="11"/>
      <c r="P1357" s="11"/>
      <c r="Q1357" s="11"/>
      <c r="R1357" s="11"/>
      <c r="S1357" s="11"/>
      <c r="T1357" s="11"/>
      <c r="U1357" s="11"/>
      <c r="V1357" s="11"/>
      <c r="W1357" s="11"/>
    </row>
    <row r="1358" spans="2:23" x14ac:dyDescent="0.35">
      <c r="B1358"/>
      <c r="C1358"/>
      <c r="D1358"/>
      <c r="E1358"/>
      <c r="F1358"/>
      <c r="G1358"/>
      <c r="H1358"/>
      <c r="I1358"/>
      <c r="J1358"/>
      <c r="K1358"/>
      <c r="L1358" s="11"/>
      <c r="M1358"/>
      <c r="N1358" s="3"/>
      <c r="O1358" s="11"/>
      <c r="P1358" s="11"/>
      <c r="Q1358" s="11"/>
      <c r="R1358" s="11"/>
      <c r="S1358" s="11"/>
      <c r="T1358" s="11"/>
      <c r="U1358" s="11"/>
      <c r="V1358" s="11"/>
      <c r="W1358" s="11"/>
    </row>
    <row r="1359" spans="2:23" x14ac:dyDescent="0.35">
      <c r="B1359"/>
      <c r="C1359"/>
      <c r="D1359"/>
      <c r="E1359"/>
      <c r="F1359"/>
      <c r="G1359"/>
      <c r="H1359"/>
      <c r="I1359"/>
      <c r="J1359"/>
      <c r="K1359"/>
      <c r="L1359" s="11"/>
      <c r="M1359"/>
      <c r="N1359" s="3"/>
      <c r="O1359" s="11"/>
      <c r="P1359" s="11"/>
      <c r="Q1359" s="11"/>
      <c r="R1359" s="11"/>
      <c r="S1359" s="11"/>
      <c r="T1359" s="11"/>
      <c r="U1359" s="11"/>
      <c r="V1359" s="11"/>
      <c r="W1359" s="11"/>
    </row>
    <row r="1360" spans="2:23" x14ac:dyDescent="0.35">
      <c r="B1360"/>
      <c r="C1360"/>
      <c r="D1360"/>
      <c r="E1360"/>
      <c r="F1360"/>
      <c r="G1360"/>
      <c r="H1360"/>
      <c r="I1360"/>
      <c r="J1360"/>
      <c r="K1360"/>
      <c r="L1360" s="11"/>
      <c r="M1360"/>
      <c r="N1360" s="3"/>
      <c r="O1360" s="11"/>
      <c r="P1360" s="11"/>
      <c r="Q1360" s="11"/>
      <c r="R1360" s="11"/>
      <c r="S1360" s="11"/>
      <c r="T1360" s="11"/>
      <c r="U1360" s="11"/>
      <c r="V1360" s="11"/>
      <c r="W1360" s="11"/>
    </row>
    <row r="1361" spans="2:23" x14ac:dyDescent="0.35">
      <c r="B1361"/>
      <c r="C1361"/>
      <c r="D1361"/>
      <c r="E1361"/>
      <c r="F1361"/>
      <c r="G1361"/>
      <c r="H1361"/>
      <c r="I1361"/>
      <c r="J1361"/>
      <c r="K1361"/>
      <c r="L1361" s="11"/>
      <c r="M1361"/>
      <c r="N1361" s="3"/>
      <c r="O1361" s="11"/>
      <c r="P1361" s="11"/>
      <c r="Q1361" s="11"/>
      <c r="R1361" s="11"/>
      <c r="S1361" s="11"/>
      <c r="T1361" s="11"/>
      <c r="U1361" s="11"/>
      <c r="V1361" s="11"/>
      <c r="W1361" s="11"/>
    </row>
    <row r="1362" spans="2:23" x14ac:dyDescent="0.35">
      <c r="B1362"/>
      <c r="C1362"/>
      <c r="D1362"/>
      <c r="E1362"/>
      <c r="F1362"/>
      <c r="G1362"/>
      <c r="H1362"/>
      <c r="I1362"/>
      <c r="J1362"/>
      <c r="K1362"/>
      <c r="L1362" s="11"/>
      <c r="M1362"/>
      <c r="N1362" s="3"/>
      <c r="O1362" s="11"/>
      <c r="P1362" s="11"/>
      <c r="Q1362" s="11"/>
      <c r="R1362" s="11"/>
      <c r="S1362" s="11"/>
      <c r="T1362" s="11"/>
      <c r="U1362" s="11"/>
      <c r="V1362" s="11"/>
      <c r="W1362" s="11"/>
    </row>
    <row r="1363" spans="2:23" x14ac:dyDescent="0.35">
      <c r="B1363"/>
      <c r="C1363"/>
      <c r="D1363"/>
      <c r="E1363"/>
      <c r="F1363"/>
      <c r="G1363"/>
      <c r="H1363"/>
      <c r="I1363"/>
      <c r="J1363"/>
      <c r="K1363"/>
      <c r="L1363" s="11"/>
      <c r="M1363"/>
      <c r="N1363" s="3"/>
      <c r="O1363" s="11"/>
      <c r="P1363" s="11"/>
      <c r="Q1363" s="11"/>
      <c r="R1363" s="11"/>
      <c r="S1363" s="11"/>
      <c r="T1363" s="11"/>
      <c r="U1363" s="11"/>
      <c r="V1363" s="11"/>
      <c r="W1363" s="11"/>
    </row>
    <row r="1364" spans="2:23" x14ac:dyDescent="0.35">
      <c r="B1364"/>
      <c r="C1364"/>
      <c r="D1364"/>
      <c r="E1364"/>
      <c r="F1364"/>
      <c r="G1364"/>
      <c r="H1364"/>
      <c r="I1364"/>
      <c r="J1364"/>
      <c r="K1364"/>
      <c r="L1364" s="11"/>
      <c r="M1364"/>
      <c r="N1364" s="3"/>
      <c r="O1364" s="11"/>
      <c r="P1364" s="11"/>
      <c r="Q1364" s="11"/>
      <c r="R1364" s="11"/>
      <c r="S1364" s="11"/>
      <c r="T1364" s="11"/>
      <c r="U1364" s="11"/>
      <c r="V1364" s="11"/>
      <c r="W1364" s="11"/>
    </row>
    <row r="1365" spans="2:23" x14ac:dyDescent="0.35">
      <c r="B1365"/>
      <c r="C1365"/>
      <c r="D1365"/>
      <c r="E1365"/>
      <c r="F1365"/>
      <c r="G1365"/>
      <c r="H1365"/>
      <c r="I1365"/>
      <c r="J1365"/>
      <c r="K1365"/>
      <c r="L1365" s="11"/>
      <c r="M1365"/>
      <c r="N1365" s="3"/>
      <c r="O1365" s="11"/>
      <c r="P1365" s="11"/>
      <c r="Q1365" s="11"/>
      <c r="R1365" s="11"/>
      <c r="S1365" s="11"/>
      <c r="T1365" s="11"/>
      <c r="U1365" s="11"/>
      <c r="V1365" s="11"/>
      <c r="W1365" s="11"/>
    </row>
    <row r="1366" spans="2:23" x14ac:dyDescent="0.35">
      <c r="B1366"/>
      <c r="C1366"/>
      <c r="D1366"/>
      <c r="E1366"/>
      <c r="F1366"/>
      <c r="G1366"/>
      <c r="H1366"/>
      <c r="I1366"/>
      <c r="J1366"/>
      <c r="K1366"/>
      <c r="L1366" s="11"/>
      <c r="M1366"/>
      <c r="N1366" s="3"/>
      <c r="O1366" s="11"/>
      <c r="P1366" s="11"/>
      <c r="Q1366" s="11"/>
      <c r="R1366" s="11"/>
      <c r="S1366" s="11"/>
      <c r="T1366" s="11"/>
      <c r="U1366" s="11"/>
      <c r="V1366" s="11"/>
      <c r="W1366" s="11"/>
    </row>
    <row r="1367" spans="2:23" x14ac:dyDescent="0.35">
      <c r="B1367"/>
      <c r="C1367"/>
      <c r="D1367"/>
      <c r="E1367"/>
      <c r="F1367"/>
      <c r="G1367"/>
      <c r="H1367"/>
      <c r="I1367"/>
      <c r="J1367"/>
      <c r="K1367"/>
      <c r="L1367" s="11"/>
      <c r="M1367"/>
      <c r="N1367" s="3"/>
      <c r="O1367" s="11"/>
      <c r="P1367" s="11"/>
      <c r="Q1367" s="11"/>
      <c r="R1367" s="11"/>
      <c r="S1367" s="11"/>
      <c r="T1367" s="11"/>
      <c r="U1367" s="11"/>
      <c r="V1367" s="11"/>
      <c r="W1367" s="11"/>
    </row>
    <row r="1368" spans="2:23" x14ac:dyDescent="0.35">
      <c r="B1368"/>
      <c r="C1368"/>
      <c r="D1368"/>
      <c r="E1368"/>
      <c r="F1368"/>
      <c r="G1368"/>
      <c r="H1368"/>
      <c r="I1368"/>
      <c r="J1368"/>
      <c r="K1368"/>
      <c r="L1368" s="11"/>
      <c r="M1368"/>
      <c r="N1368" s="3"/>
      <c r="O1368" s="11"/>
      <c r="P1368" s="11"/>
      <c r="Q1368" s="11"/>
      <c r="R1368" s="11"/>
      <c r="S1368" s="11"/>
      <c r="T1368" s="11"/>
      <c r="U1368" s="11"/>
      <c r="V1368" s="11"/>
      <c r="W1368" s="11"/>
    </row>
    <row r="1369" spans="2:23" x14ac:dyDescent="0.35">
      <c r="B1369"/>
      <c r="C1369"/>
      <c r="D1369"/>
      <c r="E1369"/>
      <c r="F1369"/>
      <c r="G1369"/>
      <c r="H1369"/>
      <c r="I1369"/>
      <c r="J1369"/>
      <c r="K1369"/>
      <c r="L1369" s="11"/>
      <c r="M1369"/>
      <c r="N1369" s="3"/>
      <c r="O1369" s="11"/>
      <c r="P1369" s="11"/>
      <c r="Q1369" s="11"/>
      <c r="R1369" s="11"/>
      <c r="S1369" s="11"/>
      <c r="T1369" s="11"/>
      <c r="U1369" s="11"/>
      <c r="V1369" s="11"/>
      <c r="W1369" s="11"/>
    </row>
    <row r="1370" spans="2:23" x14ac:dyDescent="0.35">
      <c r="B1370"/>
      <c r="C1370"/>
      <c r="D1370"/>
      <c r="E1370"/>
      <c r="F1370"/>
      <c r="G1370"/>
      <c r="H1370"/>
      <c r="I1370"/>
      <c r="J1370"/>
      <c r="K1370"/>
      <c r="L1370" s="11"/>
      <c r="M1370"/>
      <c r="N1370" s="3"/>
      <c r="O1370" s="11"/>
      <c r="P1370" s="11"/>
      <c r="Q1370" s="11"/>
      <c r="R1370" s="11"/>
      <c r="S1370" s="11"/>
      <c r="T1370" s="11"/>
      <c r="U1370" s="11"/>
      <c r="V1370" s="11"/>
      <c r="W1370" s="11"/>
    </row>
    <row r="1371" spans="2:23" x14ac:dyDescent="0.35">
      <c r="B1371"/>
      <c r="C1371"/>
      <c r="D1371"/>
      <c r="E1371"/>
      <c r="F1371"/>
      <c r="G1371"/>
      <c r="H1371"/>
      <c r="I1371"/>
      <c r="J1371"/>
      <c r="K1371"/>
      <c r="L1371" s="11"/>
      <c r="M1371"/>
      <c r="N1371" s="3"/>
      <c r="O1371" s="11"/>
      <c r="P1371" s="11"/>
      <c r="Q1371" s="11"/>
      <c r="R1371" s="11"/>
      <c r="S1371" s="11"/>
      <c r="T1371" s="11"/>
      <c r="U1371" s="11"/>
      <c r="V1371" s="11"/>
      <c r="W1371" s="11"/>
    </row>
    <row r="1372" spans="2:23" x14ac:dyDescent="0.35">
      <c r="B1372"/>
      <c r="C1372"/>
      <c r="D1372"/>
      <c r="E1372"/>
      <c r="F1372"/>
      <c r="G1372"/>
      <c r="H1372"/>
      <c r="I1372"/>
      <c r="J1372"/>
      <c r="K1372"/>
      <c r="L1372" s="11"/>
      <c r="M1372"/>
      <c r="N1372" s="3"/>
      <c r="O1372" s="11"/>
      <c r="P1372" s="11"/>
      <c r="Q1372" s="11"/>
      <c r="R1372" s="11"/>
      <c r="S1372" s="11"/>
      <c r="T1372" s="11"/>
      <c r="U1372" s="11"/>
      <c r="V1372" s="11"/>
      <c r="W1372" s="11"/>
    </row>
    <row r="1373" spans="2:23" x14ac:dyDescent="0.35">
      <c r="B1373"/>
      <c r="C1373"/>
      <c r="D1373"/>
      <c r="E1373"/>
      <c r="F1373"/>
      <c r="G1373"/>
      <c r="H1373"/>
      <c r="I1373"/>
      <c r="J1373"/>
      <c r="K1373"/>
      <c r="L1373" s="11"/>
      <c r="M1373"/>
      <c r="N1373" s="3"/>
      <c r="O1373" s="11"/>
      <c r="P1373" s="11"/>
      <c r="Q1373" s="11"/>
      <c r="R1373" s="11"/>
      <c r="S1373" s="11"/>
      <c r="T1373" s="11"/>
      <c r="U1373" s="11"/>
      <c r="V1373" s="11"/>
      <c r="W1373" s="11"/>
    </row>
    <row r="1374" spans="2:23" x14ac:dyDescent="0.35">
      <c r="B1374"/>
      <c r="C1374"/>
      <c r="D1374"/>
      <c r="E1374"/>
      <c r="F1374"/>
      <c r="G1374"/>
      <c r="H1374"/>
      <c r="I1374"/>
      <c r="J1374"/>
      <c r="K1374"/>
      <c r="L1374" s="11"/>
      <c r="M1374"/>
      <c r="N1374" s="3"/>
      <c r="O1374" s="11"/>
      <c r="P1374" s="11"/>
      <c r="Q1374" s="11"/>
      <c r="R1374" s="11"/>
      <c r="S1374" s="11"/>
      <c r="T1374" s="11"/>
      <c r="U1374" s="11"/>
      <c r="V1374" s="11"/>
      <c r="W1374" s="11"/>
    </row>
    <row r="1375" spans="2:23" x14ac:dyDescent="0.35">
      <c r="B1375"/>
      <c r="C1375"/>
      <c r="D1375"/>
      <c r="E1375"/>
      <c r="F1375"/>
      <c r="G1375"/>
      <c r="H1375"/>
      <c r="I1375"/>
      <c r="J1375"/>
      <c r="K1375"/>
      <c r="L1375" s="11"/>
      <c r="M1375"/>
      <c r="N1375" s="3"/>
      <c r="O1375" s="11"/>
      <c r="P1375" s="11"/>
      <c r="Q1375" s="11"/>
      <c r="R1375" s="11"/>
      <c r="S1375" s="11"/>
      <c r="T1375" s="11"/>
      <c r="U1375" s="11"/>
      <c r="V1375" s="11"/>
      <c r="W1375" s="11"/>
    </row>
    <row r="1376" spans="2:23" x14ac:dyDescent="0.35">
      <c r="B1376"/>
      <c r="C1376"/>
      <c r="D1376"/>
      <c r="E1376"/>
      <c r="F1376"/>
      <c r="G1376"/>
      <c r="H1376"/>
      <c r="I1376"/>
      <c r="J1376"/>
      <c r="K1376"/>
      <c r="L1376" s="11"/>
      <c r="M1376"/>
      <c r="N1376" s="3"/>
      <c r="O1376" s="11"/>
      <c r="P1376" s="11"/>
      <c r="Q1376" s="11"/>
      <c r="R1376" s="11"/>
      <c r="S1376" s="11"/>
      <c r="T1376" s="11"/>
      <c r="U1376" s="11"/>
      <c r="V1376" s="11"/>
      <c r="W1376" s="11"/>
    </row>
    <row r="1377" spans="2:23" x14ac:dyDescent="0.35">
      <c r="B1377"/>
      <c r="C1377"/>
      <c r="D1377"/>
      <c r="E1377"/>
      <c r="F1377"/>
      <c r="G1377"/>
      <c r="H1377"/>
      <c r="I1377"/>
      <c r="J1377"/>
      <c r="K1377"/>
      <c r="L1377" s="11"/>
      <c r="M1377"/>
      <c r="N1377" s="3"/>
      <c r="O1377" s="11"/>
      <c r="P1377" s="11"/>
      <c r="Q1377" s="11"/>
      <c r="R1377" s="11"/>
      <c r="S1377" s="11"/>
      <c r="T1377" s="11"/>
      <c r="U1377" s="11"/>
      <c r="V1377" s="11"/>
      <c r="W1377" s="11"/>
    </row>
    <row r="1378" spans="2:23" x14ac:dyDescent="0.35">
      <c r="B1378"/>
      <c r="C1378"/>
      <c r="D1378"/>
      <c r="E1378"/>
      <c r="F1378"/>
      <c r="G1378"/>
      <c r="H1378"/>
      <c r="I1378"/>
      <c r="J1378"/>
      <c r="K1378"/>
      <c r="L1378" s="11"/>
      <c r="M1378"/>
      <c r="N1378" s="3"/>
      <c r="O1378" s="11"/>
      <c r="P1378" s="11"/>
      <c r="Q1378" s="11"/>
      <c r="R1378" s="11"/>
      <c r="S1378" s="11"/>
      <c r="T1378" s="11"/>
      <c r="U1378" s="11"/>
      <c r="V1378" s="11"/>
      <c r="W1378" s="11"/>
    </row>
    <row r="1379" spans="2:23" x14ac:dyDescent="0.35">
      <c r="B1379"/>
      <c r="C1379"/>
      <c r="D1379"/>
      <c r="E1379"/>
      <c r="F1379"/>
      <c r="G1379"/>
      <c r="H1379"/>
      <c r="I1379"/>
      <c r="J1379"/>
      <c r="K1379"/>
      <c r="L1379" s="11"/>
      <c r="M1379"/>
      <c r="N1379" s="3"/>
      <c r="O1379" s="11"/>
      <c r="P1379" s="11"/>
      <c r="Q1379" s="11"/>
      <c r="R1379" s="11"/>
      <c r="S1379" s="11"/>
      <c r="T1379" s="11"/>
      <c r="U1379" s="11"/>
      <c r="V1379" s="11"/>
      <c r="W1379" s="11"/>
    </row>
    <row r="1380" spans="2:23" x14ac:dyDescent="0.35">
      <c r="B1380"/>
      <c r="C1380"/>
      <c r="D1380"/>
      <c r="E1380"/>
      <c r="F1380"/>
      <c r="G1380"/>
      <c r="H1380"/>
      <c r="I1380"/>
      <c r="J1380"/>
      <c r="K1380"/>
      <c r="L1380" s="11"/>
      <c r="M1380"/>
      <c r="N1380" s="3"/>
      <c r="O1380" s="11"/>
      <c r="P1380" s="11"/>
      <c r="Q1380" s="11"/>
      <c r="R1380" s="11"/>
      <c r="S1380" s="11"/>
      <c r="T1380" s="11"/>
      <c r="U1380" s="11"/>
      <c r="V1380" s="11"/>
      <c r="W1380" s="11"/>
    </row>
    <row r="1381" spans="2:23" x14ac:dyDescent="0.35">
      <c r="B1381"/>
      <c r="C1381"/>
      <c r="D1381"/>
      <c r="E1381"/>
      <c r="F1381"/>
      <c r="G1381"/>
      <c r="H1381"/>
      <c r="I1381"/>
      <c r="J1381"/>
      <c r="K1381"/>
      <c r="L1381" s="11"/>
      <c r="M1381"/>
      <c r="N1381" s="3"/>
      <c r="O1381" s="11"/>
      <c r="P1381" s="11"/>
      <c r="Q1381" s="11"/>
      <c r="R1381" s="11"/>
      <c r="S1381" s="11"/>
      <c r="T1381" s="11"/>
      <c r="U1381" s="11"/>
      <c r="V1381" s="11"/>
      <c r="W1381" s="11"/>
    </row>
    <row r="1382" spans="2:23" x14ac:dyDescent="0.35">
      <c r="B1382"/>
      <c r="C1382"/>
      <c r="D1382"/>
      <c r="E1382"/>
      <c r="F1382"/>
      <c r="G1382"/>
      <c r="H1382"/>
      <c r="I1382"/>
      <c r="J1382"/>
      <c r="K1382"/>
      <c r="L1382" s="11"/>
      <c r="M1382"/>
      <c r="N1382" s="3"/>
      <c r="O1382" s="11"/>
      <c r="P1382" s="11"/>
      <c r="Q1382" s="11"/>
      <c r="R1382" s="11"/>
      <c r="S1382" s="11"/>
      <c r="T1382" s="11"/>
      <c r="U1382" s="11"/>
      <c r="V1382" s="11"/>
      <c r="W1382" s="11"/>
    </row>
    <row r="1383" spans="2:23" x14ac:dyDescent="0.35">
      <c r="B1383"/>
      <c r="C1383"/>
      <c r="D1383"/>
      <c r="E1383"/>
      <c r="F1383"/>
      <c r="G1383"/>
      <c r="H1383"/>
      <c r="I1383"/>
      <c r="J1383"/>
      <c r="K1383"/>
      <c r="L1383" s="11"/>
      <c r="M1383"/>
      <c r="N1383" s="3"/>
      <c r="O1383" s="11"/>
      <c r="P1383" s="11"/>
      <c r="Q1383" s="11"/>
      <c r="R1383" s="11"/>
      <c r="S1383" s="11"/>
      <c r="T1383" s="11"/>
      <c r="U1383" s="11"/>
      <c r="V1383" s="11"/>
      <c r="W1383" s="11"/>
    </row>
    <row r="1384" spans="2:23" x14ac:dyDescent="0.35">
      <c r="B1384"/>
      <c r="C1384"/>
      <c r="D1384"/>
      <c r="E1384"/>
      <c r="F1384"/>
      <c r="G1384"/>
      <c r="H1384"/>
      <c r="I1384"/>
      <c r="J1384"/>
      <c r="K1384"/>
      <c r="L1384" s="11"/>
      <c r="M1384"/>
      <c r="N1384" s="3"/>
      <c r="O1384" s="11"/>
      <c r="P1384" s="11"/>
      <c r="Q1384" s="11"/>
      <c r="R1384" s="11"/>
      <c r="S1384" s="11"/>
      <c r="T1384" s="11"/>
      <c r="U1384" s="11"/>
      <c r="V1384" s="11"/>
      <c r="W1384" s="11"/>
    </row>
    <row r="1385" spans="2:23" x14ac:dyDescent="0.35">
      <c r="B1385"/>
      <c r="C1385"/>
      <c r="D1385"/>
      <c r="E1385"/>
      <c r="F1385"/>
      <c r="G1385"/>
      <c r="H1385"/>
      <c r="I1385"/>
      <c r="J1385"/>
      <c r="K1385"/>
      <c r="L1385" s="11"/>
      <c r="M1385"/>
      <c r="N1385" s="3"/>
      <c r="O1385" s="11"/>
      <c r="P1385" s="11"/>
      <c r="Q1385" s="11"/>
      <c r="R1385" s="11"/>
      <c r="S1385" s="11"/>
      <c r="T1385" s="11"/>
      <c r="U1385" s="11"/>
      <c r="V1385" s="11"/>
      <c r="W1385" s="11"/>
    </row>
    <row r="1386" spans="2:23" x14ac:dyDescent="0.35">
      <c r="B1386"/>
      <c r="C1386"/>
      <c r="D1386"/>
      <c r="E1386"/>
      <c r="F1386"/>
      <c r="G1386"/>
      <c r="H1386"/>
      <c r="I1386"/>
      <c r="J1386"/>
      <c r="K1386"/>
      <c r="L1386" s="11"/>
      <c r="M1386"/>
      <c r="N1386" s="3"/>
      <c r="O1386" s="11"/>
      <c r="P1386" s="11"/>
      <c r="Q1386" s="11"/>
      <c r="R1386" s="11"/>
      <c r="S1386" s="11"/>
      <c r="T1386" s="11"/>
      <c r="U1386" s="11"/>
      <c r="V1386" s="11"/>
      <c r="W1386" s="11"/>
    </row>
    <row r="1387" spans="2:23" x14ac:dyDescent="0.35">
      <c r="B1387"/>
      <c r="C1387"/>
      <c r="D1387"/>
      <c r="E1387"/>
      <c r="F1387"/>
      <c r="G1387"/>
      <c r="H1387"/>
      <c r="I1387"/>
      <c r="J1387"/>
      <c r="K1387"/>
      <c r="L1387" s="11"/>
      <c r="M1387"/>
      <c r="N1387" s="3"/>
      <c r="O1387" s="11"/>
      <c r="P1387" s="11"/>
      <c r="Q1387" s="11"/>
      <c r="R1387" s="11"/>
      <c r="S1387" s="11"/>
      <c r="T1387" s="11"/>
      <c r="U1387" s="11"/>
      <c r="V1387" s="11"/>
      <c r="W1387" s="11"/>
    </row>
    <row r="1388" spans="2:23" x14ac:dyDescent="0.35">
      <c r="B1388"/>
      <c r="C1388"/>
      <c r="D1388"/>
      <c r="E1388"/>
      <c r="F1388"/>
      <c r="G1388"/>
      <c r="H1388"/>
      <c r="I1388"/>
      <c r="J1388"/>
      <c r="K1388"/>
      <c r="L1388" s="11"/>
      <c r="M1388"/>
      <c r="N1388" s="3"/>
      <c r="O1388" s="11"/>
      <c r="P1388" s="11"/>
      <c r="Q1388" s="11"/>
      <c r="R1388" s="11"/>
      <c r="S1388" s="11"/>
      <c r="T1388" s="11"/>
      <c r="U1388" s="11"/>
      <c r="V1388" s="11"/>
      <c r="W1388" s="11"/>
    </row>
    <row r="1389" spans="2:23" x14ac:dyDescent="0.35">
      <c r="B1389"/>
      <c r="C1389"/>
      <c r="D1389"/>
      <c r="E1389"/>
      <c r="F1389"/>
      <c r="G1389"/>
      <c r="H1389"/>
      <c r="I1389"/>
      <c r="J1389"/>
      <c r="K1389"/>
      <c r="L1389" s="11"/>
      <c r="M1389"/>
      <c r="N1389" s="3"/>
      <c r="O1389" s="11"/>
      <c r="P1389" s="11"/>
      <c r="Q1389" s="11"/>
      <c r="R1389" s="11"/>
      <c r="S1389" s="11"/>
      <c r="T1389" s="11"/>
      <c r="U1389" s="11"/>
      <c r="V1389" s="11"/>
      <c r="W1389" s="11"/>
    </row>
    <row r="1390" spans="2:23" x14ac:dyDescent="0.35">
      <c r="B1390"/>
      <c r="C1390"/>
      <c r="D1390"/>
      <c r="E1390"/>
      <c r="F1390"/>
      <c r="G1390"/>
      <c r="H1390"/>
      <c r="I1390"/>
      <c r="J1390"/>
      <c r="K1390"/>
      <c r="L1390" s="11"/>
      <c r="M1390"/>
      <c r="N1390" s="3"/>
      <c r="O1390" s="11"/>
      <c r="P1390" s="11"/>
      <c r="Q1390" s="11"/>
      <c r="R1390" s="11"/>
      <c r="S1390" s="11"/>
      <c r="T1390" s="11"/>
      <c r="U1390" s="11"/>
      <c r="V1390" s="11"/>
      <c r="W1390" s="11"/>
    </row>
    <row r="1391" spans="2:23" x14ac:dyDescent="0.35">
      <c r="B1391"/>
      <c r="C1391"/>
      <c r="D1391"/>
      <c r="E1391"/>
      <c r="F1391"/>
      <c r="G1391"/>
      <c r="H1391"/>
      <c r="I1391"/>
      <c r="J1391"/>
      <c r="K1391"/>
      <c r="L1391" s="11"/>
      <c r="M1391"/>
      <c r="N1391" s="3"/>
      <c r="O1391" s="11"/>
      <c r="P1391" s="11"/>
      <c r="Q1391" s="11"/>
      <c r="R1391" s="11"/>
      <c r="S1391" s="11"/>
      <c r="T1391" s="11"/>
      <c r="U1391" s="11"/>
      <c r="V1391" s="11"/>
      <c r="W1391" s="11"/>
    </row>
    <row r="1392" spans="2:23" x14ac:dyDescent="0.35">
      <c r="B1392"/>
      <c r="C1392"/>
      <c r="D1392"/>
      <c r="E1392"/>
      <c r="F1392"/>
      <c r="G1392"/>
      <c r="H1392"/>
      <c r="I1392"/>
      <c r="J1392"/>
      <c r="K1392"/>
      <c r="L1392" s="11"/>
      <c r="M1392"/>
      <c r="N1392" s="3"/>
      <c r="O1392" s="11"/>
      <c r="P1392" s="11"/>
      <c r="Q1392" s="11"/>
      <c r="R1392" s="11"/>
      <c r="S1392" s="11"/>
      <c r="T1392" s="11"/>
      <c r="U1392" s="11"/>
      <c r="V1392" s="11"/>
      <c r="W1392" s="11"/>
    </row>
    <row r="1393" spans="2:23" x14ac:dyDescent="0.35">
      <c r="B1393"/>
      <c r="C1393"/>
      <c r="D1393"/>
      <c r="E1393"/>
      <c r="F1393"/>
      <c r="G1393"/>
      <c r="H1393"/>
      <c r="I1393"/>
      <c r="J1393"/>
      <c r="K1393"/>
      <c r="L1393" s="11"/>
      <c r="M1393"/>
      <c r="N1393" s="3"/>
      <c r="O1393" s="11"/>
      <c r="P1393" s="11"/>
      <c r="Q1393" s="11"/>
      <c r="R1393" s="11"/>
      <c r="S1393" s="11"/>
      <c r="T1393" s="11"/>
      <c r="U1393" s="11"/>
      <c r="V1393" s="11"/>
      <c r="W1393" s="11"/>
    </row>
    <row r="1394" spans="2:23" x14ac:dyDescent="0.35">
      <c r="B1394"/>
      <c r="C1394"/>
      <c r="D1394"/>
      <c r="E1394"/>
      <c r="F1394"/>
      <c r="G1394"/>
      <c r="H1394"/>
      <c r="I1394"/>
      <c r="J1394"/>
      <c r="K1394"/>
      <c r="L1394" s="11"/>
      <c r="M1394"/>
      <c r="N1394" s="3"/>
      <c r="O1394" s="11"/>
      <c r="P1394" s="11"/>
      <c r="Q1394" s="11"/>
      <c r="R1394" s="11"/>
      <c r="S1394" s="11"/>
      <c r="T1394" s="11"/>
      <c r="U1394" s="11"/>
      <c r="V1394" s="11"/>
      <c r="W1394" s="11"/>
    </row>
    <row r="1395" spans="2:23" x14ac:dyDescent="0.35">
      <c r="B1395"/>
      <c r="C1395"/>
      <c r="D1395"/>
      <c r="E1395"/>
      <c r="F1395"/>
      <c r="G1395"/>
      <c r="H1395"/>
      <c r="I1395"/>
      <c r="J1395"/>
      <c r="K1395"/>
      <c r="L1395" s="11"/>
      <c r="M1395"/>
      <c r="N1395" s="3"/>
      <c r="O1395" s="11"/>
      <c r="P1395" s="11"/>
      <c r="Q1395" s="11"/>
      <c r="R1395" s="11"/>
      <c r="S1395" s="11"/>
      <c r="T1395" s="11"/>
      <c r="U1395" s="11"/>
      <c r="V1395" s="11"/>
      <c r="W1395" s="11"/>
    </row>
    <row r="1396" spans="2:23" x14ac:dyDescent="0.35">
      <c r="B1396"/>
      <c r="C1396"/>
      <c r="D1396"/>
      <c r="E1396"/>
      <c r="F1396"/>
      <c r="G1396"/>
      <c r="H1396"/>
      <c r="I1396"/>
      <c r="J1396"/>
      <c r="K1396"/>
      <c r="L1396" s="11"/>
      <c r="M1396"/>
      <c r="N1396" s="3"/>
      <c r="O1396" s="11"/>
      <c r="P1396" s="11"/>
      <c r="Q1396" s="11"/>
      <c r="R1396" s="11"/>
      <c r="S1396" s="11"/>
      <c r="T1396" s="11"/>
      <c r="U1396" s="11"/>
      <c r="V1396" s="11"/>
      <c r="W1396" s="11"/>
    </row>
    <row r="1397" spans="2:23" x14ac:dyDescent="0.35">
      <c r="B1397"/>
      <c r="C1397"/>
      <c r="D1397"/>
      <c r="E1397"/>
      <c r="F1397"/>
      <c r="G1397"/>
      <c r="H1397"/>
      <c r="I1397"/>
      <c r="J1397"/>
      <c r="K1397"/>
      <c r="L1397" s="11"/>
      <c r="M1397"/>
      <c r="N1397" s="3"/>
      <c r="O1397" s="11"/>
      <c r="P1397" s="11"/>
      <c r="Q1397" s="11"/>
      <c r="R1397" s="11"/>
      <c r="S1397" s="11"/>
      <c r="T1397" s="11"/>
      <c r="U1397" s="11"/>
      <c r="V1397" s="11"/>
      <c r="W1397" s="11"/>
    </row>
    <row r="1398" spans="2:23" x14ac:dyDescent="0.35">
      <c r="B1398"/>
      <c r="C1398"/>
      <c r="D1398"/>
      <c r="E1398"/>
      <c r="F1398"/>
      <c r="G1398"/>
      <c r="H1398"/>
      <c r="I1398"/>
      <c r="J1398"/>
      <c r="K1398"/>
      <c r="L1398" s="11"/>
      <c r="M1398"/>
      <c r="N1398" s="3"/>
      <c r="O1398" s="11"/>
      <c r="P1398" s="11"/>
      <c r="Q1398" s="11"/>
      <c r="R1398" s="11"/>
      <c r="S1398" s="11"/>
      <c r="T1398" s="11"/>
      <c r="U1398" s="11"/>
      <c r="V1398" s="11"/>
      <c r="W1398" s="11"/>
    </row>
    <row r="1399" spans="2:23" x14ac:dyDescent="0.35">
      <c r="B1399"/>
      <c r="C1399"/>
      <c r="D1399"/>
      <c r="E1399"/>
      <c r="F1399"/>
      <c r="G1399"/>
      <c r="H1399"/>
      <c r="I1399"/>
      <c r="J1399"/>
      <c r="K1399"/>
      <c r="L1399" s="11"/>
      <c r="M1399"/>
      <c r="N1399" s="3"/>
      <c r="O1399" s="11"/>
      <c r="P1399" s="11"/>
      <c r="Q1399" s="11"/>
      <c r="R1399" s="11"/>
      <c r="S1399" s="11"/>
      <c r="T1399" s="11"/>
      <c r="U1399" s="11"/>
      <c r="V1399" s="11"/>
      <c r="W1399" s="11"/>
    </row>
    <row r="1400" spans="2:23" x14ac:dyDescent="0.35">
      <c r="B1400"/>
      <c r="C1400"/>
      <c r="D1400"/>
      <c r="E1400"/>
      <c r="F1400"/>
      <c r="G1400"/>
      <c r="H1400"/>
      <c r="I1400"/>
      <c r="J1400"/>
      <c r="K1400"/>
      <c r="L1400" s="11"/>
      <c r="M1400"/>
      <c r="N1400" s="3"/>
      <c r="O1400" s="11"/>
      <c r="P1400" s="11"/>
      <c r="Q1400" s="11"/>
      <c r="R1400" s="11"/>
      <c r="S1400" s="11"/>
      <c r="T1400" s="11"/>
      <c r="U1400" s="11"/>
      <c r="V1400" s="11"/>
      <c r="W1400" s="11"/>
    </row>
    <row r="1401" spans="2:23" x14ac:dyDescent="0.35">
      <c r="B1401"/>
      <c r="C1401"/>
      <c r="D1401"/>
      <c r="E1401"/>
      <c r="F1401"/>
      <c r="G1401"/>
      <c r="H1401"/>
      <c r="I1401"/>
      <c r="J1401"/>
      <c r="K1401"/>
      <c r="L1401" s="11"/>
      <c r="M1401"/>
      <c r="N1401" s="3"/>
      <c r="O1401" s="11"/>
      <c r="P1401" s="11"/>
      <c r="Q1401" s="11"/>
      <c r="R1401" s="11"/>
      <c r="S1401" s="11"/>
      <c r="T1401" s="11"/>
      <c r="U1401" s="11"/>
      <c r="V1401" s="11"/>
      <c r="W1401" s="11"/>
    </row>
    <row r="1402" spans="2:23" x14ac:dyDescent="0.35">
      <c r="B1402"/>
      <c r="C1402"/>
      <c r="D1402"/>
      <c r="E1402"/>
      <c r="F1402"/>
      <c r="G1402"/>
      <c r="H1402"/>
      <c r="I1402"/>
      <c r="J1402"/>
      <c r="K1402"/>
      <c r="L1402" s="11"/>
      <c r="M1402"/>
      <c r="N1402" s="3"/>
      <c r="O1402" s="11"/>
      <c r="P1402" s="11"/>
      <c r="Q1402" s="11"/>
      <c r="R1402" s="11"/>
      <c r="S1402" s="11"/>
      <c r="T1402" s="11"/>
      <c r="U1402" s="11"/>
      <c r="V1402" s="11"/>
      <c r="W1402" s="11"/>
    </row>
    <row r="1403" spans="2:23" x14ac:dyDescent="0.35">
      <c r="B1403"/>
      <c r="C1403"/>
      <c r="D1403"/>
      <c r="E1403"/>
      <c r="F1403"/>
      <c r="G1403"/>
      <c r="H1403"/>
      <c r="I1403"/>
      <c r="J1403"/>
      <c r="K1403"/>
      <c r="L1403" s="11"/>
      <c r="M1403"/>
      <c r="N1403" s="3"/>
      <c r="O1403" s="11"/>
      <c r="P1403" s="11"/>
      <c r="Q1403" s="11"/>
      <c r="R1403" s="11"/>
      <c r="S1403" s="11"/>
      <c r="T1403" s="11"/>
      <c r="U1403" s="11"/>
      <c r="V1403" s="11"/>
      <c r="W1403" s="11"/>
    </row>
    <row r="1404" spans="2:23" x14ac:dyDescent="0.35">
      <c r="B1404"/>
      <c r="C1404"/>
      <c r="D1404"/>
      <c r="E1404"/>
      <c r="F1404"/>
      <c r="G1404"/>
      <c r="H1404"/>
      <c r="I1404"/>
      <c r="J1404"/>
      <c r="K1404"/>
      <c r="L1404" s="11"/>
      <c r="M1404"/>
      <c r="N1404" s="3"/>
      <c r="O1404" s="11"/>
      <c r="P1404" s="11"/>
      <c r="Q1404" s="11"/>
      <c r="R1404" s="11"/>
      <c r="S1404" s="11"/>
      <c r="T1404" s="11"/>
      <c r="U1404" s="11"/>
      <c r="V1404" s="11"/>
      <c r="W1404" s="11"/>
    </row>
    <row r="1405" spans="2:23" x14ac:dyDescent="0.35">
      <c r="B1405"/>
      <c r="C1405"/>
      <c r="D1405"/>
      <c r="E1405"/>
      <c r="F1405"/>
      <c r="G1405"/>
      <c r="H1405"/>
      <c r="I1405"/>
      <c r="J1405"/>
      <c r="K1405"/>
      <c r="L1405" s="11"/>
      <c r="M1405"/>
      <c r="N1405" s="3"/>
      <c r="O1405" s="11"/>
      <c r="P1405" s="11"/>
      <c r="Q1405" s="11"/>
      <c r="R1405" s="11"/>
      <c r="S1405" s="11"/>
      <c r="T1405" s="11"/>
      <c r="U1405" s="11"/>
      <c r="V1405" s="11"/>
      <c r="W1405" s="11"/>
    </row>
    <row r="1406" spans="2:23" x14ac:dyDescent="0.35">
      <c r="B1406"/>
      <c r="C1406"/>
      <c r="D1406"/>
      <c r="E1406"/>
      <c r="F1406"/>
      <c r="G1406"/>
      <c r="H1406"/>
      <c r="I1406"/>
      <c r="J1406"/>
      <c r="K1406"/>
      <c r="L1406" s="11"/>
      <c r="M1406"/>
      <c r="N1406" s="3"/>
      <c r="O1406" s="11"/>
      <c r="P1406" s="11"/>
      <c r="Q1406" s="11"/>
      <c r="R1406" s="11"/>
      <c r="S1406" s="11"/>
      <c r="T1406" s="11"/>
      <c r="U1406" s="11"/>
      <c r="V1406" s="11"/>
      <c r="W1406" s="11"/>
    </row>
    <row r="1407" spans="2:23" x14ac:dyDescent="0.35">
      <c r="B1407"/>
      <c r="C1407"/>
      <c r="D1407"/>
      <c r="E1407"/>
      <c r="F1407"/>
      <c r="G1407"/>
      <c r="H1407"/>
      <c r="I1407"/>
      <c r="J1407"/>
      <c r="K1407"/>
      <c r="L1407" s="11"/>
      <c r="M1407"/>
      <c r="N1407" s="3"/>
      <c r="O1407" s="11"/>
      <c r="P1407" s="11"/>
      <c r="Q1407" s="11"/>
      <c r="R1407" s="11"/>
      <c r="S1407" s="11"/>
      <c r="T1407" s="11"/>
      <c r="U1407" s="11"/>
      <c r="V1407" s="11"/>
      <c r="W1407" s="11"/>
    </row>
    <row r="1408" spans="2:23" x14ac:dyDescent="0.35">
      <c r="B1408"/>
      <c r="C1408"/>
      <c r="D1408"/>
      <c r="E1408"/>
      <c r="F1408"/>
      <c r="G1408"/>
      <c r="H1408"/>
      <c r="I1408"/>
      <c r="J1408"/>
      <c r="K1408"/>
      <c r="L1408" s="11"/>
      <c r="M1408"/>
      <c r="N1408" s="3"/>
      <c r="O1408" s="11"/>
      <c r="P1408" s="11"/>
      <c r="Q1408" s="11"/>
      <c r="R1408" s="11"/>
      <c r="S1408" s="11"/>
      <c r="T1408" s="11"/>
      <c r="U1408" s="11"/>
      <c r="V1408" s="11"/>
      <c r="W1408" s="11"/>
    </row>
    <row r="1409" spans="2:23" x14ac:dyDescent="0.35">
      <c r="B1409"/>
      <c r="C1409"/>
      <c r="D1409"/>
      <c r="E1409"/>
      <c r="F1409"/>
      <c r="G1409"/>
      <c r="H1409"/>
      <c r="I1409"/>
      <c r="J1409"/>
      <c r="K1409"/>
      <c r="L1409" s="11"/>
      <c r="M1409"/>
      <c r="N1409" s="3"/>
      <c r="O1409" s="11"/>
      <c r="P1409" s="11"/>
      <c r="Q1409" s="11"/>
      <c r="R1409" s="11"/>
      <c r="S1409" s="11"/>
      <c r="T1409" s="11"/>
      <c r="U1409" s="11"/>
      <c r="V1409" s="11"/>
      <c r="W1409" s="11"/>
    </row>
    <row r="1410" spans="2:23" x14ac:dyDescent="0.35">
      <c r="B1410"/>
      <c r="C1410"/>
      <c r="D1410"/>
      <c r="E1410"/>
      <c r="F1410"/>
      <c r="G1410"/>
      <c r="H1410"/>
      <c r="I1410"/>
      <c r="J1410"/>
      <c r="K1410"/>
      <c r="L1410" s="11"/>
      <c r="M1410"/>
      <c r="N1410" s="3"/>
      <c r="O1410" s="11"/>
      <c r="P1410" s="11"/>
      <c r="Q1410" s="11"/>
      <c r="R1410" s="11"/>
      <c r="S1410" s="11"/>
      <c r="T1410" s="11"/>
      <c r="U1410" s="11"/>
      <c r="V1410" s="11"/>
      <c r="W1410" s="11"/>
    </row>
    <row r="1411" spans="2:23" x14ac:dyDescent="0.35">
      <c r="B1411"/>
      <c r="C1411"/>
      <c r="D1411"/>
      <c r="E1411"/>
      <c r="F1411"/>
      <c r="G1411"/>
      <c r="H1411"/>
      <c r="I1411"/>
      <c r="J1411"/>
      <c r="K1411"/>
      <c r="L1411" s="11"/>
      <c r="M1411"/>
      <c r="N1411" s="3"/>
      <c r="O1411" s="11"/>
      <c r="P1411" s="11"/>
      <c r="Q1411" s="11"/>
      <c r="R1411" s="11"/>
      <c r="S1411" s="11"/>
      <c r="T1411" s="11"/>
      <c r="U1411" s="11"/>
      <c r="V1411" s="11"/>
      <c r="W1411" s="11"/>
    </row>
    <row r="1412" spans="2:23" x14ac:dyDescent="0.35">
      <c r="B1412"/>
      <c r="C1412"/>
      <c r="D1412"/>
      <c r="E1412"/>
      <c r="F1412"/>
      <c r="G1412"/>
      <c r="H1412"/>
      <c r="I1412"/>
      <c r="J1412"/>
      <c r="K1412"/>
      <c r="L1412" s="11"/>
      <c r="M1412"/>
      <c r="N1412" s="3"/>
      <c r="O1412" s="11"/>
      <c r="P1412" s="11"/>
      <c r="Q1412" s="11"/>
      <c r="R1412" s="11"/>
      <c r="S1412" s="11"/>
      <c r="T1412" s="11"/>
      <c r="U1412" s="11"/>
      <c r="V1412" s="11"/>
      <c r="W1412" s="11"/>
    </row>
    <row r="1413" spans="2:23" x14ac:dyDescent="0.35">
      <c r="B1413"/>
      <c r="C1413"/>
      <c r="D1413"/>
      <c r="E1413"/>
      <c r="F1413"/>
      <c r="G1413"/>
      <c r="H1413"/>
      <c r="I1413"/>
      <c r="J1413"/>
      <c r="K1413"/>
      <c r="L1413" s="11"/>
      <c r="M1413"/>
      <c r="N1413" s="3"/>
      <c r="O1413" s="11"/>
      <c r="P1413" s="11"/>
      <c r="Q1413" s="11"/>
      <c r="R1413" s="11"/>
      <c r="S1413" s="11"/>
      <c r="T1413" s="11"/>
      <c r="U1413" s="11"/>
      <c r="V1413" s="11"/>
      <c r="W1413" s="11"/>
    </row>
    <row r="1414" spans="2:23" x14ac:dyDescent="0.35">
      <c r="B1414"/>
      <c r="C1414"/>
      <c r="D1414"/>
      <c r="E1414"/>
      <c r="F1414"/>
      <c r="G1414"/>
      <c r="H1414"/>
      <c r="I1414"/>
      <c r="J1414"/>
      <c r="K1414"/>
      <c r="L1414" s="11"/>
      <c r="M1414"/>
      <c r="N1414" s="3"/>
      <c r="O1414" s="11"/>
      <c r="P1414" s="11"/>
      <c r="Q1414" s="11"/>
      <c r="R1414" s="11"/>
      <c r="S1414" s="11"/>
      <c r="T1414" s="11"/>
      <c r="U1414" s="11"/>
      <c r="V1414" s="11"/>
      <c r="W1414" s="11"/>
    </row>
    <row r="1415" spans="2:23" x14ac:dyDescent="0.35">
      <c r="B1415"/>
      <c r="C1415"/>
      <c r="D1415"/>
      <c r="E1415"/>
      <c r="F1415"/>
      <c r="G1415"/>
      <c r="H1415"/>
      <c r="I1415"/>
      <c r="J1415"/>
      <c r="K1415"/>
      <c r="L1415" s="11"/>
      <c r="M1415"/>
      <c r="N1415" s="3"/>
      <c r="O1415" s="11"/>
      <c r="P1415" s="11"/>
      <c r="Q1415" s="11"/>
      <c r="R1415" s="11"/>
      <c r="S1415" s="11"/>
      <c r="T1415" s="11"/>
      <c r="U1415" s="11"/>
      <c r="V1415" s="11"/>
      <c r="W1415" s="11"/>
    </row>
    <row r="1416" spans="2:23" x14ac:dyDescent="0.35">
      <c r="B1416"/>
      <c r="C1416"/>
      <c r="D1416"/>
      <c r="E1416"/>
      <c r="F1416"/>
      <c r="G1416"/>
      <c r="H1416"/>
      <c r="I1416"/>
      <c r="J1416"/>
      <c r="K1416"/>
      <c r="L1416" s="11"/>
      <c r="M1416"/>
      <c r="N1416" s="3"/>
      <c r="O1416" s="11"/>
      <c r="P1416" s="11"/>
      <c r="Q1416" s="11"/>
      <c r="R1416" s="11"/>
      <c r="S1416" s="11"/>
      <c r="T1416" s="11"/>
      <c r="U1416" s="11"/>
      <c r="V1416" s="11"/>
      <c r="W1416" s="11"/>
    </row>
    <row r="1417" spans="2:23" x14ac:dyDescent="0.35">
      <c r="B1417"/>
      <c r="C1417"/>
      <c r="D1417"/>
      <c r="E1417"/>
      <c r="F1417"/>
      <c r="G1417"/>
      <c r="H1417"/>
      <c r="I1417"/>
      <c r="J1417"/>
      <c r="K1417"/>
      <c r="L1417" s="11"/>
      <c r="M1417"/>
      <c r="N1417" s="3"/>
      <c r="O1417" s="11"/>
      <c r="P1417" s="11"/>
      <c r="Q1417" s="11"/>
      <c r="R1417" s="11"/>
      <c r="S1417" s="11"/>
      <c r="T1417" s="11"/>
      <c r="U1417" s="11"/>
      <c r="V1417" s="11"/>
      <c r="W1417" s="11"/>
    </row>
    <row r="1418" spans="2:23" x14ac:dyDescent="0.35">
      <c r="B1418"/>
      <c r="C1418"/>
      <c r="D1418"/>
      <c r="E1418"/>
      <c r="F1418"/>
      <c r="G1418"/>
      <c r="H1418"/>
      <c r="I1418"/>
      <c r="J1418"/>
      <c r="K1418"/>
      <c r="L1418" s="11"/>
      <c r="M1418"/>
      <c r="N1418" s="3"/>
      <c r="O1418" s="11"/>
      <c r="P1418" s="11"/>
      <c r="Q1418" s="11"/>
      <c r="R1418" s="11"/>
      <c r="S1418" s="11"/>
      <c r="T1418" s="11"/>
      <c r="U1418" s="11"/>
      <c r="V1418" s="11"/>
      <c r="W1418" s="11"/>
    </row>
    <row r="1419" spans="2:23" x14ac:dyDescent="0.35">
      <c r="B1419"/>
      <c r="C1419"/>
      <c r="D1419"/>
      <c r="E1419"/>
      <c r="F1419"/>
      <c r="G1419"/>
      <c r="H1419"/>
      <c r="I1419"/>
      <c r="J1419"/>
      <c r="K1419"/>
      <c r="L1419" s="11"/>
      <c r="M1419"/>
      <c r="N1419" s="3"/>
      <c r="O1419" s="11"/>
      <c r="P1419" s="11"/>
      <c r="Q1419" s="11"/>
      <c r="R1419" s="11"/>
      <c r="S1419" s="11"/>
      <c r="T1419" s="11"/>
      <c r="U1419" s="11"/>
      <c r="V1419" s="11"/>
      <c r="W1419" s="11"/>
    </row>
    <row r="1420" spans="2:23" x14ac:dyDescent="0.35">
      <c r="B1420"/>
      <c r="C1420"/>
      <c r="D1420"/>
      <c r="E1420"/>
      <c r="F1420"/>
      <c r="G1420"/>
      <c r="H1420"/>
      <c r="I1420"/>
      <c r="J1420"/>
      <c r="K1420"/>
      <c r="L1420" s="11"/>
      <c r="M1420"/>
      <c r="N1420" s="3"/>
      <c r="O1420" s="11"/>
      <c r="P1420" s="11"/>
      <c r="Q1420" s="11"/>
      <c r="R1420" s="11"/>
      <c r="S1420" s="11"/>
      <c r="T1420" s="11"/>
      <c r="U1420" s="11"/>
      <c r="V1420" s="11"/>
      <c r="W1420" s="11"/>
    </row>
    <row r="1421" spans="2:23" x14ac:dyDescent="0.35">
      <c r="B1421"/>
      <c r="C1421"/>
      <c r="D1421"/>
      <c r="E1421"/>
      <c r="F1421"/>
      <c r="G1421"/>
      <c r="H1421"/>
      <c r="I1421"/>
      <c r="J1421"/>
      <c r="K1421"/>
      <c r="L1421" s="11"/>
      <c r="M1421"/>
      <c r="N1421" s="3"/>
      <c r="O1421" s="11"/>
      <c r="P1421" s="11"/>
      <c r="Q1421" s="11"/>
      <c r="R1421" s="11"/>
      <c r="S1421" s="11"/>
      <c r="T1421" s="11"/>
      <c r="U1421" s="11"/>
      <c r="V1421" s="11"/>
      <c r="W1421" s="11"/>
    </row>
    <row r="1422" spans="2:23" x14ac:dyDescent="0.35">
      <c r="B1422"/>
      <c r="C1422"/>
      <c r="D1422"/>
      <c r="E1422"/>
      <c r="F1422"/>
      <c r="G1422"/>
      <c r="H1422"/>
      <c r="I1422"/>
      <c r="J1422"/>
      <c r="K1422"/>
      <c r="L1422" s="11"/>
      <c r="M1422"/>
      <c r="N1422" s="3"/>
      <c r="O1422" s="11"/>
      <c r="P1422" s="11"/>
      <c r="Q1422" s="11"/>
      <c r="R1422" s="11"/>
      <c r="S1422" s="11"/>
      <c r="T1422" s="11"/>
      <c r="U1422" s="11"/>
      <c r="V1422" s="11"/>
      <c r="W1422" s="11"/>
    </row>
    <row r="1423" spans="2:23" x14ac:dyDescent="0.35">
      <c r="B1423"/>
      <c r="C1423"/>
      <c r="D1423"/>
      <c r="E1423"/>
      <c r="F1423"/>
      <c r="G1423"/>
      <c r="H1423"/>
      <c r="I1423"/>
      <c r="J1423"/>
      <c r="K1423"/>
      <c r="L1423" s="11"/>
      <c r="M1423"/>
      <c r="N1423" s="3"/>
      <c r="O1423" s="11"/>
      <c r="P1423" s="11"/>
      <c r="Q1423" s="11"/>
      <c r="R1423" s="11"/>
      <c r="S1423" s="11"/>
      <c r="T1423" s="11"/>
      <c r="U1423" s="11"/>
      <c r="V1423" s="11"/>
      <c r="W1423" s="11"/>
    </row>
    <row r="1424" spans="2:23" x14ac:dyDescent="0.35">
      <c r="B1424"/>
      <c r="C1424"/>
      <c r="D1424"/>
      <c r="E1424"/>
      <c r="F1424"/>
      <c r="G1424"/>
      <c r="H1424"/>
      <c r="I1424"/>
      <c r="J1424"/>
      <c r="K1424"/>
      <c r="L1424" s="11"/>
      <c r="M1424"/>
      <c r="N1424" s="3"/>
      <c r="O1424" s="11"/>
      <c r="P1424" s="11"/>
      <c r="Q1424" s="11"/>
      <c r="R1424" s="11"/>
      <c r="S1424" s="11"/>
      <c r="T1424" s="11"/>
      <c r="U1424" s="11"/>
      <c r="V1424" s="11"/>
      <c r="W1424" s="11"/>
    </row>
    <row r="1425" spans="2:23" x14ac:dyDescent="0.35">
      <c r="B1425"/>
      <c r="C1425"/>
      <c r="D1425"/>
      <c r="E1425"/>
      <c r="F1425"/>
      <c r="G1425"/>
      <c r="H1425"/>
      <c r="I1425"/>
      <c r="J1425"/>
      <c r="K1425"/>
      <c r="L1425" s="11"/>
      <c r="M1425"/>
      <c r="N1425" s="3"/>
      <c r="O1425" s="11"/>
      <c r="P1425" s="11"/>
      <c r="Q1425" s="11"/>
      <c r="R1425" s="11"/>
      <c r="S1425" s="11"/>
      <c r="T1425" s="11"/>
      <c r="U1425" s="11"/>
      <c r="V1425" s="11"/>
      <c r="W1425" s="11"/>
    </row>
    <row r="1426" spans="2:23" x14ac:dyDescent="0.35">
      <c r="B1426"/>
      <c r="C1426"/>
      <c r="D1426"/>
      <c r="E1426"/>
      <c r="F1426"/>
      <c r="G1426"/>
      <c r="H1426"/>
      <c r="I1426"/>
      <c r="J1426"/>
      <c r="K1426"/>
      <c r="L1426" s="11"/>
      <c r="M1426"/>
      <c r="N1426" s="3"/>
      <c r="O1426" s="11"/>
      <c r="P1426" s="11"/>
      <c r="Q1426" s="11"/>
      <c r="R1426" s="11"/>
      <c r="S1426" s="11"/>
      <c r="T1426" s="11"/>
      <c r="U1426" s="11"/>
      <c r="V1426" s="11"/>
      <c r="W1426" s="11"/>
    </row>
    <row r="1427" spans="2:23" x14ac:dyDescent="0.35">
      <c r="B1427"/>
      <c r="C1427"/>
      <c r="D1427"/>
      <c r="E1427"/>
      <c r="F1427"/>
      <c r="G1427"/>
      <c r="H1427"/>
      <c r="I1427"/>
      <c r="J1427"/>
      <c r="K1427"/>
      <c r="L1427" s="11"/>
      <c r="M1427"/>
      <c r="N1427" s="3"/>
      <c r="O1427" s="11"/>
      <c r="P1427" s="11"/>
      <c r="Q1427" s="11"/>
      <c r="R1427" s="11"/>
      <c r="S1427" s="11"/>
      <c r="T1427" s="11"/>
      <c r="U1427" s="11"/>
      <c r="V1427" s="11"/>
      <c r="W1427" s="11"/>
    </row>
    <row r="1428" spans="2:23" x14ac:dyDescent="0.35">
      <c r="B1428"/>
      <c r="C1428"/>
      <c r="D1428"/>
      <c r="E1428"/>
      <c r="F1428"/>
      <c r="G1428"/>
      <c r="H1428"/>
      <c r="I1428"/>
      <c r="J1428"/>
      <c r="K1428"/>
      <c r="L1428" s="11"/>
      <c r="M1428"/>
      <c r="N1428" s="3"/>
      <c r="O1428" s="11"/>
      <c r="P1428" s="11"/>
      <c r="Q1428" s="11"/>
      <c r="R1428" s="11"/>
      <c r="S1428" s="11"/>
      <c r="T1428" s="11"/>
      <c r="U1428" s="11"/>
      <c r="V1428" s="11"/>
      <c r="W1428" s="11"/>
    </row>
    <row r="1429" spans="2:23" x14ac:dyDescent="0.35">
      <c r="B1429"/>
      <c r="C1429"/>
      <c r="D1429"/>
      <c r="E1429"/>
      <c r="F1429"/>
      <c r="G1429"/>
      <c r="H1429"/>
      <c r="I1429"/>
      <c r="J1429"/>
      <c r="K1429"/>
      <c r="L1429" s="11"/>
      <c r="M1429"/>
      <c r="N1429" s="3"/>
      <c r="O1429" s="11"/>
      <c r="P1429" s="11"/>
      <c r="Q1429" s="11"/>
      <c r="R1429" s="11"/>
      <c r="S1429" s="11"/>
      <c r="T1429" s="11"/>
      <c r="U1429" s="11"/>
      <c r="V1429" s="11"/>
      <c r="W1429" s="11"/>
    </row>
    <row r="1430" spans="2:23" x14ac:dyDescent="0.35">
      <c r="B1430"/>
      <c r="C1430"/>
      <c r="D1430"/>
      <c r="E1430"/>
      <c r="F1430"/>
      <c r="G1430"/>
      <c r="H1430"/>
      <c r="I1430"/>
      <c r="J1430"/>
      <c r="K1430"/>
      <c r="L1430" s="11"/>
      <c r="M1430"/>
      <c r="N1430" s="3"/>
      <c r="O1430" s="11"/>
      <c r="P1430" s="11"/>
      <c r="Q1430" s="11"/>
      <c r="R1430" s="11"/>
      <c r="S1430" s="11"/>
      <c r="T1430" s="11"/>
      <c r="U1430" s="11"/>
      <c r="V1430" s="11"/>
      <c r="W1430" s="11"/>
    </row>
    <row r="1431" spans="2:23" x14ac:dyDescent="0.35">
      <c r="B1431"/>
      <c r="C1431"/>
      <c r="D1431"/>
      <c r="E1431"/>
      <c r="F1431"/>
      <c r="G1431"/>
      <c r="H1431"/>
      <c r="I1431"/>
      <c r="J1431"/>
      <c r="K1431"/>
      <c r="L1431" s="11"/>
      <c r="M1431"/>
      <c r="N1431" s="3"/>
      <c r="O1431" s="11"/>
      <c r="P1431" s="11"/>
      <c r="Q1431" s="11"/>
      <c r="R1431" s="11"/>
      <c r="S1431" s="11"/>
      <c r="T1431" s="11"/>
      <c r="U1431" s="11"/>
      <c r="V1431" s="11"/>
      <c r="W1431" s="11"/>
    </row>
    <row r="1432" spans="2:23" x14ac:dyDescent="0.35">
      <c r="B1432"/>
      <c r="C1432"/>
      <c r="D1432"/>
      <c r="E1432"/>
      <c r="F1432"/>
      <c r="G1432"/>
      <c r="H1432"/>
      <c r="I1432"/>
      <c r="J1432"/>
      <c r="K1432"/>
      <c r="L1432" s="11"/>
      <c r="M1432"/>
      <c r="N1432" s="3"/>
      <c r="O1432" s="11"/>
      <c r="P1432" s="11"/>
      <c r="Q1432" s="11"/>
      <c r="R1432" s="11"/>
      <c r="S1432" s="11"/>
      <c r="T1432" s="11"/>
      <c r="U1432" s="11"/>
      <c r="V1432" s="11"/>
      <c r="W1432" s="11"/>
    </row>
    <row r="1433" spans="2:23" x14ac:dyDescent="0.35">
      <c r="B1433"/>
      <c r="C1433"/>
      <c r="D1433"/>
      <c r="E1433"/>
      <c r="F1433"/>
      <c r="G1433"/>
      <c r="H1433"/>
      <c r="I1433"/>
      <c r="J1433"/>
      <c r="K1433"/>
      <c r="L1433" s="11"/>
      <c r="M1433"/>
      <c r="N1433" s="3"/>
      <c r="O1433" s="11"/>
      <c r="P1433" s="11"/>
      <c r="Q1433" s="11"/>
      <c r="R1433" s="11"/>
      <c r="S1433" s="11"/>
      <c r="T1433" s="11"/>
      <c r="U1433" s="11"/>
      <c r="V1433" s="11"/>
      <c r="W1433" s="11"/>
    </row>
    <row r="1434" spans="2:23" x14ac:dyDescent="0.35">
      <c r="B1434"/>
      <c r="C1434"/>
      <c r="D1434"/>
      <c r="E1434"/>
      <c r="F1434"/>
      <c r="G1434"/>
      <c r="H1434"/>
      <c r="I1434"/>
      <c r="J1434"/>
      <c r="K1434"/>
      <c r="L1434" s="11"/>
      <c r="M1434"/>
      <c r="N1434" s="3"/>
      <c r="O1434" s="11"/>
      <c r="P1434" s="11"/>
      <c r="Q1434" s="11"/>
      <c r="R1434" s="11"/>
      <c r="S1434" s="11"/>
      <c r="T1434" s="11"/>
      <c r="U1434" s="11"/>
      <c r="V1434" s="11"/>
      <c r="W1434" s="11"/>
    </row>
    <row r="1435" spans="2:23" x14ac:dyDescent="0.35">
      <c r="B1435"/>
      <c r="C1435"/>
      <c r="D1435"/>
      <c r="E1435"/>
      <c r="F1435"/>
      <c r="G1435"/>
      <c r="H1435"/>
      <c r="I1435"/>
      <c r="J1435"/>
      <c r="K1435"/>
      <c r="L1435" s="11"/>
      <c r="M1435"/>
      <c r="N1435" s="3"/>
      <c r="O1435" s="11"/>
      <c r="P1435" s="11"/>
      <c r="Q1435" s="11"/>
      <c r="R1435" s="11"/>
      <c r="S1435" s="11"/>
      <c r="T1435" s="11"/>
      <c r="U1435" s="11"/>
      <c r="V1435" s="11"/>
      <c r="W1435" s="11"/>
    </row>
    <row r="1436" spans="2:23" x14ac:dyDescent="0.35">
      <c r="B1436"/>
      <c r="C1436"/>
      <c r="D1436"/>
      <c r="E1436"/>
      <c r="F1436"/>
      <c r="G1436"/>
      <c r="H1436"/>
      <c r="I1436"/>
      <c r="J1436"/>
      <c r="K1436"/>
      <c r="L1436" s="11"/>
      <c r="M1436"/>
      <c r="N1436" s="3"/>
      <c r="O1436" s="11"/>
      <c r="P1436" s="11"/>
      <c r="Q1436" s="11"/>
      <c r="R1436" s="11"/>
      <c r="S1436" s="11"/>
      <c r="T1436" s="11"/>
      <c r="U1436" s="11"/>
      <c r="V1436" s="11"/>
      <c r="W1436" s="11"/>
    </row>
    <row r="1437" spans="2:23" x14ac:dyDescent="0.35">
      <c r="B1437"/>
      <c r="C1437"/>
      <c r="D1437"/>
      <c r="E1437"/>
      <c r="F1437"/>
      <c r="G1437"/>
      <c r="H1437"/>
      <c r="I1437"/>
      <c r="J1437"/>
      <c r="K1437"/>
      <c r="L1437" s="11"/>
      <c r="M1437"/>
      <c r="N1437" s="3"/>
      <c r="O1437" s="11"/>
      <c r="P1437" s="11"/>
      <c r="Q1437" s="11"/>
      <c r="R1437" s="11"/>
      <c r="S1437" s="11"/>
      <c r="T1437" s="11"/>
      <c r="U1437" s="11"/>
      <c r="V1437" s="11"/>
      <c r="W1437" s="11"/>
    </row>
    <row r="1438" spans="2:23" x14ac:dyDescent="0.35">
      <c r="B1438"/>
      <c r="C1438"/>
      <c r="D1438"/>
      <c r="E1438"/>
      <c r="F1438"/>
      <c r="G1438"/>
      <c r="H1438"/>
      <c r="I1438"/>
      <c r="J1438"/>
      <c r="K1438"/>
      <c r="L1438" s="11"/>
      <c r="M1438"/>
      <c r="N1438" s="3"/>
      <c r="O1438" s="11"/>
      <c r="P1438" s="11"/>
      <c r="Q1438" s="11"/>
      <c r="R1438" s="11"/>
      <c r="S1438" s="11"/>
      <c r="T1438" s="11"/>
      <c r="U1438" s="11"/>
      <c r="V1438" s="11"/>
      <c r="W1438" s="11"/>
    </row>
    <row r="1439" spans="2:23" x14ac:dyDescent="0.35">
      <c r="B1439"/>
      <c r="C1439"/>
      <c r="D1439"/>
      <c r="E1439"/>
      <c r="F1439"/>
      <c r="G1439"/>
      <c r="H1439"/>
      <c r="I1439"/>
      <c r="J1439"/>
      <c r="K1439"/>
      <c r="L1439" s="11"/>
      <c r="M1439"/>
      <c r="N1439" s="3"/>
      <c r="O1439" s="11"/>
      <c r="P1439" s="11"/>
      <c r="Q1439" s="11"/>
      <c r="R1439" s="11"/>
      <c r="S1439" s="11"/>
      <c r="T1439" s="11"/>
      <c r="U1439" s="11"/>
      <c r="V1439" s="11"/>
      <c r="W1439" s="11"/>
    </row>
    <row r="1440" spans="2:23" x14ac:dyDescent="0.35">
      <c r="B1440"/>
      <c r="C1440"/>
      <c r="D1440"/>
      <c r="E1440"/>
      <c r="F1440"/>
      <c r="G1440"/>
      <c r="H1440"/>
      <c r="I1440"/>
      <c r="J1440"/>
      <c r="K1440"/>
      <c r="L1440" s="11"/>
      <c r="M1440"/>
      <c r="N1440" s="3"/>
      <c r="O1440" s="11"/>
      <c r="P1440" s="11"/>
      <c r="Q1440" s="11"/>
      <c r="R1440" s="11"/>
      <c r="S1440" s="11"/>
      <c r="T1440" s="11"/>
      <c r="U1440" s="11"/>
      <c r="V1440" s="11"/>
      <c r="W1440" s="11"/>
    </row>
    <row r="1441" spans="2:23" x14ac:dyDescent="0.35">
      <c r="B1441"/>
      <c r="C1441"/>
      <c r="D1441"/>
      <c r="E1441"/>
      <c r="F1441"/>
      <c r="G1441"/>
      <c r="H1441"/>
      <c r="I1441"/>
      <c r="J1441"/>
      <c r="K1441"/>
      <c r="L1441" s="11"/>
      <c r="M1441"/>
      <c r="N1441" s="3"/>
      <c r="O1441" s="11"/>
      <c r="P1441" s="11"/>
      <c r="Q1441" s="11"/>
      <c r="R1441" s="11"/>
      <c r="S1441" s="11"/>
      <c r="T1441" s="11"/>
      <c r="U1441" s="11"/>
      <c r="V1441" s="11"/>
      <c r="W1441" s="11"/>
    </row>
    <row r="1442" spans="2:23" x14ac:dyDescent="0.35">
      <c r="B1442"/>
      <c r="C1442"/>
      <c r="D1442"/>
      <c r="E1442"/>
      <c r="F1442"/>
      <c r="G1442"/>
      <c r="H1442"/>
      <c r="I1442"/>
      <c r="J1442"/>
      <c r="K1442"/>
      <c r="L1442" s="11"/>
      <c r="M1442"/>
      <c r="N1442" s="3"/>
      <c r="O1442" s="11"/>
      <c r="P1442" s="11"/>
      <c r="Q1442" s="11"/>
      <c r="R1442" s="11"/>
      <c r="S1442" s="11"/>
      <c r="T1442" s="11"/>
      <c r="U1442" s="11"/>
      <c r="V1442" s="11"/>
      <c r="W1442" s="11"/>
    </row>
    <row r="1443" spans="2:23" x14ac:dyDescent="0.35">
      <c r="B1443"/>
      <c r="C1443"/>
      <c r="D1443"/>
      <c r="E1443"/>
      <c r="F1443"/>
      <c r="G1443"/>
      <c r="H1443"/>
      <c r="I1443"/>
      <c r="J1443"/>
      <c r="K1443"/>
      <c r="L1443" s="11"/>
      <c r="M1443"/>
      <c r="N1443" s="3"/>
      <c r="O1443" s="11"/>
      <c r="P1443" s="11"/>
      <c r="Q1443" s="11"/>
      <c r="R1443" s="11"/>
      <c r="S1443" s="11"/>
      <c r="T1443" s="11"/>
      <c r="U1443" s="11"/>
      <c r="V1443" s="11"/>
      <c r="W1443" s="11"/>
    </row>
    <row r="1444" spans="2:23" x14ac:dyDescent="0.35">
      <c r="B1444"/>
      <c r="C1444"/>
      <c r="D1444"/>
      <c r="E1444"/>
      <c r="F1444"/>
      <c r="G1444"/>
      <c r="H1444"/>
      <c r="I1444"/>
      <c r="J1444"/>
      <c r="K1444"/>
      <c r="L1444" s="11"/>
      <c r="M1444"/>
      <c r="N1444" s="3"/>
      <c r="O1444" s="11"/>
      <c r="P1444" s="11"/>
      <c r="Q1444" s="11"/>
      <c r="R1444" s="11"/>
      <c r="S1444" s="11"/>
      <c r="T1444" s="11"/>
      <c r="U1444" s="11"/>
      <c r="V1444" s="11"/>
      <c r="W1444" s="11"/>
    </row>
    <row r="1445" spans="2:23" x14ac:dyDescent="0.35">
      <c r="B1445"/>
      <c r="C1445"/>
      <c r="D1445"/>
      <c r="E1445"/>
      <c r="F1445"/>
      <c r="G1445"/>
      <c r="H1445"/>
      <c r="I1445"/>
      <c r="J1445"/>
      <c r="K1445"/>
      <c r="L1445" s="11"/>
      <c r="M1445"/>
      <c r="N1445" s="3"/>
      <c r="O1445" s="11"/>
      <c r="P1445" s="11"/>
      <c r="Q1445" s="11"/>
      <c r="R1445" s="11"/>
      <c r="S1445" s="11"/>
      <c r="T1445" s="11"/>
      <c r="U1445" s="11"/>
      <c r="V1445" s="11"/>
      <c r="W1445" s="11"/>
    </row>
    <row r="1446" spans="2:23" x14ac:dyDescent="0.35">
      <c r="B1446"/>
      <c r="C1446"/>
      <c r="D1446"/>
      <c r="E1446"/>
      <c r="F1446"/>
      <c r="G1446"/>
      <c r="H1446"/>
      <c r="I1446"/>
      <c r="J1446"/>
      <c r="K1446"/>
      <c r="L1446" s="11"/>
      <c r="M1446"/>
      <c r="N1446" s="3"/>
      <c r="O1446" s="11"/>
      <c r="P1446" s="11"/>
      <c r="Q1446" s="11"/>
      <c r="R1446" s="11"/>
      <c r="S1446" s="11"/>
      <c r="T1446" s="11"/>
      <c r="U1446" s="11"/>
      <c r="V1446" s="11"/>
      <c r="W1446" s="11"/>
    </row>
    <row r="1447" spans="2:23" x14ac:dyDescent="0.35">
      <c r="B1447"/>
      <c r="C1447"/>
      <c r="D1447"/>
      <c r="E1447"/>
      <c r="F1447"/>
      <c r="G1447"/>
      <c r="H1447"/>
      <c r="I1447"/>
      <c r="J1447"/>
      <c r="K1447"/>
      <c r="L1447" s="11"/>
      <c r="M1447"/>
      <c r="N1447" s="3"/>
      <c r="O1447" s="11"/>
      <c r="P1447" s="11"/>
      <c r="Q1447" s="11"/>
      <c r="R1447" s="11"/>
      <c r="S1447" s="11"/>
      <c r="T1447" s="11"/>
      <c r="U1447" s="11"/>
      <c r="V1447" s="11"/>
      <c r="W1447" s="11"/>
    </row>
    <row r="1448" spans="2:23" x14ac:dyDescent="0.35">
      <c r="B1448"/>
      <c r="C1448"/>
      <c r="D1448"/>
      <c r="E1448"/>
      <c r="F1448"/>
      <c r="G1448"/>
      <c r="H1448"/>
      <c r="I1448"/>
      <c r="J1448"/>
      <c r="K1448"/>
      <c r="L1448" s="11"/>
      <c r="M1448"/>
      <c r="N1448" s="3"/>
      <c r="O1448" s="11"/>
      <c r="P1448" s="11"/>
      <c r="Q1448" s="11"/>
      <c r="R1448" s="11"/>
      <c r="S1448" s="11"/>
      <c r="T1448" s="11"/>
      <c r="U1448" s="11"/>
      <c r="V1448" s="11"/>
      <c r="W1448" s="11"/>
    </row>
    <row r="1449" spans="2:23" x14ac:dyDescent="0.35">
      <c r="B1449"/>
      <c r="C1449"/>
      <c r="D1449"/>
      <c r="E1449"/>
      <c r="F1449"/>
      <c r="G1449"/>
      <c r="H1449"/>
      <c r="I1449"/>
      <c r="J1449"/>
      <c r="K1449"/>
      <c r="L1449" s="11"/>
      <c r="M1449"/>
      <c r="N1449" s="3"/>
      <c r="O1449" s="11"/>
      <c r="P1449" s="11"/>
      <c r="Q1449" s="11"/>
      <c r="R1449" s="11"/>
      <c r="S1449" s="11"/>
      <c r="T1449" s="11"/>
      <c r="U1449" s="11"/>
      <c r="V1449" s="11"/>
      <c r="W1449" s="11"/>
    </row>
    <row r="1450" spans="2:23" x14ac:dyDescent="0.35">
      <c r="B1450"/>
      <c r="C1450"/>
      <c r="D1450"/>
      <c r="E1450"/>
      <c r="F1450"/>
      <c r="G1450"/>
      <c r="H1450"/>
      <c r="I1450"/>
      <c r="J1450"/>
      <c r="K1450"/>
      <c r="L1450" s="11"/>
      <c r="M1450"/>
      <c r="N1450" s="3"/>
      <c r="O1450" s="11"/>
      <c r="P1450" s="11"/>
      <c r="Q1450" s="11"/>
      <c r="R1450" s="11"/>
      <c r="S1450" s="11"/>
      <c r="T1450" s="11"/>
      <c r="U1450" s="11"/>
      <c r="V1450" s="11"/>
      <c r="W1450" s="11"/>
    </row>
    <row r="1451" spans="2:23" x14ac:dyDescent="0.35">
      <c r="B1451"/>
      <c r="C1451"/>
      <c r="D1451"/>
      <c r="E1451"/>
      <c r="F1451"/>
      <c r="G1451"/>
      <c r="H1451"/>
      <c r="I1451"/>
      <c r="J1451"/>
      <c r="K1451"/>
      <c r="L1451" s="11"/>
      <c r="M1451"/>
      <c r="N1451" s="3"/>
      <c r="O1451" s="11"/>
      <c r="P1451" s="11"/>
      <c r="Q1451" s="11"/>
      <c r="R1451" s="11"/>
      <c r="S1451" s="11"/>
      <c r="T1451" s="11"/>
      <c r="U1451" s="11"/>
      <c r="V1451" s="11"/>
      <c r="W1451" s="11"/>
    </row>
    <row r="1452" spans="2:23" x14ac:dyDescent="0.35">
      <c r="B1452"/>
      <c r="C1452"/>
      <c r="D1452"/>
      <c r="E1452"/>
      <c r="F1452"/>
      <c r="G1452"/>
      <c r="H1452"/>
      <c r="I1452"/>
      <c r="J1452"/>
      <c r="K1452"/>
      <c r="L1452" s="11"/>
      <c r="M1452"/>
      <c r="N1452" s="3"/>
      <c r="O1452" s="11"/>
      <c r="P1452" s="11"/>
      <c r="Q1452" s="11"/>
      <c r="R1452" s="11"/>
      <c r="S1452" s="11"/>
      <c r="T1452" s="11"/>
      <c r="U1452" s="11"/>
      <c r="V1452" s="11"/>
      <c r="W1452" s="11"/>
    </row>
    <row r="1453" spans="2:23" x14ac:dyDescent="0.35">
      <c r="B1453"/>
      <c r="C1453"/>
      <c r="D1453"/>
      <c r="E1453"/>
      <c r="F1453"/>
      <c r="G1453"/>
      <c r="H1453"/>
      <c r="I1453"/>
      <c r="J1453"/>
      <c r="K1453"/>
      <c r="L1453" s="11"/>
      <c r="M1453"/>
      <c r="N1453" s="3"/>
      <c r="O1453" s="11"/>
      <c r="P1453" s="11"/>
      <c r="Q1453" s="11"/>
      <c r="R1453" s="11"/>
      <c r="S1453" s="11"/>
      <c r="T1453" s="11"/>
      <c r="U1453" s="11"/>
      <c r="V1453" s="11"/>
      <c r="W1453" s="11"/>
    </row>
    <row r="1454" spans="2:23" x14ac:dyDescent="0.35">
      <c r="B1454"/>
      <c r="C1454"/>
      <c r="D1454"/>
      <c r="E1454"/>
      <c r="F1454"/>
      <c r="G1454"/>
      <c r="H1454"/>
      <c r="I1454"/>
      <c r="J1454"/>
      <c r="K1454"/>
      <c r="L1454" s="11"/>
      <c r="M1454"/>
      <c r="N1454" s="3"/>
      <c r="O1454" s="11"/>
      <c r="P1454" s="11"/>
      <c r="Q1454" s="11"/>
      <c r="R1454" s="11"/>
      <c r="S1454" s="11"/>
      <c r="T1454" s="11"/>
      <c r="U1454" s="11"/>
      <c r="V1454" s="11"/>
      <c r="W1454" s="11"/>
    </row>
    <row r="1455" spans="2:23" x14ac:dyDescent="0.35">
      <c r="B1455"/>
      <c r="C1455"/>
      <c r="D1455"/>
      <c r="E1455"/>
      <c r="F1455"/>
      <c r="G1455"/>
      <c r="H1455"/>
      <c r="I1455"/>
      <c r="J1455"/>
      <c r="K1455"/>
      <c r="L1455" s="11"/>
      <c r="M1455"/>
      <c r="N1455" s="3"/>
      <c r="O1455" s="11"/>
      <c r="P1455" s="11"/>
      <c r="Q1455" s="11"/>
      <c r="R1455" s="11"/>
      <c r="S1455" s="11"/>
      <c r="T1455" s="11"/>
      <c r="U1455" s="11"/>
      <c r="V1455" s="11"/>
      <c r="W1455" s="11"/>
    </row>
    <row r="1456" spans="2:23" x14ac:dyDescent="0.35">
      <c r="B1456"/>
      <c r="C1456"/>
      <c r="D1456"/>
      <c r="E1456"/>
      <c r="F1456"/>
      <c r="G1456"/>
      <c r="H1456"/>
      <c r="I1456"/>
      <c r="J1456"/>
      <c r="K1456"/>
      <c r="L1456" s="11"/>
      <c r="M1456"/>
      <c r="N1456" s="3"/>
      <c r="O1456" s="11"/>
      <c r="P1456" s="11"/>
      <c r="Q1456" s="11"/>
      <c r="R1456" s="11"/>
      <c r="S1456" s="11"/>
      <c r="T1456" s="11"/>
      <c r="U1456" s="11"/>
      <c r="V1456" s="11"/>
      <c r="W1456" s="11"/>
    </row>
    <row r="1457" spans="2:23" x14ac:dyDescent="0.35">
      <c r="B1457"/>
      <c r="C1457"/>
      <c r="D1457"/>
      <c r="E1457"/>
      <c r="F1457"/>
      <c r="G1457"/>
      <c r="H1457"/>
      <c r="I1457"/>
      <c r="J1457"/>
      <c r="K1457"/>
      <c r="L1457" s="11"/>
      <c r="M1457"/>
      <c r="N1457" s="3"/>
      <c r="O1457" s="11"/>
      <c r="P1457" s="11"/>
      <c r="Q1457" s="11"/>
      <c r="R1457" s="11"/>
      <c r="S1457" s="11"/>
      <c r="T1457" s="11"/>
      <c r="U1457" s="11"/>
      <c r="V1457" s="11"/>
      <c r="W1457" s="11"/>
    </row>
    <row r="1458" spans="2:23" x14ac:dyDescent="0.35">
      <c r="B1458"/>
      <c r="C1458"/>
      <c r="D1458"/>
      <c r="E1458"/>
      <c r="F1458"/>
      <c r="G1458"/>
      <c r="H1458"/>
      <c r="I1458"/>
      <c r="J1458"/>
      <c r="K1458"/>
      <c r="L1458" s="11"/>
      <c r="M1458"/>
      <c r="N1458" s="3"/>
      <c r="O1458" s="11"/>
      <c r="P1458" s="11"/>
      <c r="Q1458" s="11"/>
      <c r="R1458" s="11"/>
      <c r="S1458" s="11"/>
      <c r="T1458" s="11"/>
      <c r="U1458" s="11"/>
      <c r="V1458" s="11"/>
      <c r="W1458" s="11"/>
    </row>
    <row r="1459" spans="2:23" x14ac:dyDescent="0.35">
      <c r="B1459"/>
      <c r="C1459"/>
      <c r="D1459"/>
      <c r="E1459"/>
      <c r="F1459"/>
      <c r="G1459"/>
      <c r="H1459"/>
      <c r="I1459"/>
      <c r="J1459"/>
      <c r="K1459"/>
      <c r="L1459" s="11"/>
      <c r="M1459"/>
      <c r="N1459" s="3"/>
      <c r="O1459" s="11"/>
      <c r="P1459" s="11"/>
      <c r="Q1459" s="11"/>
      <c r="R1459" s="11"/>
      <c r="S1459" s="11"/>
      <c r="T1459" s="11"/>
      <c r="U1459" s="11"/>
      <c r="V1459" s="11"/>
      <c r="W1459" s="11"/>
    </row>
    <row r="1460" spans="2:23" x14ac:dyDescent="0.35">
      <c r="B1460"/>
      <c r="C1460"/>
      <c r="D1460"/>
      <c r="E1460"/>
      <c r="F1460"/>
      <c r="G1460"/>
      <c r="H1460"/>
      <c r="I1460"/>
      <c r="J1460"/>
      <c r="K1460"/>
      <c r="L1460" s="11"/>
      <c r="M1460"/>
      <c r="N1460" s="3"/>
      <c r="O1460" s="11"/>
      <c r="P1460" s="11"/>
      <c r="Q1460" s="11"/>
      <c r="R1460" s="11"/>
      <c r="S1460" s="11"/>
      <c r="T1460" s="11"/>
      <c r="U1460" s="11"/>
      <c r="V1460" s="11"/>
      <c r="W1460" s="11"/>
    </row>
    <row r="1461" spans="2:23" x14ac:dyDescent="0.35">
      <c r="B1461"/>
      <c r="C1461"/>
      <c r="D1461"/>
      <c r="E1461"/>
      <c r="F1461"/>
      <c r="G1461"/>
      <c r="H1461"/>
      <c r="I1461"/>
      <c r="J1461"/>
      <c r="K1461"/>
      <c r="L1461" s="11"/>
      <c r="M1461"/>
      <c r="N1461" s="3"/>
      <c r="O1461" s="11"/>
      <c r="P1461" s="11"/>
      <c r="Q1461" s="11"/>
      <c r="R1461" s="11"/>
      <c r="S1461" s="11"/>
      <c r="T1461" s="11"/>
      <c r="U1461" s="11"/>
      <c r="V1461" s="11"/>
      <c r="W1461" s="11"/>
    </row>
    <row r="1462" spans="2:23" x14ac:dyDescent="0.35">
      <c r="B1462"/>
      <c r="C1462"/>
      <c r="D1462"/>
      <c r="E1462"/>
      <c r="F1462"/>
      <c r="G1462"/>
      <c r="H1462"/>
      <c r="I1462"/>
      <c r="J1462"/>
      <c r="K1462"/>
      <c r="L1462" s="11"/>
      <c r="M1462"/>
      <c r="N1462" s="3"/>
      <c r="O1462" s="11"/>
      <c r="P1462" s="11"/>
      <c r="Q1462" s="11"/>
      <c r="R1462" s="11"/>
      <c r="S1462" s="11"/>
      <c r="T1462" s="11"/>
      <c r="U1462" s="11"/>
      <c r="V1462" s="11"/>
      <c r="W1462" s="11"/>
    </row>
    <row r="1463" spans="2:23" x14ac:dyDescent="0.35">
      <c r="B1463"/>
      <c r="C1463"/>
      <c r="D1463"/>
      <c r="E1463"/>
      <c r="F1463"/>
      <c r="G1463"/>
      <c r="H1463"/>
      <c r="I1463"/>
      <c r="J1463"/>
      <c r="K1463"/>
      <c r="L1463" s="11"/>
      <c r="M1463"/>
      <c r="N1463" s="3"/>
      <c r="O1463" s="11"/>
      <c r="P1463" s="11"/>
      <c r="Q1463" s="11"/>
      <c r="R1463" s="11"/>
      <c r="S1463" s="11"/>
      <c r="T1463" s="11"/>
      <c r="U1463" s="11"/>
      <c r="V1463" s="11"/>
      <c r="W1463" s="11"/>
    </row>
    <row r="1464" spans="2:23" x14ac:dyDescent="0.35">
      <c r="B1464"/>
      <c r="C1464"/>
      <c r="D1464"/>
      <c r="E1464"/>
      <c r="F1464"/>
      <c r="G1464"/>
      <c r="H1464"/>
      <c r="I1464"/>
      <c r="J1464"/>
      <c r="K1464"/>
      <c r="L1464" s="11"/>
      <c r="M1464"/>
      <c r="N1464" s="3"/>
      <c r="O1464" s="11"/>
      <c r="P1464" s="11"/>
      <c r="Q1464" s="11"/>
      <c r="R1464" s="11"/>
      <c r="S1464" s="11"/>
      <c r="T1464" s="11"/>
      <c r="U1464" s="11"/>
      <c r="V1464" s="11"/>
      <c r="W1464" s="11"/>
    </row>
    <row r="1465" spans="2:23" x14ac:dyDescent="0.35">
      <c r="B1465"/>
      <c r="C1465"/>
      <c r="D1465"/>
      <c r="E1465"/>
      <c r="F1465"/>
      <c r="G1465"/>
      <c r="H1465"/>
      <c r="I1465"/>
      <c r="J1465"/>
      <c r="K1465"/>
      <c r="L1465" s="11"/>
      <c r="M1465"/>
      <c r="N1465" s="3"/>
      <c r="O1465" s="11"/>
      <c r="P1465" s="11"/>
      <c r="Q1465" s="11"/>
      <c r="R1465" s="11"/>
      <c r="S1465" s="11"/>
      <c r="T1465" s="11"/>
      <c r="U1465" s="11"/>
      <c r="V1465" s="11"/>
      <c r="W1465" s="11"/>
    </row>
    <row r="1466" spans="2:23" x14ac:dyDescent="0.35">
      <c r="B1466"/>
      <c r="C1466"/>
      <c r="D1466"/>
      <c r="E1466"/>
      <c r="F1466"/>
      <c r="G1466"/>
      <c r="H1466"/>
      <c r="I1466"/>
      <c r="J1466"/>
      <c r="K1466"/>
      <c r="L1466" s="11"/>
      <c r="M1466"/>
      <c r="N1466" s="3"/>
      <c r="O1466" s="11"/>
      <c r="P1466" s="11"/>
      <c r="Q1466" s="11"/>
      <c r="R1466" s="11"/>
      <c r="S1466" s="11"/>
      <c r="T1466" s="11"/>
      <c r="U1466" s="11"/>
      <c r="V1466" s="11"/>
      <c r="W1466" s="11"/>
    </row>
    <row r="1467" spans="2:23" x14ac:dyDescent="0.35">
      <c r="B1467"/>
      <c r="C1467"/>
      <c r="D1467"/>
      <c r="E1467"/>
      <c r="F1467"/>
      <c r="G1467"/>
      <c r="H1467"/>
      <c r="I1467"/>
      <c r="J1467"/>
      <c r="K1467"/>
      <c r="L1467" s="11"/>
      <c r="M1467"/>
      <c r="N1467" s="3"/>
      <c r="O1467" s="11"/>
      <c r="P1467" s="11"/>
      <c r="Q1467" s="11"/>
      <c r="R1467" s="11"/>
      <c r="S1467" s="11"/>
      <c r="T1467" s="11"/>
      <c r="U1467" s="11"/>
      <c r="V1467" s="11"/>
      <c r="W1467" s="11"/>
    </row>
    <row r="1468" spans="2:23" x14ac:dyDescent="0.35">
      <c r="B1468"/>
      <c r="C1468"/>
      <c r="D1468"/>
      <c r="E1468"/>
      <c r="F1468"/>
      <c r="G1468"/>
      <c r="H1468"/>
      <c r="I1468"/>
      <c r="J1468"/>
      <c r="K1468"/>
      <c r="L1468" s="11"/>
      <c r="M1468"/>
      <c r="N1468" s="3"/>
      <c r="O1468" s="11"/>
      <c r="P1468" s="11"/>
      <c r="Q1468" s="11"/>
      <c r="R1468" s="11"/>
      <c r="S1468" s="11"/>
      <c r="T1468" s="11"/>
      <c r="U1468" s="11"/>
      <c r="V1468" s="11"/>
      <c r="W1468" s="11"/>
    </row>
    <row r="1469" spans="2:23" x14ac:dyDescent="0.35">
      <c r="B1469"/>
      <c r="C1469"/>
      <c r="D1469"/>
      <c r="E1469"/>
      <c r="F1469"/>
      <c r="G1469"/>
      <c r="H1469"/>
      <c r="I1469"/>
      <c r="J1469"/>
      <c r="K1469"/>
      <c r="L1469" s="11"/>
      <c r="M1469"/>
      <c r="N1469" s="3"/>
      <c r="O1469" s="11"/>
      <c r="P1469" s="11"/>
      <c r="Q1469" s="11"/>
      <c r="R1469" s="11"/>
      <c r="S1469" s="11"/>
      <c r="T1469" s="11"/>
      <c r="U1469" s="11"/>
      <c r="V1469" s="11"/>
      <c r="W1469" s="11"/>
    </row>
    <row r="1470" spans="2:23" x14ac:dyDescent="0.35">
      <c r="B1470"/>
      <c r="C1470"/>
      <c r="D1470"/>
      <c r="E1470"/>
      <c r="F1470"/>
      <c r="G1470"/>
      <c r="H1470"/>
      <c r="I1470"/>
      <c r="J1470"/>
      <c r="K1470"/>
      <c r="L1470" s="11"/>
      <c r="M1470"/>
      <c r="N1470" s="3"/>
      <c r="O1470" s="11"/>
      <c r="P1470" s="11"/>
      <c r="Q1470" s="11"/>
      <c r="R1470" s="11"/>
      <c r="S1470" s="11"/>
      <c r="T1470" s="11"/>
      <c r="U1470" s="11"/>
      <c r="V1470" s="11"/>
      <c r="W1470" s="11"/>
    </row>
    <row r="1471" spans="2:23" x14ac:dyDescent="0.35">
      <c r="B1471"/>
      <c r="C1471"/>
      <c r="D1471"/>
      <c r="E1471"/>
      <c r="F1471"/>
      <c r="G1471"/>
      <c r="H1471"/>
      <c r="I1471"/>
      <c r="J1471"/>
      <c r="K1471"/>
      <c r="L1471" s="11"/>
      <c r="M1471"/>
      <c r="N1471" s="3"/>
      <c r="O1471" s="11"/>
      <c r="P1471" s="11"/>
      <c r="Q1471" s="11"/>
      <c r="R1471" s="11"/>
      <c r="S1471" s="11"/>
      <c r="T1471" s="11"/>
      <c r="U1471" s="11"/>
      <c r="V1471" s="11"/>
      <c r="W1471" s="11"/>
    </row>
    <row r="1472" spans="2:23" x14ac:dyDescent="0.35">
      <c r="B1472"/>
      <c r="C1472"/>
      <c r="D1472"/>
      <c r="E1472"/>
      <c r="F1472"/>
      <c r="G1472"/>
      <c r="H1472"/>
      <c r="I1472"/>
      <c r="J1472"/>
      <c r="K1472"/>
      <c r="L1472" s="11"/>
      <c r="M1472"/>
      <c r="N1472" s="3"/>
      <c r="O1472" s="11"/>
      <c r="P1472" s="11"/>
      <c r="Q1472" s="11"/>
      <c r="R1472" s="11"/>
      <c r="S1472" s="11"/>
      <c r="T1472" s="11"/>
      <c r="U1472" s="11"/>
      <c r="V1472" s="11"/>
      <c r="W1472" s="11"/>
    </row>
    <row r="1473" spans="2:23" x14ac:dyDescent="0.35">
      <c r="B1473"/>
      <c r="C1473"/>
      <c r="D1473"/>
      <c r="E1473"/>
      <c r="F1473"/>
      <c r="G1473"/>
      <c r="H1473"/>
      <c r="I1473"/>
      <c r="J1473"/>
      <c r="K1473"/>
      <c r="L1473" s="11"/>
      <c r="M1473"/>
      <c r="N1473" s="3"/>
      <c r="O1473" s="11"/>
      <c r="P1473" s="11"/>
      <c r="Q1473" s="11"/>
      <c r="R1473" s="11"/>
      <c r="S1473" s="11"/>
      <c r="T1473" s="11"/>
      <c r="U1473" s="11"/>
      <c r="V1473" s="11"/>
      <c r="W1473" s="11"/>
    </row>
    <row r="1474" spans="2:23" x14ac:dyDescent="0.35">
      <c r="B1474"/>
      <c r="C1474"/>
      <c r="D1474"/>
      <c r="E1474"/>
      <c r="F1474"/>
      <c r="G1474"/>
      <c r="H1474"/>
      <c r="I1474"/>
      <c r="J1474"/>
      <c r="K1474"/>
      <c r="L1474" s="11"/>
      <c r="M1474"/>
      <c r="N1474" s="3"/>
      <c r="O1474" s="11"/>
      <c r="P1474" s="11"/>
      <c r="Q1474" s="11"/>
      <c r="R1474" s="11"/>
      <c r="S1474" s="11"/>
      <c r="T1474" s="11"/>
      <c r="U1474" s="11"/>
      <c r="V1474" s="11"/>
      <c r="W1474" s="11"/>
    </row>
    <row r="1475" spans="2:23" x14ac:dyDescent="0.35">
      <c r="B1475"/>
      <c r="C1475"/>
      <c r="D1475"/>
      <c r="E1475"/>
      <c r="F1475"/>
      <c r="G1475"/>
      <c r="H1475"/>
      <c r="I1475"/>
      <c r="J1475"/>
      <c r="K1475"/>
      <c r="L1475" s="11"/>
      <c r="M1475"/>
      <c r="N1475" s="3"/>
      <c r="O1475" s="11"/>
      <c r="P1475" s="11"/>
      <c r="Q1475" s="11"/>
      <c r="R1475" s="11"/>
      <c r="S1475" s="11"/>
      <c r="T1475" s="11"/>
      <c r="U1475" s="11"/>
      <c r="V1475" s="11"/>
      <c r="W1475" s="11"/>
    </row>
    <row r="1476" spans="2:23" x14ac:dyDescent="0.35">
      <c r="B1476"/>
      <c r="C1476"/>
      <c r="D1476"/>
      <c r="E1476"/>
      <c r="F1476"/>
      <c r="G1476"/>
      <c r="H1476"/>
      <c r="I1476"/>
      <c r="J1476"/>
      <c r="K1476"/>
      <c r="L1476" s="11"/>
      <c r="M1476"/>
      <c r="N1476" s="3"/>
      <c r="O1476" s="11"/>
      <c r="P1476" s="11"/>
      <c r="Q1476" s="11"/>
      <c r="R1476" s="11"/>
      <c r="S1476" s="11"/>
      <c r="T1476" s="11"/>
      <c r="U1476" s="11"/>
      <c r="V1476" s="11"/>
      <c r="W1476" s="11"/>
    </row>
    <row r="1477" spans="2:23" x14ac:dyDescent="0.35">
      <c r="B1477"/>
      <c r="C1477"/>
      <c r="D1477"/>
      <c r="E1477"/>
      <c r="F1477"/>
      <c r="G1477"/>
      <c r="H1477"/>
      <c r="I1477"/>
      <c r="J1477"/>
      <c r="K1477"/>
      <c r="L1477" s="11"/>
      <c r="M1477"/>
      <c r="N1477" s="3"/>
      <c r="O1477" s="11"/>
      <c r="P1477" s="11"/>
      <c r="Q1477" s="11"/>
      <c r="R1477" s="11"/>
      <c r="S1477" s="11"/>
      <c r="T1477" s="11"/>
      <c r="U1477" s="11"/>
      <c r="V1477" s="11"/>
      <c r="W1477" s="11"/>
    </row>
    <row r="1478" spans="2:23" x14ac:dyDescent="0.35">
      <c r="B1478"/>
      <c r="C1478"/>
      <c r="D1478"/>
      <c r="E1478"/>
      <c r="F1478"/>
      <c r="G1478"/>
      <c r="H1478"/>
      <c r="I1478"/>
      <c r="J1478"/>
      <c r="K1478"/>
      <c r="L1478" s="11"/>
      <c r="M1478"/>
      <c r="N1478" s="3"/>
      <c r="O1478" s="11"/>
      <c r="P1478" s="11"/>
      <c r="Q1478" s="11"/>
      <c r="R1478" s="11"/>
      <c r="S1478" s="11"/>
      <c r="T1478" s="11"/>
      <c r="U1478" s="11"/>
      <c r="V1478" s="11"/>
      <c r="W1478" s="11"/>
    </row>
    <row r="1479" spans="2:23" x14ac:dyDescent="0.35">
      <c r="B1479"/>
      <c r="C1479"/>
      <c r="D1479"/>
      <c r="E1479"/>
      <c r="F1479"/>
      <c r="G1479"/>
      <c r="H1479"/>
      <c r="I1479"/>
      <c r="J1479"/>
      <c r="K1479"/>
      <c r="L1479" s="11"/>
      <c r="M1479"/>
      <c r="N1479" s="3"/>
      <c r="O1479" s="11"/>
      <c r="P1479" s="11"/>
      <c r="Q1479" s="11"/>
      <c r="R1479" s="11"/>
      <c r="S1479" s="11"/>
      <c r="T1479" s="11"/>
      <c r="U1479" s="11"/>
      <c r="V1479" s="11"/>
      <c r="W1479" s="11"/>
    </row>
    <row r="1480" spans="2:23" x14ac:dyDescent="0.35">
      <c r="B1480"/>
      <c r="C1480"/>
      <c r="D1480"/>
      <c r="E1480"/>
      <c r="F1480"/>
      <c r="G1480"/>
      <c r="H1480"/>
      <c r="I1480"/>
      <c r="J1480"/>
      <c r="K1480"/>
      <c r="L1480" s="11"/>
      <c r="M1480"/>
      <c r="N1480" s="3"/>
      <c r="O1480" s="11"/>
      <c r="P1480" s="11"/>
      <c r="Q1480" s="11"/>
      <c r="R1480" s="11"/>
      <c r="S1480" s="11"/>
      <c r="T1480" s="11"/>
      <c r="U1480" s="11"/>
      <c r="V1480" s="11"/>
      <c r="W1480" s="11"/>
    </row>
    <row r="1481" spans="2:23" x14ac:dyDescent="0.35">
      <c r="B1481"/>
      <c r="C1481"/>
      <c r="D1481"/>
      <c r="E1481"/>
      <c r="F1481"/>
      <c r="G1481"/>
      <c r="H1481"/>
      <c r="I1481"/>
      <c r="J1481"/>
      <c r="K1481"/>
      <c r="L1481" s="11"/>
      <c r="M1481"/>
      <c r="N1481" s="3"/>
      <c r="O1481" s="11"/>
      <c r="P1481" s="11"/>
      <c r="Q1481" s="11"/>
      <c r="R1481" s="11"/>
      <c r="S1481" s="11"/>
      <c r="T1481" s="11"/>
      <c r="U1481" s="11"/>
      <c r="V1481" s="11"/>
      <c r="W1481" s="11"/>
    </row>
    <row r="1482" spans="2:23" x14ac:dyDescent="0.35">
      <c r="B1482"/>
      <c r="C1482"/>
      <c r="D1482"/>
      <c r="E1482"/>
      <c r="F1482"/>
      <c r="G1482"/>
      <c r="H1482"/>
      <c r="I1482"/>
      <c r="J1482"/>
      <c r="K1482"/>
      <c r="L1482" s="11"/>
      <c r="M1482"/>
      <c r="N1482" s="3"/>
      <c r="O1482" s="11"/>
      <c r="P1482" s="11"/>
      <c r="Q1482" s="11"/>
      <c r="R1482" s="11"/>
      <c r="S1482" s="11"/>
      <c r="T1482" s="11"/>
      <c r="U1482" s="11"/>
      <c r="V1482" s="11"/>
      <c r="W1482" s="11"/>
    </row>
    <row r="1483" spans="2:23" x14ac:dyDescent="0.35">
      <c r="B1483"/>
      <c r="C1483"/>
      <c r="D1483"/>
      <c r="E1483"/>
      <c r="F1483"/>
      <c r="G1483"/>
      <c r="H1483"/>
      <c r="I1483"/>
      <c r="J1483"/>
      <c r="K1483"/>
      <c r="L1483" s="11"/>
      <c r="M1483"/>
      <c r="N1483" s="3"/>
      <c r="O1483" s="11"/>
      <c r="P1483" s="11"/>
      <c r="Q1483" s="11"/>
      <c r="R1483" s="11"/>
      <c r="S1483" s="11"/>
      <c r="T1483" s="11"/>
      <c r="U1483" s="11"/>
      <c r="V1483" s="11"/>
      <c r="W1483" s="11"/>
    </row>
    <row r="1484" spans="2:23" x14ac:dyDescent="0.35">
      <c r="B1484"/>
      <c r="C1484"/>
      <c r="D1484"/>
      <c r="E1484"/>
      <c r="F1484"/>
      <c r="G1484"/>
      <c r="H1484"/>
      <c r="I1484"/>
      <c r="J1484"/>
      <c r="K1484"/>
      <c r="L1484" s="11"/>
      <c r="M1484"/>
      <c r="N1484" s="3"/>
      <c r="O1484" s="11"/>
      <c r="P1484" s="11"/>
      <c r="Q1484" s="11"/>
      <c r="R1484" s="11"/>
      <c r="S1484" s="11"/>
      <c r="T1484" s="11"/>
      <c r="U1484" s="11"/>
      <c r="V1484" s="11"/>
      <c r="W1484" s="11"/>
    </row>
    <row r="1485" spans="2:23" x14ac:dyDescent="0.35">
      <c r="B1485"/>
      <c r="C1485"/>
      <c r="D1485"/>
      <c r="E1485"/>
      <c r="F1485"/>
      <c r="G1485"/>
      <c r="H1485"/>
      <c r="I1485"/>
      <c r="J1485"/>
      <c r="K1485"/>
      <c r="L1485" s="11"/>
      <c r="M1485"/>
      <c r="N1485" s="3"/>
      <c r="O1485" s="11"/>
      <c r="P1485" s="11"/>
      <c r="Q1485" s="11"/>
      <c r="R1485" s="11"/>
      <c r="S1485" s="11"/>
      <c r="T1485" s="11"/>
      <c r="U1485" s="11"/>
      <c r="V1485" s="11"/>
      <c r="W1485" s="11"/>
    </row>
    <row r="1486" spans="2:23" x14ac:dyDescent="0.35">
      <c r="B1486"/>
      <c r="C1486"/>
      <c r="D1486"/>
      <c r="E1486"/>
      <c r="F1486"/>
      <c r="G1486"/>
      <c r="H1486"/>
      <c r="I1486"/>
      <c r="J1486"/>
      <c r="K1486"/>
      <c r="L1486" s="11"/>
      <c r="M1486"/>
      <c r="N1486" s="3"/>
      <c r="O1486" s="11"/>
      <c r="P1486" s="11"/>
      <c r="Q1486" s="11"/>
      <c r="R1486" s="11"/>
      <c r="S1486" s="11"/>
      <c r="T1486" s="11"/>
      <c r="U1486" s="11"/>
      <c r="V1486" s="11"/>
      <c r="W1486" s="11"/>
    </row>
    <row r="1487" spans="2:23" x14ac:dyDescent="0.35">
      <c r="B1487"/>
      <c r="C1487"/>
      <c r="D1487"/>
      <c r="E1487"/>
      <c r="F1487"/>
      <c r="G1487"/>
      <c r="H1487"/>
      <c r="I1487"/>
      <c r="J1487"/>
      <c r="K1487"/>
      <c r="L1487" s="11"/>
      <c r="M1487"/>
      <c r="N1487" s="3"/>
      <c r="O1487" s="11"/>
      <c r="P1487" s="11"/>
      <c r="Q1487" s="11"/>
      <c r="R1487" s="11"/>
      <c r="S1487" s="11"/>
      <c r="T1487" s="11"/>
      <c r="U1487" s="11"/>
      <c r="V1487" s="11"/>
      <c r="W1487" s="11"/>
    </row>
    <row r="1488" spans="2:23" x14ac:dyDescent="0.35">
      <c r="B1488"/>
      <c r="C1488"/>
      <c r="D1488"/>
      <c r="E1488"/>
      <c r="F1488"/>
      <c r="G1488"/>
      <c r="H1488"/>
      <c r="I1488"/>
      <c r="J1488"/>
      <c r="K1488"/>
      <c r="L1488" s="11"/>
      <c r="M1488"/>
      <c r="N1488" s="3"/>
      <c r="O1488" s="11"/>
      <c r="P1488" s="11"/>
      <c r="Q1488" s="11"/>
      <c r="R1488" s="11"/>
      <c r="S1488" s="11"/>
      <c r="T1488" s="11"/>
      <c r="U1488" s="11"/>
      <c r="V1488" s="11"/>
      <c r="W1488" s="11"/>
    </row>
    <row r="1489" spans="2:23" x14ac:dyDescent="0.35">
      <c r="B1489"/>
      <c r="C1489"/>
      <c r="D1489"/>
      <c r="E1489"/>
      <c r="F1489"/>
      <c r="G1489"/>
      <c r="H1489"/>
      <c r="I1489"/>
      <c r="J1489"/>
      <c r="K1489"/>
      <c r="L1489" s="11"/>
      <c r="M1489"/>
      <c r="N1489" s="3"/>
      <c r="O1489" s="11"/>
      <c r="P1489" s="11"/>
      <c r="Q1489" s="11"/>
      <c r="R1489" s="11"/>
      <c r="S1489" s="11"/>
      <c r="T1489" s="11"/>
      <c r="U1489" s="11"/>
      <c r="V1489" s="11"/>
      <c r="W1489" s="11"/>
    </row>
    <row r="1490" spans="2:23" x14ac:dyDescent="0.35">
      <c r="B1490"/>
      <c r="C1490"/>
      <c r="D1490"/>
      <c r="E1490"/>
      <c r="F1490"/>
      <c r="G1490"/>
      <c r="H1490"/>
      <c r="I1490"/>
      <c r="J1490"/>
      <c r="K1490"/>
      <c r="L1490" s="11"/>
      <c r="M1490"/>
      <c r="N1490" s="3"/>
      <c r="O1490" s="11"/>
      <c r="P1490" s="11"/>
      <c r="Q1490" s="11"/>
      <c r="R1490" s="11"/>
      <c r="S1490" s="11"/>
      <c r="T1490" s="11"/>
      <c r="U1490" s="11"/>
      <c r="V1490" s="11"/>
      <c r="W1490" s="11"/>
    </row>
    <row r="1491" spans="2:23" x14ac:dyDescent="0.35">
      <c r="B1491"/>
      <c r="C1491"/>
      <c r="D1491"/>
      <c r="E1491"/>
      <c r="F1491"/>
      <c r="G1491"/>
      <c r="H1491"/>
      <c r="I1491"/>
      <c r="J1491"/>
      <c r="K1491"/>
      <c r="L1491" s="11"/>
      <c r="M1491"/>
      <c r="N1491" s="3"/>
      <c r="O1491" s="11"/>
      <c r="P1491" s="11"/>
      <c r="Q1491" s="11"/>
      <c r="R1491" s="11"/>
      <c r="S1491" s="11"/>
      <c r="T1491" s="11"/>
      <c r="U1491" s="11"/>
      <c r="V1491" s="11"/>
      <c r="W1491" s="11"/>
    </row>
    <row r="1492" spans="2:23" x14ac:dyDescent="0.35">
      <c r="B1492"/>
      <c r="C1492"/>
      <c r="D1492"/>
      <c r="E1492"/>
      <c r="F1492"/>
      <c r="G1492"/>
      <c r="H1492"/>
      <c r="I1492"/>
      <c r="J1492"/>
      <c r="K1492"/>
      <c r="L1492" s="11"/>
      <c r="M1492"/>
      <c r="N1492" s="3"/>
      <c r="O1492" s="11"/>
      <c r="P1492" s="11"/>
      <c r="Q1492" s="11"/>
      <c r="R1492" s="11"/>
      <c r="S1492" s="11"/>
      <c r="T1492" s="11"/>
      <c r="U1492" s="11"/>
      <c r="V1492" s="11"/>
      <c r="W1492" s="11"/>
    </row>
    <row r="1493" spans="2:23" x14ac:dyDescent="0.35">
      <c r="B1493"/>
      <c r="C1493"/>
      <c r="D1493"/>
      <c r="E1493"/>
      <c r="F1493"/>
      <c r="G1493"/>
      <c r="H1493"/>
      <c r="I1493"/>
      <c r="J1493"/>
      <c r="K1493"/>
      <c r="L1493" s="11"/>
      <c r="M1493"/>
      <c r="N1493" s="3"/>
      <c r="O1493" s="11"/>
      <c r="P1493" s="11"/>
      <c r="Q1493" s="11"/>
      <c r="R1493" s="11"/>
      <c r="S1493" s="11"/>
      <c r="T1493" s="11"/>
      <c r="U1493" s="11"/>
      <c r="V1493" s="11"/>
      <c r="W1493" s="11"/>
    </row>
    <row r="1494" spans="2:23" x14ac:dyDescent="0.35">
      <c r="B1494"/>
      <c r="C1494"/>
      <c r="D1494"/>
      <c r="E1494"/>
      <c r="F1494"/>
      <c r="G1494"/>
      <c r="H1494"/>
      <c r="I1494"/>
      <c r="J1494"/>
      <c r="K1494"/>
      <c r="L1494" s="11"/>
      <c r="M1494"/>
      <c r="N1494" s="3"/>
      <c r="O1494" s="11"/>
      <c r="P1494" s="11"/>
      <c r="Q1494" s="11"/>
      <c r="R1494" s="11"/>
      <c r="S1494" s="11"/>
      <c r="T1494" s="11"/>
      <c r="U1494" s="11"/>
      <c r="V1494" s="11"/>
      <c r="W1494" s="11"/>
    </row>
    <row r="1495" spans="2:23" x14ac:dyDescent="0.35">
      <c r="B1495"/>
      <c r="C1495"/>
      <c r="D1495"/>
      <c r="E1495"/>
      <c r="F1495"/>
      <c r="G1495"/>
      <c r="H1495"/>
      <c r="I1495"/>
      <c r="J1495"/>
      <c r="K1495"/>
      <c r="L1495" s="11"/>
      <c r="M1495"/>
      <c r="N1495" s="3"/>
      <c r="O1495" s="11"/>
      <c r="P1495" s="11"/>
      <c r="Q1495" s="11"/>
      <c r="R1495" s="11"/>
      <c r="S1495" s="11"/>
      <c r="T1495" s="11"/>
      <c r="U1495" s="11"/>
      <c r="V1495" s="11"/>
      <c r="W1495" s="11"/>
    </row>
    <row r="1496" spans="2:23" x14ac:dyDescent="0.35">
      <c r="B1496"/>
      <c r="C1496"/>
      <c r="D1496"/>
      <c r="E1496"/>
      <c r="F1496"/>
      <c r="G1496"/>
      <c r="H1496"/>
      <c r="I1496"/>
      <c r="J1496"/>
      <c r="K1496"/>
      <c r="L1496" s="11"/>
      <c r="M1496"/>
      <c r="N1496" s="3"/>
      <c r="O1496" s="11"/>
      <c r="P1496" s="11"/>
      <c r="Q1496" s="11"/>
      <c r="R1496" s="11"/>
      <c r="S1496" s="11"/>
      <c r="T1496" s="11"/>
      <c r="U1496" s="11"/>
      <c r="V1496" s="11"/>
      <c r="W1496" s="11"/>
    </row>
    <row r="1497" spans="2:23" x14ac:dyDescent="0.35">
      <c r="B1497"/>
      <c r="C1497"/>
      <c r="D1497"/>
      <c r="E1497"/>
      <c r="F1497"/>
      <c r="G1497"/>
      <c r="H1497"/>
      <c r="I1497"/>
      <c r="J1497"/>
      <c r="K1497"/>
      <c r="L1497" s="11"/>
      <c r="M1497"/>
      <c r="N1497" s="3"/>
      <c r="O1497" s="11"/>
      <c r="P1497" s="11"/>
      <c r="Q1497" s="11"/>
      <c r="R1497" s="11"/>
      <c r="S1497" s="11"/>
      <c r="T1497" s="11"/>
      <c r="U1497" s="11"/>
      <c r="V1497" s="11"/>
      <c r="W1497" s="11"/>
    </row>
    <row r="1498" spans="2:23" x14ac:dyDescent="0.35">
      <c r="B1498"/>
      <c r="C1498"/>
      <c r="D1498"/>
      <c r="E1498"/>
      <c r="F1498"/>
      <c r="G1498"/>
      <c r="H1498"/>
      <c r="I1498"/>
      <c r="J1498"/>
      <c r="K1498"/>
      <c r="L1498" s="11"/>
      <c r="M1498"/>
      <c r="N1498" s="3"/>
      <c r="O1498" s="11"/>
      <c r="P1498" s="11"/>
      <c r="Q1498" s="11"/>
      <c r="R1498" s="11"/>
      <c r="S1498" s="11"/>
      <c r="T1498" s="11"/>
      <c r="U1498" s="11"/>
      <c r="V1498" s="11"/>
      <c r="W1498" s="11"/>
    </row>
    <row r="1499" spans="2:23" x14ac:dyDescent="0.35">
      <c r="B1499"/>
      <c r="C1499"/>
      <c r="D1499"/>
      <c r="E1499"/>
      <c r="F1499"/>
      <c r="G1499"/>
      <c r="H1499"/>
      <c r="I1499"/>
      <c r="J1499"/>
      <c r="K1499"/>
      <c r="L1499" s="11"/>
      <c r="M1499"/>
      <c r="N1499" s="3"/>
      <c r="O1499" s="11"/>
      <c r="P1499" s="11"/>
      <c r="Q1499" s="11"/>
      <c r="R1499" s="11"/>
      <c r="S1499" s="11"/>
      <c r="T1499" s="11"/>
      <c r="U1499" s="11"/>
      <c r="V1499" s="11"/>
      <c r="W1499" s="11"/>
    </row>
    <row r="1500" spans="2:23" x14ac:dyDescent="0.35">
      <c r="B1500"/>
      <c r="C1500"/>
      <c r="D1500"/>
      <c r="E1500"/>
      <c r="F1500"/>
      <c r="G1500"/>
      <c r="H1500"/>
      <c r="I1500"/>
      <c r="J1500"/>
      <c r="K1500"/>
      <c r="L1500" s="11"/>
      <c r="M1500"/>
      <c r="N1500" s="3"/>
      <c r="O1500" s="11"/>
      <c r="P1500" s="11"/>
      <c r="Q1500" s="11"/>
      <c r="R1500" s="11"/>
      <c r="S1500" s="11"/>
      <c r="T1500" s="11"/>
      <c r="U1500" s="11"/>
      <c r="V1500" s="11"/>
      <c r="W1500" s="11"/>
    </row>
    <row r="1501" spans="2:23" x14ac:dyDescent="0.35">
      <c r="B1501"/>
      <c r="C1501"/>
      <c r="D1501"/>
      <c r="E1501"/>
      <c r="F1501"/>
      <c r="G1501"/>
      <c r="H1501"/>
      <c r="I1501"/>
      <c r="J1501"/>
      <c r="K1501"/>
      <c r="L1501" s="11"/>
      <c r="M1501"/>
      <c r="N1501" s="3"/>
      <c r="O1501" s="11"/>
      <c r="P1501" s="11"/>
      <c r="Q1501" s="11"/>
      <c r="R1501" s="11"/>
      <c r="S1501" s="11"/>
      <c r="T1501" s="11"/>
      <c r="U1501" s="11"/>
      <c r="V1501" s="11"/>
      <c r="W1501" s="11"/>
    </row>
    <row r="1502" spans="2:23" x14ac:dyDescent="0.35">
      <c r="B1502"/>
      <c r="C1502"/>
      <c r="D1502"/>
      <c r="E1502"/>
      <c r="F1502"/>
      <c r="G1502"/>
      <c r="H1502"/>
      <c r="I1502"/>
      <c r="J1502"/>
      <c r="K1502"/>
      <c r="L1502" s="11"/>
      <c r="M1502"/>
      <c r="N1502" s="3"/>
      <c r="O1502" s="11"/>
      <c r="P1502" s="11"/>
      <c r="Q1502" s="11"/>
      <c r="R1502" s="11"/>
      <c r="S1502" s="11"/>
      <c r="T1502" s="11"/>
      <c r="U1502" s="11"/>
      <c r="V1502" s="11"/>
      <c r="W1502" s="11"/>
    </row>
    <row r="1503" spans="2:23" x14ac:dyDescent="0.35">
      <c r="B1503"/>
      <c r="C1503"/>
      <c r="D1503"/>
      <c r="E1503"/>
      <c r="F1503"/>
      <c r="G1503"/>
      <c r="H1503"/>
      <c r="I1503"/>
      <c r="J1503"/>
      <c r="K1503"/>
      <c r="L1503" s="11"/>
      <c r="M1503"/>
      <c r="N1503" s="3"/>
      <c r="O1503" s="11"/>
      <c r="P1503" s="11"/>
      <c r="Q1503" s="11"/>
      <c r="R1503" s="11"/>
      <c r="S1503" s="11"/>
      <c r="T1503" s="11"/>
      <c r="U1503" s="11"/>
      <c r="V1503" s="11"/>
      <c r="W1503" s="11"/>
    </row>
    <row r="1504" spans="2:23" x14ac:dyDescent="0.35">
      <c r="B1504"/>
      <c r="C1504"/>
      <c r="D1504"/>
      <c r="E1504"/>
      <c r="F1504"/>
      <c r="G1504"/>
      <c r="H1504"/>
      <c r="I1504"/>
      <c r="J1504"/>
      <c r="K1504"/>
      <c r="L1504" s="11"/>
      <c r="M1504"/>
      <c r="N1504" s="3"/>
      <c r="O1504" s="11"/>
      <c r="P1504" s="11"/>
      <c r="Q1504" s="11"/>
      <c r="R1504" s="11"/>
      <c r="S1504" s="11"/>
      <c r="T1504" s="11"/>
      <c r="U1504" s="11"/>
      <c r="V1504" s="11"/>
      <c r="W1504" s="11"/>
    </row>
    <row r="1505" spans="2:23" x14ac:dyDescent="0.35">
      <c r="B1505"/>
      <c r="C1505"/>
      <c r="D1505"/>
      <c r="E1505"/>
      <c r="F1505"/>
      <c r="G1505"/>
      <c r="H1505"/>
      <c r="I1505"/>
      <c r="J1505"/>
      <c r="K1505"/>
      <c r="L1505" s="11"/>
      <c r="M1505"/>
      <c r="N1505" s="3"/>
      <c r="O1505" s="11"/>
      <c r="P1505" s="11"/>
      <c r="Q1505" s="11"/>
      <c r="R1505" s="11"/>
      <c r="S1505" s="11"/>
      <c r="T1505" s="11"/>
      <c r="U1505" s="11"/>
      <c r="V1505" s="11"/>
      <c r="W1505" s="11"/>
    </row>
    <row r="1506" spans="2:23" x14ac:dyDescent="0.35">
      <c r="B1506"/>
      <c r="C1506"/>
      <c r="D1506"/>
      <c r="E1506"/>
      <c r="F1506"/>
      <c r="G1506"/>
      <c r="H1506"/>
      <c r="I1506"/>
      <c r="J1506"/>
      <c r="K1506"/>
      <c r="L1506" s="11"/>
      <c r="M1506"/>
      <c r="N1506" s="3"/>
      <c r="O1506" s="11"/>
      <c r="P1506" s="11"/>
      <c r="Q1506" s="11"/>
      <c r="R1506" s="11"/>
      <c r="S1506" s="11"/>
      <c r="T1506" s="11"/>
      <c r="U1506" s="11"/>
      <c r="V1506" s="11"/>
      <c r="W1506" s="11"/>
    </row>
    <row r="1507" spans="2:23" x14ac:dyDescent="0.35">
      <c r="B1507"/>
      <c r="C1507"/>
      <c r="D1507"/>
      <c r="E1507"/>
      <c r="F1507"/>
      <c r="G1507"/>
      <c r="H1507"/>
      <c r="I1507"/>
      <c r="J1507"/>
      <c r="K1507"/>
      <c r="L1507" s="11"/>
      <c r="M1507"/>
      <c r="N1507" s="3"/>
      <c r="O1507" s="11"/>
      <c r="P1507" s="11"/>
      <c r="Q1507" s="11"/>
      <c r="R1507" s="11"/>
      <c r="S1507" s="11"/>
      <c r="T1507" s="11"/>
      <c r="U1507" s="11"/>
      <c r="V1507" s="11"/>
      <c r="W1507" s="11"/>
    </row>
    <row r="1508" spans="2:23" x14ac:dyDescent="0.35">
      <c r="B1508"/>
      <c r="C1508"/>
      <c r="D1508"/>
      <c r="E1508"/>
      <c r="F1508"/>
      <c r="G1508"/>
      <c r="H1508"/>
      <c r="I1508"/>
      <c r="J1508"/>
      <c r="K1508"/>
      <c r="L1508" s="11"/>
      <c r="M1508"/>
      <c r="N1508" s="3"/>
      <c r="O1508" s="11"/>
      <c r="P1508" s="11"/>
      <c r="Q1508" s="11"/>
      <c r="R1508" s="11"/>
      <c r="S1508" s="11"/>
      <c r="T1508" s="11"/>
      <c r="U1508" s="11"/>
      <c r="V1508" s="11"/>
      <c r="W1508" s="11"/>
    </row>
    <row r="1509" spans="2:23" x14ac:dyDescent="0.35">
      <c r="B1509"/>
      <c r="C1509"/>
      <c r="D1509"/>
      <c r="E1509"/>
      <c r="F1509"/>
      <c r="G1509"/>
      <c r="H1509"/>
      <c r="I1509"/>
      <c r="J1509"/>
      <c r="K1509"/>
      <c r="L1509" s="11"/>
      <c r="M1509"/>
      <c r="N1509" s="3"/>
      <c r="O1509" s="11"/>
      <c r="P1509" s="11"/>
      <c r="Q1509" s="11"/>
      <c r="R1509" s="11"/>
      <c r="S1509" s="11"/>
      <c r="T1509" s="11"/>
      <c r="U1509" s="11"/>
      <c r="V1509" s="11"/>
      <c r="W1509" s="11"/>
    </row>
    <row r="1510" spans="2:23" x14ac:dyDescent="0.35">
      <c r="B1510"/>
      <c r="C1510"/>
      <c r="D1510"/>
      <c r="E1510"/>
      <c r="F1510"/>
      <c r="G1510"/>
      <c r="H1510"/>
      <c r="I1510"/>
      <c r="J1510"/>
      <c r="K1510"/>
      <c r="L1510" s="11"/>
      <c r="M1510"/>
      <c r="N1510" s="3"/>
      <c r="O1510" s="11"/>
      <c r="P1510" s="11"/>
      <c r="Q1510" s="11"/>
      <c r="R1510" s="11"/>
      <c r="S1510" s="11"/>
      <c r="T1510" s="11"/>
      <c r="U1510" s="11"/>
      <c r="V1510" s="11"/>
      <c r="W1510" s="11"/>
    </row>
    <row r="1511" spans="2:23" x14ac:dyDescent="0.35">
      <c r="B1511"/>
      <c r="C1511"/>
      <c r="D1511"/>
      <c r="E1511"/>
      <c r="F1511"/>
      <c r="G1511"/>
      <c r="H1511"/>
      <c r="I1511"/>
      <c r="J1511"/>
      <c r="K1511"/>
      <c r="L1511" s="11"/>
      <c r="M1511"/>
      <c r="N1511" s="3"/>
      <c r="O1511" s="11"/>
      <c r="P1511" s="11"/>
      <c r="Q1511" s="11"/>
      <c r="R1511" s="11"/>
      <c r="S1511" s="11"/>
      <c r="T1511" s="11"/>
      <c r="U1511" s="11"/>
      <c r="V1511" s="11"/>
      <c r="W1511" s="11"/>
    </row>
    <row r="1512" spans="2:23" x14ac:dyDescent="0.35">
      <c r="B1512"/>
      <c r="C1512"/>
      <c r="D1512"/>
      <c r="E1512"/>
      <c r="F1512"/>
      <c r="G1512"/>
      <c r="H1512"/>
      <c r="I1512"/>
      <c r="J1512"/>
      <c r="K1512"/>
      <c r="L1512" s="11"/>
      <c r="M1512"/>
      <c r="N1512" s="3"/>
      <c r="O1512" s="11"/>
      <c r="P1512" s="11"/>
      <c r="Q1512" s="11"/>
      <c r="R1512" s="11"/>
      <c r="S1512" s="11"/>
      <c r="T1512" s="11"/>
      <c r="U1512" s="11"/>
      <c r="V1512" s="11"/>
      <c r="W1512" s="11"/>
    </row>
    <row r="1513" spans="2:23" x14ac:dyDescent="0.35">
      <c r="B1513"/>
      <c r="C1513"/>
      <c r="D1513"/>
      <c r="E1513"/>
      <c r="F1513"/>
      <c r="G1513"/>
      <c r="H1513"/>
      <c r="I1513"/>
      <c r="J1513"/>
      <c r="K1513"/>
      <c r="L1513" s="11"/>
      <c r="M1513"/>
      <c r="N1513" s="3"/>
      <c r="O1513" s="11"/>
      <c r="P1513" s="11"/>
      <c r="Q1513" s="11"/>
      <c r="R1513" s="11"/>
      <c r="S1513" s="11"/>
      <c r="T1513" s="11"/>
      <c r="U1513" s="11"/>
      <c r="V1513" s="11"/>
      <c r="W1513" s="11"/>
    </row>
    <row r="1514" spans="2:23" x14ac:dyDescent="0.35">
      <c r="B1514"/>
      <c r="C1514"/>
      <c r="D1514"/>
      <c r="E1514"/>
      <c r="F1514"/>
      <c r="G1514"/>
      <c r="H1514"/>
      <c r="I1514"/>
      <c r="J1514"/>
      <c r="K1514"/>
      <c r="L1514" s="11"/>
      <c r="M1514"/>
      <c r="N1514" s="3"/>
      <c r="O1514" s="11"/>
      <c r="P1514" s="11"/>
      <c r="Q1514" s="11"/>
      <c r="R1514" s="11"/>
      <c r="S1514" s="11"/>
      <c r="T1514" s="11"/>
      <c r="U1514" s="11"/>
      <c r="V1514" s="11"/>
      <c r="W1514" s="11"/>
    </row>
    <row r="1515" spans="2:23" x14ac:dyDescent="0.35">
      <c r="B1515"/>
      <c r="C1515"/>
      <c r="D1515"/>
      <c r="E1515"/>
      <c r="F1515"/>
      <c r="G1515"/>
      <c r="H1515"/>
      <c r="I1515"/>
      <c r="J1515"/>
      <c r="K1515"/>
      <c r="L1515" s="11"/>
      <c r="M1515"/>
      <c r="N1515" s="3"/>
      <c r="O1515" s="11"/>
      <c r="P1515" s="11"/>
      <c r="Q1515" s="11"/>
      <c r="R1515" s="11"/>
      <c r="S1515" s="11"/>
      <c r="T1515" s="11"/>
      <c r="U1515" s="11"/>
      <c r="V1515" s="11"/>
      <c r="W1515" s="11"/>
    </row>
    <row r="1516" spans="2:23" x14ac:dyDescent="0.35">
      <c r="B1516"/>
      <c r="C1516"/>
      <c r="D1516"/>
      <c r="E1516"/>
      <c r="F1516"/>
      <c r="G1516"/>
      <c r="H1516"/>
      <c r="I1516"/>
      <c r="J1516"/>
      <c r="K1516"/>
      <c r="L1516" s="11"/>
      <c r="M1516"/>
      <c r="N1516" s="3"/>
      <c r="O1516" s="11"/>
      <c r="P1516" s="11"/>
      <c r="Q1516" s="11"/>
      <c r="R1516" s="11"/>
      <c r="S1516" s="11"/>
      <c r="T1516" s="11"/>
      <c r="U1516" s="11"/>
      <c r="V1516" s="11"/>
      <c r="W1516" s="11"/>
    </row>
    <row r="1517" spans="2:23" x14ac:dyDescent="0.35">
      <c r="B1517"/>
      <c r="C1517"/>
      <c r="D1517"/>
      <c r="E1517"/>
      <c r="F1517"/>
      <c r="G1517"/>
      <c r="H1517"/>
      <c r="I1517"/>
      <c r="J1517"/>
      <c r="K1517"/>
      <c r="L1517" s="11"/>
      <c r="M1517"/>
      <c r="N1517" s="3"/>
      <c r="O1517" s="11"/>
      <c r="P1517" s="11"/>
      <c r="Q1517" s="11"/>
      <c r="R1517" s="11"/>
      <c r="S1517" s="11"/>
      <c r="T1517" s="11"/>
      <c r="U1517" s="11"/>
      <c r="V1517" s="11"/>
      <c r="W1517" s="11"/>
    </row>
    <row r="1518" spans="2:23" x14ac:dyDescent="0.35">
      <c r="B1518"/>
      <c r="C1518"/>
      <c r="D1518"/>
      <c r="E1518"/>
      <c r="F1518"/>
      <c r="G1518"/>
      <c r="H1518"/>
      <c r="I1518"/>
      <c r="J1518"/>
      <c r="K1518"/>
      <c r="L1518" s="11"/>
      <c r="M1518"/>
      <c r="N1518" s="3"/>
      <c r="O1518" s="11"/>
      <c r="P1518" s="11"/>
      <c r="Q1518" s="11"/>
      <c r="R1518" s="11"/>
      <c r="S1518" s="11"/>
      <c r="T1518" s="11"/>
      <c r="U1518" s="11"/>
      <c r="V1518" s="11"/>
      <c r="W1518" s="11"/>
    </row>
    <row r="1519" spans="2:23" x14ac:dyDescent="0.35">
      <c r="B1519"/>
      <c r="C1519"/>
      <c r="D1519"/>
      <c r="E1519"/>
      <c r="F1519"/>
      <c r="G1519"/>
      <c r="H1519"/>
      <c r="I1519"/>
      <c r="J1519"/>
      <c r="K1519"/>
      <c r="L1519" s="11"/>
      <c r="M1519"/>
      <c r="N1519" s="3"/>
      <c r="O1519" s="11"/>
      <c r="P1519" s="11"/>
      <c r="Q1519" s="11"/>
      <c r="R1519" s="11"/>
      <c r="S1519" s="11"/>
      <c r="T1519" s="11"/>
      <c r="U1519" s="11"/>
      <c r="V1519" s="11"/>
      <c r="W1519" s="11"/>
    </row>
    <row r="1520" spans="2:23" x14ac:dyDescent="0.35">
      <c r="B1520"/>
      <c r="C1520"/>
      <c r="D1520"/>
      <c r="E1520"/>
      <c r="F1520"/>
      <c r="G1520"/>
      <c r="H1520"/>
      <c r="I1520"/>
      <c r="J1520"/>
      <c r="K1520"/>
      <c r="L1520" s="11"/>
      <c r="M1520"/>
      <c r="N1520" s="3"/>
      <c r="O1520" s="11"/>
      <c r="P1520" s="11"/>
      <c r="Q1520" s="11"/>
      <c r="R1520" s="11"/>
      <c r="S1520" s="11"/>
      <c r="T1520" s="11"/>
      <c r="U1520" s="11"/>
      <c r="V1520" s="11"/>
      <c r="W1520" s="11"/>
    </row>
    <row r="1521" spans="2:23" x14ac:dyDescent="0.35">
      <c r="B1521"/>
      <c r="C1521"/>
      <c r="D1521"/>
      <c r="E1521"/>
      <c r="F1521"/>
      <c r="G1521"/>
      <c r="H1521"/>
      <c r="I1521"/>
      <c r="J1521"/>
      <c r="K1521"/>
      <c r="L1521" s="11"/>
      <c r="M1521"/>
      <c r="N1521" s="3"/>
      <c r="O1521" s="11"/>
      <c r="P1521" s="11"/>
      <c r="Q1521" s="11"/>
      <c r="R1521" s="11"/>
      <c r="S1521" s="11"/>
      <c r="T1521" s="11"/>
      <c r="U1521" s="11"/>
      <c r="V1521" s="11"/>
      <c r="W1521" s="11"/>
    </row>
    <row r="1522" spans="2:23" x14ac:dyDescent="0.35">
      <c r="B1522"/>
      <c r="C1522"/>
      <c r="D1522"/>
      <c r="E1522"/>
      <c r="F1522"/>
      <c r="G1522"/>
      <c r="H1522"/>
      <c r="I1522"/>
      <c r="J1522"/>
      <c r="K1522"/>
      <c r="L1522" s="11"/>
      <c r="M1522"/>
      <c r="N1522" s="3"/>
      <c r="O1522" s="11"/>
      <c r="P1522" s="11"/>
      <c r="Q1522" s="11"/>
      <c r="R1522" s="11"/>
      <c r="S1522" s="11"/>
      <c r="T1522" s="11"/>
      <c r="U1522" s="11"/>
      <c r="V1522" s="11"/>
      <c r="W1522" s="11"/>
    </row>
    <row r="1523" spans="2:23" x14ac:dyDescent="0.35">
      <c r="B1523"/>
      <c r="C1523"/>
      <c r="D1523"/>
      <c r="E1523"/>
      <c r="F1523"/>
      <c r="G1523"/>
      <c r="H1523"/>
      <c r="I1523"/>
      <c r="J1523"/>
      <c r="K1523"/>
      <c r="L1523" s="11"/>
      <c r="M1523"/>
      <c r="N1523" s="3"/>
      <c r="O1523" s="11"/>
      <c r="P1523" s="11"/>
      <c r="Q1523" s="11"/>
      <c r="R1523" s="11"/>
      <c r="S1523" s="11"/>
      <c r="T1523" s="11"/>
      <c r="U1523" s="11"/>
      <c r="V1523" s="11"/>
      <c r="W1523" s="11"/>
    </row>
    <row r="1524" spans="2:23" x14ac:dyDescent="0.35">
      <c r="B1524"/>
      <c r="C1524"/>
      <c r="D1524"/>
      <c r="E1524"/>
      <c r="F1524"/>
      <c r="G1524"/>
      <c r="H1524"/>
      <c r="I1524"/>
      <c r="J1524"/>
      <c r="K1524"/>
      <c r="L1524" s="11"/>
      <c r="M1524"/>
      <c r="N1524" s="3"/>
      <c r="O1524" s="11"/>
      <c r="P1524" s="11"/>
      <c r="Q1524" s="11"/>
      <c r="R1524" s="11"/>
      <c r="S1524" s="11"/>
      <c r="T1524" s="11"/>
      <c r="U1524" s="11"/>
      <c r="V1524" s="11"/>
      <c r="W1524" s="11"/>
    </row>
    <row r="1525" spans="2:23" x14ac:dyDescent="0.35">
      <c r="B1525"/>
      <c r="C1525"/>
      <c r="D1525"/>
      <c r="E1525"/>
      <c r="F1525"/>
      <c r="G1525"/>
      <c r="H1525"/>
      <c r="I1525"/>
      <c r="J1525"/>
      <c r="K1525"/>
      <c r="L1525" s="11"/>
      <c r="M1525"/>
      <c r="N1525" s="3"/>
      <c r="O1525" s="11"/>
      <c r="P1525" s="11"/>
      <c r="Q1525" s="11"/>
      <c r="R1525" s="11"/>
      <c r="S1525" s="11"/>
      <c r="T1525" s="11"/>
      <c r="U1525" s="11"/>
      <c r="V1525" s="11"/>
      <c r="W1525" s="11"/>
    </row>
    <row r="1526" spans="2:23" x14ac:dyDescent="0.35">
      <c r="B1526"/>
      <c r="C1526"/>
      <c r="D1526"/>
      <c r="E1526"/>
      <c r="F1526"/>
      <c r="G1526"/>
      <c r="H1526"/>
      <c r="I1526"/>
      <c r="J1526"/>
      <c r="K1526"/>
      <c r="L1526" s="11"/>
      <c r="M1526"/>
      <c r="N1526" s="3"/>
      <c r="O1526" s="11"/>
      <c r="P1526" s="11"/>
      <c r="Q1526" s="11"/>
      <c r="R1526" s="11"/>
      <c r="S1526" s="11"/>
      <c r="T1526" s="11"/>
      <c r="U1526" s="11"/>
      <c r="V1526" s="11"/>
      <c r="W1526" s="11"/>
    </row>
    <row r="1527" spans="2:23" x14ac:dyDescent="0.35">
      <c r="B1527"/>
      <c r="C1527"/>
      <c r="D1527"/>
      <c r="E1527"/>
      <c r="F1527"/>
      <c r="G1527"/>
      <c r="H1527"/>
      <c r="I1527"/>
      <c r="J1527"/>
      <c r="K1527"/>
      <c r="L1527" s="11"/>
      <c r="M1527"/>
      <c r="N1527" s="3"/>
      <c r="O1527" s="11"/>
      <c r="P1527" s="11"/>
      <c r="Q1527" s="11"/>
      <c r="R1527" s="11"/>
      <c r="S1527" s="11"/>
      <c r="T1527" s="11"/>
      <c r="U1527" s="11"/>
      <c r="V1527" s="11"/>
      <c r="W1527" s="11"/>
    </row>
    <row r="1528" spans="2:23" x14ac:dyDescent="0.35">
      <c r="B1528"/>
      <c r="C1528"/>
      <c r="D1528"/>
      <c r="E1528"/>
      <c r="F1528"/>
      <c r="G1528"/>
      <c r="H1528"/>
      <c r="I1528"/>
      <c r="J1528"/>
      <c r="K1528"/>
      <c r="L1528" s="11"/>
      <c r="M1528"/>
      <c r="N1528" s="3"/>
      <c r="O1528" s="11"/>
      <c r="P1528" s="11"/>
      <c r="Q1528" s="11"/>
      <c r="R1528" s="11"/>
      <c r="S1528" s="11"/>
      <c r="T1528" s="11"/>
      <c r="U1528" s="11"/>
      <c r="V1528" s="11"/>
      <c r="W1528" s="11"/>
    </row>
    <row r="1529" spans="2:23" x14ac:dyDescent="0.35">
      <c r="B1529"/>
      <c r="C1529"/>
      <c r="D1529"/>
      <c r="E1529"/>
      <c r="F1529"/>
      <c r="G1529"/>
      <c r="H1529"/>
      <c r="I1529"/>
      <c r="J1529"/>
      <c r="K1529"/>
      <c r="L1529" s="11"/>
      <c r="M1529"/>
      <c r="N1529" s="3"/>
      <c r="O1529" s="11"/>
      <c r="P1529" s="11"/>
      <c r="Q1529" s="11"/>
      <c r="R1529" s="11"/>
      <c r="S1529" s="11"/>
      <c r="T1529" s="11"/>
      <c r="U1529" s="11"/>
      <c r="V1529" s="11"/>
      <c r="W1529" s="11"/>
    </row>
    <row r="1530" spans="2:23" x14ac:dyDescent="0.35">
      <c r="B1530"/>
      <c r="C1530"/>
      <c r="D1530"/>
      <c r="E1530"/>
      <c r="F1530"/>
      <c r="G1530"/>
      <c r="H1530"/>
      <c r="I1530"/>
      <c r="J1530"/>
      <c r="K1530"/>
      <c r="L1530" s="11"/>
      <c r="M1530"/>
      <c r="N1530" s="3"/>
      <c r="O1530" s="11"/>
      <c r="P1530" s="11"/>
      <c r="Q1530" s="11"/>
      <c r="R1530" s="11"/>
      <c r="S1530" s="11"/>
      <c r="T1530" s="11"/>
      <c r="U1530" s="11"/>
      <c r="V1530" s="11"/>
      <c r="W1530" s="11"/>
    </row>
    <row r="1531" spans="2:23" x14ac:dyDescent="0.35">
      <c r="B1531"/>
      <c r="C1531"/>
      <c r="D1531"/>
      <c r="E1531"/>
      <c r="F1531"/>
      <c r="G1531"/>
      <c r="H1531"/>
      <c r="I1531"/>
      <c r="J1531"/>
      <c r="K1531"/>
      <c r="L1531" s="11"/>
      <c r="M1531"/>
      <c r="N1531" s="3"/>
      <c r="O1531" s="11"/>
      <c r="P1531" s="11"/>
      <c r="Q1531" s="11"/>
      <c r="R1531" s="11"/>
      <c r="S1531" s="11"/>
      <c r="T1531" s="11"/>
      <c r="U1531" s="11"/>
      <c r="V1531" s="11"/>
      <c r="W1531" s="11"/>
    </row>
    <row r="1532" spans="2:23" x14ac:dyDescent="0.35">
      <c r="B1532"/>
      <c r="C1532"/>
      <c r="D1532"/>
      <c r="E1532"/>
      <c r="F1532"/>
      <c r="G1532"/>
      <c r="H1532"/>
      <c r="I1532"/>
      <c r="J1532"/>
      <c r="K1532"/>
      <c r="L1532" s="11"/>
      <c r="M1532"/>
      <c r="N1532" s="3"/>
      <c r="O1532" s="11"/>
      <c r="P1532" s="11"/>
      <c r="Q1532" s="11"/>
      <c r="R1532" s="11"/>
      <c r="S1532" s="11"/>
      <c r="T1532" s="11"/>
      <c r="U1532" s="11"/>
      <c r="V1532" s="11"/>
      <c r="W1532" s="11"/>
    </row>
    <row r="1533" spans="2:23" x14ac:dyDescent="0.35">
      <c r="B1533"/>
      <c r="C1533"/>
      <c r="D1533"/>
      <c r="E1533"/>
      <c r="F1533"/>
      <c r="G1533"/>
      <c r="H1533"/>
      <c r="I1533"/>
      <c r="J1533"/>
      <c r="K1533"/>
      <c r="L1533" s="11"/>
      <c r="M1533"/>
      <c r="N1533" s="3"/>
      <c r="O1533" s="11"/>
      <c r="P1533" s="11"/>
      <c r="Q1533" s="11"/>
      <c r="R1533" s="11"/>
      <c r="S1533" s="11"/>
      <c r="T1533" s="11"/>
      <c r="U1533" s="11"/>
      <c r="V1533" s="11"/>
      <c r="W1533" s="11"/>
    </row>
    <row r="1534" spans="2:23" x14ac:dyDescent="0.35">
      <c r="B1534"/>
      <c r="C1534"/>
      <c r="D1534"/>
      <c r="E1534"/>
      <c r="F1534"/>
      <c r="G1534"/>
      <c r="H1534"/>
      <c r="I1534"/>
      <c r="J1534"/>
      <c r="K1534"/>
      <c r="L1534" s="11"/>
      <c r="M1534"/>
      <c r="N1534" s="3"/>
      <c r="O1534" s="11"/>
      <c r="P1534" s="11"/>
      <c r="Q1534" s="11"/>
      <c r="R1534" s="11"/>
      <c r="S1534" s="11"/>
      <c r="T1534" s="11"/>
      <c r="U1534" s="11"/>
      <c r="V1534" s="11"/>
      <c r="W1534" s="11"/>
    </row>
    <row r="1535" spans="2:23" x14ac:dyDescent="0.35">
      <c r="B1535"/>
      <c r="C1535"/>
      <c r="D1535"/>
      <c r="E1535"/>
      <c r="F1535"/>
      <c r="G1535"/>
      <c r="H1535"/>
      <c r="I1535"/>
      <c r="J1535"/>
      <c r="K1535"/>
      <c r="L1535" s="11"/>
      <c r="M1535"/>
      <c r="N1535" s="3"/>
      <c r="O1535" s="11"/>
      <c r="P1535" s="11"/>
      <c r="Q1535" s="11"/>
      <c r="R1535" s="11"/>
      <c r="S1535" s="11"/>
      <c r="T1535" s="11"/>
      <c r="U1535" s="11"/>
      <c r="V1535" s="11"/>
      <c r="W1535" s="11"/>
    </row>
    <row r="1536" spans="2:23" x14ac:dyDescent="0.35">
      <c r="B1536"/>
      <c r="C1536"/>
      <c r="D1536"/>
      <c r="E1536"/>
      <c r="F1536"/>
      <c r="G1536"/>
      <c r="H1536"/>
      <c r="I1536"/>
      <c r="J1536"/>
      <c r="K1536"/>
      <c r="L1536" s="11"/>
      <c r="M1536"/>
      <c r="N1536" s="3"/>
      <c r="O1536" s="11"/>
      <c r="P1536" s="11"/>
      <c r="Q1536" s="11"/>
      <c r="R1536" s="11"/>
      <c r="S1536" s="11"/>
      <c r="T1536" s="11"/>
      <c r="U1536" s="11"/>
      <c r="V1536" s="11"/>
      <c r="W1536" s="11"/>
    </row>
    <row r="1537" spans="2:23" x14ac:dyDescent="0.35">
      <c r="B1537"/>
      <c r="C1537"/>
      <c r="D1537"/>
      <c r="E1537"/>
      <c r="F1537"/>
      <c r="G1537"/>
      <c r="H1537"/>
      <c r="I1537"/>
      <c r="J1537"/>
      <c r="K1537"/>
      <c r="L1537" s="11"/>
      <c r="M1537"/>
      <c r="N1537" s="3"/>
      <c r="O1537" s="11"/>
      <c r="P1537" s="11"/>
      <c r="Q1537" s="11"/>
      <c r="R1537" s="11"/>
      <c r="S1537" s="11"/>
      <c r="T1537" s="11"/>
      <c r="U1537" s="11"/>
      <c r="V1537" s="11"/>
      <c r="W1537" s="11"/>
    </row>
    <row r="1538" spans="2:23" x14ac:dyDescent="0.35">
      <c r="B1538"/>
      <c r="C1538"/>
      <c r="D1538"/>
      <c r="E1538"/>
      <c r="F1538"/>
      <c r="G1538"/>
      <c r="H1538"/>
      <c r="I1538"/>
      <c r="J1538"/>
      <c r="K1538"/>
      <c r="L1538" s="11"/>
      <c r="M1538"/>
      <c r="N1538" s="3"/>
      <c r="O1538" s="11"/>
      <c r="P1538" s="11"/>
      <c r="Q1538" s="11"/>
      <c r="R1538" s="11"/>
      <c r="S1538" s="11"/>
      <c r="T1538" s="11"/>
      <c r="U1538" s="11"/>
      <c r="V1538" s="11"/>
      <c r="W1538" s="11"/>
    </row>
    <row r="1539" spans="2:23" x14ac:dyDescent="0.35">
      <c r="B1539"/>
      <c r="C1539"/>
      <c r="D1539"/>
      <c r="E1539"/>
      <c r="F1539"/>
      <c r="G1539"/>
      <c r="H1539"/>
      <c r="I1539"/>
      <c r="J1539"/>
      <c r="K1539"/>
      <c r="L1539" s="11"/>
      <c r="M1539"/>
      <c r="N1539" s="3"/>
      <c r="O1539" s="11"/>
      <c r="P1539" s="11"/>
      <c r="Q1539" s="11"/>
      <c r="R1539" s="11"/>
      <c r="S1539" s="11"/>
      <c r="T1539" s="11"/>
      <c r="U1539" s="11"/>
      <c r="V1539" s="11"/>
      <c r="W1539" s="11"/>
    </row>
    <row r="1540" spans="2:23" x14ac:dyDescent="0.35">
      <c r="B1540"/>
      <c r="C1540"/>
      <c r="D1540"/>
      <c r="E1540"/>
      <c r="F1540"/>
      <c r="G1540"/>
      <c r="H1540"/>
      <c r="I1540"/>
      <c r="J1540"/>
      <c r="K1540"/>
      <c r="L1540" s="11"/>
      <c r="M1540"/>
      <c r="N1540" s="3"/>
      <c r="O1540" s="11"/>
      <c r="P1540" s="11"/>
      <c r="Q1540" s="11"/>
      <c r="R1540" s="11"/>
      <c r="S1540" s="11"/>
      <c r="T1540" s="11"/>
      <c r="U1540" s="11"/>
      <c r="V1540" s="11"/>
      <c r="W1540" s="11"/>
    </row>
    <row r="1541" spans="2:23" x14ac:dyDescent="0.35">
      <c r="B1541"/>
      <c r="C1541"/>
      <c r="D1541"/>
      <c r="E1541"/>
      <c r="F1541"/>
      <c r="G1541"/>
      <c r="H1541"/>
      <c r="I1541"/>
      <c r="J1541"/>
      <c r="K1541"/>
      <c r="L1541" s="11"/>
      <c r="M1541"/>
      <c r="N1541" s="3"/>
      <c r="O1541" s="11"/>
      <c r="P1541" s="11"/>
      <c r="Q1541" s="11"/>
      <c r="R1541" s="11"/>
      <c r="S1541" s="11"/>
      <c r="T1541" s="11"/>
      <c r="U1541" s="11"/>
      <c r="V1541" s="11"/>
      <c r="W1541" s="11"/>
    </row>
    <row r="1542" spans="2:23" x14ac:dyDescent="0.35">
      <c r="B1542"/>
      <c r="C1542"/>
      <c r="D1542"/>
      <c r="E1542"/>
      <c r="F1542"/>
      <c r="G1542"/>
      <c r="H1542"/>
      <c r="I1542"/>
      <c r="J1542"/>
      <c r="K1542"/>
      <c r="L1542" s="11"/>
      <c r="M1542"/>
      <c r="N1542" s="3"/>
      <c r="O1542" s="11"/>
      <c r="P1542" s="11"/>
      <c r="Q1542" s="11"/>
      <c r="R1542" s="11"/>
      <c r="S1542" s="11"/>
      <c r="T1542" s="11"/>
      <c r="U1542" s="11"/>
      <c r="V1542" s="11"/>
      <c r="W1542" s="11"/>
    </row>
    <row r="1543" spans="2:23" x14ac:dyDescent="0.35">
      <c r="B1543"/>
      <c r="C1543"/>
      <c r="D1543"/>
      <c r="E1543"/>
      <c r="F1543"/>
      <c r="G1543"/>
      <c r="H1543"/>
      <c r="I1543"/>
      <c r="J1543"/>
      <c r="K1543"/>
      <c r="L1543" s="11"/>
      <c r="M1543"/>
      <c r="N1543" s="3"/>
      <c r="O1543" s="11"/>
      <c r="P1543" s="11"/>
      <c r="Q1543" s="11"/>
      <c r="R1543" s="11"/>
      <c r="S1543" s="11"/>
      <c r="T1543" s="11"/>
      <c r="U1543" s="11"/>
      <c r="V1543" s="11"/>
      <c r="W1543" s="11"/>
    </row>
    <row r="1544" spans="2:23" x14ac:dyDescent="0.35">
      <c r="B1544"/>
      <c r="C1544"/>
      <c r="D1544"/>
      <c r="E1544"/>
      <c r="F1544"/>
      <c r="G1544"/>
      <c r="H1544"/>
      <c r="I1544"/>
      <c r="J1544"/>
      <c r="K1544"/>
      <c r="L1544" s="11"/>
      <c r="M1544"/>
      <c r="N1544" s="3"/>
      <c r="O1544" s="11"/>
      <c r="P1544" s="11"/>
      <c r="Q1544" s="11"/>
      <c r="R1544" s="11"/>
      <c r="S1544" s="11"/>
      <c r="T1544" s="11"/>
      <c r="U1544" s="11"/>
      <c r="V1544" s="11"/>
      <c r="W1544" s="11"/>
    </row>
    <row r="1545" spans="2:23" x14ac:dyDescent="0.35">
      <c r="B1545"/>
      <c r="C1545"/>
      <c r="D1545"/>
      <c r="E1545"/>
      <c r="F1545"/>
      <c r="G1545"/>
      <c r="H1545"/>
      <c r="I1545"/>
      <c r="J1545"/>
      <c r="K1545"/>
      <c r="L1545" s="11"/>
      <c r="M1545"/>
      <c r="N1545" s="3"/>
      <c r="O1545" s="11"/>
      <c r="P1545" s="11"/>
      <c r="Q1545" s="11"/>
      <c r="R1545" s="11"/>
      <c r="S1545" s="11"/>
      <c r="T1545" s="11"/>
      <c r="U1545" s="11"/>
      <c r="V1545" s="11"/>
      <c r="W1545" s="11"/>
    </row>
    <row r="1546" spans="2:23" x14ac:dyDescent="0.35">
      <c r="B1546"/>
      <c r="C1546"/>
      <c r="D1546"/>
      <c r="E1546"/>
      <c r="F1546"/>
      <c r="G1546"/>
      <c r="H1546"/>
      <c r="I1546"/>
      <c r="J1546"/>
      <c r="K1546"/>
      <c r="L1546" s="11"/>
      <c r="M1546"/>
      <c r="N1546" s="3"/>
      <c r="O1546" s="11"/>
      <c r="P1546" s="11"/>
      <c r="Q1546" s="11"/>
      <c r="R1546" s="11"/>
      <c r="S1546" s="11"/>
      <c r="T1546" s="11"/>
      <c r="U1546" s="11"/>
      <c r="V1546" s="11"/>
      <c r="W1546" s="11"/>
    </row>
    <row r="1547" spans="2:23" x14ac:dyDescent="0.35">
      <c r="B1547"/>
      <c r="C1547"/>
      <c r="D1547"/>
      <c r="E1547"/>
      <c r="F1547"/>
      <c r="G1547"/>
      <c r="H1547"/>
      <c r="I1547"/>
      <c r="J1547"/>
      <c r="K1547"/>
      <c r="L1547" s="11"/>
      <c r="M1547"/>
      <c r="N1547" s="3"/>
      <c r="O1547" s="11"/>
      <c r="P1547" s="11"/>
      <c r="Q1547" s="11"/>
      <c r="R1547" s="11"/>
      <c r="S1547" s="11"/>
      <c r="T1547" s="11"/>
      <c r="U1547" s="11"/>
      <c r="V1547" s="11"/>
      <c r="W1547" s="11"/>
    </row>
    <row r="1548" spans="2:23" x14ac:dyDescent="0.35">
      <c r="B1548"/>
      <c r="C1548"/>
      <c r="D1548"/>
      <c r="E1548"/>
      <c r="F1548"/>
      <c r="G1548"/>
      <c r="H1548"/>
      <c r="I1548"/>
      <c r="J1548"/>
      <c r="K1548"/>
      <c r="L1548" s="11"/>
      <c r="M1548"/>
      <c r="N1548" s="3"/>
      <c r="O1548" s="11"/>
      <c r="P1548" s="11"/>
      <c r="Q1548" s="11"/>
      <c r="R1548" s="11"/>
      <c r="S1548" s="11"/>
      <c r="T1548" s="11"/>
      <c r="U1548" s="11"/>
      <c r="V1548" s="11"/>
      <c r="W1548" s="11"/>
    </row>
    <row r="1549" spans="2:23" x14ac:dyDescent="0.35">
      <c r="B1549"/>
      <c r="C1549"/>
      <c r="D1549"/>
      <c r="E1549"/>
      <c r="F1549"/>
      <c r="G1549"/>
      <c r="H1549"/>
      <c r="I1549"/>
      <c r="J1549"/>
      <c r="K1549"/>
      <c r="L1549" s="11"/>
      <c r="M1549"/>
      <c r="N1549" s="3"/>
      <c r="O1549" s="11"/>
      <c r="P1549" s="11"/>
      <c r="Q1549" s="11"/>
      <c r="R1549" s="11"/>
      <c r="S1549" s="11"/>
      <c r="T1549" s="11"/>
      <c r="U1549" s="11"/>
      <c r="V1549" s="11"/>
      <c r="W1549" s="11"/>
    </row>
    <row r="1550" spans="2:23" x14ac:dyDescent="0.35">
      <c r="B1550"/>
      <c r="C1550"/>
      <c r="D1550"/>
      <c r="E1550"/>
      <c r="F1550"/>
      <c r="G1550"/>
      <c r="H1550"/>
      <c r="I1550"/>
      <c r="J1550"/>
      <c r="K1550"/>
      <c r="L1550" s="11"/>
      <c r="M1550"/>
      <c r="N1550" s="3"/>
      <c r="O1550" s="11"/>
      <c r="P1550" s="11"/>
      <c r="Q1550" s="11"/>
      <c r="R1550" s="11"/>
      <c r="S1550" s="11"/>
      <c r="T1550" s="11"/>
      <c r="U1550" s="11"/>
      <c r="V1550" s="11"/>
      <c r="W1550" s="11"/>
    </row>
    <row r="1551" spans="2:23" x14ac:dyDescent="0.35">
      <c r="B1551"/>
      <c r="C1551"/>
      <c r="D1551"/>
      <c r="E1551"/>
      <c r="F1551"/>
      <c r="G1551"/>
      <c r="H1551"/>
      <c r="I1551"/>
      <c r="J1551"/>
      <c r="K1551"/>
      <c r="L1551" s="11"/>
      <c r="M1551"/>
      <c r="N1551" s="3"/>
      <c r="O1551" s="11"/>
      <c r="P1551" s="11"/>
      <c r="Q1551" s="11"/>
      <c r="R1551" s="11"/>
      <c r="S1551" s="11"/>
      <c r="T1551" s="11"/>
      <c r="U1551" s="11"/>
      <c r="V1551" s="11"/>
      <c r="W1551" s="11"/>
    </row>
    <row r="1552" spans="2:23" x14ac:dyDescent="0.35">
      <c r="B1552"/>
      <c r="C1552"/>
      <c r="D1552"/>
      <c r="E1552"/>
      <c r="F1552"/>
      <c r="G1552"/>
      <c r="H1552"/>
      <c r="I1552"/>
      <c r="J1552"/>
      <c r="K1552"/>
      <c r="L1552" s="11"/>
      <c r="M1552"/>
      <c r="N1552" s="3"/>
      <c r="O1552" s="11"/>
      <c r="P1552" s="11"/>
      <c r="Q1552" s="11"/>
      <c r="R1552" s="11"/>
      <c r="S1552" s="11"/>
      <c r="T1552" s="11"/>
      <c r="U1552" s="11"/>
      <c r="V1552" s="11"/>
      <c r="W1552" s="11"/>
    </row>
    <row r="1553" spans="2:23" x14ac:dyDescent="0.35">
      <c r="B1553"/>
      <c r="C1553"/>
      <c r="D1553"/>
      <c r="E1553"/>
      <c r="F1553"/>
      <c r="G1553"/>
      <c r="H1553"/>
      <c r="I1553"/>
      <c r="J1553"/>
      <c r="K1553"/>
      <c r="L1553" s="11"/>
      <c r="M1553"/>
      <c r="N1553" s="3"/>
      <c r="O1553" s="11"/>
      <c r="P1553" s="11"/>
      <c r="Q1553" s="11"/>
      <c r="R1553" s="11"/>
      <c r="S1553" s="11"/>
      <c r="T1553" s="11"/>
      <c r="U1553" s="11"/>
      <c r="V1553" s="11"/>
      <c r="W1553" s="11"/>
    </row>
    <row r="1554" spans="2:23" x14ac:dyDescent="0.35">
      <c r="B1554"/>
      <c r="C1554"/>
      <c r="D1554"/>
      <c r="E1554"/>
      <c r="F1554"/>
      <c r="G1554"/>
      <c r="H1554"/>
      <c r="I1554"/>
      <c r="J1554"/>
      <c r="K1554"/>
      <c r="L1554" s="11"/>
      <c r="M1554"/>
      <c r="N1554" s="3"/>
      <c r="O1554" s="11"/>
      <c r="P1554" s="11"/>
      <c r="Q1554" s="11"/>
      <c r="R1554" s="11"/>
      <c r="S1554" s="11"/>
      <c r="T1554" s="11"/>
      <c r="U1554" s="11"/>
      <c r="V1554" s="11"/>
      <c r="W1554" s="11"/>
    </row>
    <row r="1555" spans="2:23" x14ac:dyDescent="0.35">
      <c r="B1555"/>
      <c r="C1555"/>
      <c r="D1555"/>
      <c r="E1555"/>
      <c r="F1555"/>
      <c r="G1555"/>
      <c r="H1555"/>
      <c r="I1555"/>
      <c r="J1555"/>
      <c r="K1555"/>
      <c r="L1555" s="11"/>
      <c r="M1555"/>
      <c r="N1555" s="3"/>
      <c r="O1555" s="11"/>
      <c r="P1555" s="11"/>
      <c r="Q1555" s="11"/>
      <c r="R1555" s="11"/>
      <c r="S1555" s="11"/>
      <c r="T1555" s="11"/>
      <c r="U1555" s="11"/>
      <c r="V1555" s="11"/>
      <c r="W1555" s="11"/>
    </row>
    <row r="1556" spans="2:23" x14ac:dyDescent="0.35">
      <c r="B1556"/>
      <c r="C1556"/>
      <c r="D1556"/>
      <c r="E1556"/>
      <c r="F1556"/>
      <c r="G1556"/>
      <c r="H1556"/>
      <c r="I1556"/>
      <c r="J1556"/>
      <c r="K1556"/>
      <c r="L1556" s="11"/>
      <c r="M1556"/>
      <c r="N1556" s="3"/>
      <c r="O1556" s="11"/>
      <c r="P1556" s="11"/>
      <c r="Q1556" s="11"/>
      <c r="R1556" s="11"/>
      <c r="S1556" s="11"/>
      <c r="T1556" s="11"/>
      <c r="U1556" s="11"/>
      <c r="V1556" s="11"/>
      <c r="W1556" s="11"/>
    </row>
    <row r="1557" spans="2:23" x14ac:dyDescent="0.35">
      <c r="B1557"/>
      <c r="C1557"/>
      <c r="D1557"/>
      <c r="E1557"/>
      <c r="F1557"/>
      <c r="G1557"/>
      <c r="H1557"/>
      <c r="I1557"/>
      <c r="J1557"/>
      <c r="K1557"/>
      <c r="L1557" s="11"/>
      <c r="M1557"/>
      <c r="N1557" s="3"/>
      <c r="O1557" s="11"/>
      <c r="P1557" s="11"/>
      <c r="Q1557" s="11"/>
      <c r="R1557" s="11"/>
      <c r="S1557" s="11"/>
      <c r="T1557" s="11"/>
      <c r="U1557" s="11"/>
      <c r="V1557" s="11"/>
      <c r="W1557" s="11"/>
    </row>
    <row r="1558" spans="2:23" x14ac:dyDescent="0.35">
      <c r="B1558"/>
      <c r="C1558"/>
      <c r="D1558"/>
      <c r="E1558"/>
      <c r="F1558"/>
      <c r="G1558"/>
      <c r="H1558"/>
      <c r="I1558"/>
      <c r="J1558"/>
      <c r="K1558"/>
      <c r="L1558" s="11"/>
      <c r="M1558"/>
      <c r="N1558" s="3"/>
      <c r="O1558" s="11"/>
      <c r="P1558" s="11"/>
      <c r="Q1558" s="11"/>
      <c r="R1558" s="11"/>
      <c r="S1558" s="11"/>
      <c r="T1558" s="11"/>
      <c r="U1558" s="11"/>
      <c r="V1558" s="11"/>
      <c r="W1558" s="11"/>
    </row>
    <row r="1559" spans="2:23" x14ac:dyDescent="0.35">
      <c r="B1559"/>
      <c r="C1559"/>
      <c r="D1559"/>
      <c r="E1559"/>
      <c r="F1559"/>
      <c r="G1559"/>
      <c r="H1559"/>
      <c r="I1559"/>
      <c r="J1559"/>
      <c r="K1559"/>
      <c r="L1559" s="11"/>
      <c r="M1559"/>
      <c r="N1559" s="3"/>
      <c r="O1559" s="11"/>
      <c r="P1559" s="11"/>
      <c r="Q1559" s="11"/>
      <c r="R1559" s="11"/>
      <c r="S1559" s="11"/>
      <c r="T1559" s="11"/>
      <c r="U1559" s="11"/>
      <c r="V1559" s="11"/>
      <c r="W1559" s="11"/>
    </row>
    <row r="1560" spans="2:23" x14ac:dyDescent="0.35">
      <c r="B1560"/>
      <c r="C1560"/>
      <c r="D1560"/>
      <c r="E1560"/>
      <c r="F1560"/>
      <c r="G1560"/>
      <c r="H1560"/>
      <c r="I1560"/>
      <c r="J1560"/>
      <c r="K1560"/>
      <c r="L1560" s="11"/>
      <c r="M1560"/>
      <c r="N1560" s="3"/>
      <c r="O1560" s="11"/>
      <c r="P1560" s="11"/>
      <c r="Q1560" s="11"/>
      <c r="R1560" s="11"/>
      <c r="S1560" s="11"/>
      <c r="T1560" s="11"/>
      <c r="U1560" s="11"/>
      <c r="V1560" s="11"/>
      <c r="W1560" s="11"/>
    </row>
    <row r="1561" spans="2:23" x14ac:dyDescent="0.35">
      <c r="B1561"/>
      <c r="C1561"/>
      <c r="D1561"/>
      <c r="E1561"/>
      <c r="F1561"/>
      <c r="G1561"/>
      <c r="H1561"/>
      <c r="I1561"/>
      <c r="J1561"/>
      <c r="K1561"/>
      <c r="L1561" s="11"/>
      <c r="M1561"/>
      <c r="N1561" s="3"/>
      <c r="O1561" s="11"/>
      <c r="P1561" s="11"/>
      <c r="Q1561" s="11"/>
      <c r="R1561" s="11"/>
      <c r="S1561" s="11"/>
      <c r="T1561" s="11"/>
      <c r="U1561" s="11"/>
      <c r="V1561" s="11"/>
      <c r="W1561" s="11"/>
    </row>
    <row r="1562" spans="2:23" x14ac:dyDescent="0.35">
      <c r="B1562"/>
      <c r="C1562"/>
      <c r="D1562"/>
      <c r="E1562"/>
      <c r="F1562"/>
      <c r="G1562"/>
      <c r="H1562"/>
      <c r="I1562"/>
      <c r="J1562"/>
      <c r="K1562"/>
      <c r="L1562" s="11"/>
      <c r="M1562"/>
      <c r="N1562" s="3"/>
      <c r="O1562" s="11"/>
      <c r="P1562" s="11"/>
      <c r="Q1562" s="11"/>
      <c r="R1562" s="11"/>
      <c r="S1562" s="11"/>
      <c r="T1562" s="11"/>
      <c r="U1562" s="11"/>
      <c r="V1562" s="11"/>
      <c r="W1562" s="11"/>
    </row>
    <row r="1563" spans="2:23" x14ac:dyDescent="0.35">
      <c r="B1563"/>
      <c r="C1563"/>
      <c r="D1563"/>
      <c r="E1563"/>
      <c r="F1563"/>
      <c r="G1563"/>
      <c r="H1563"/>
      <c r="I1563"/>
      <c r="J1563"/>
      <c r="K1563"/>
      <c r="L1563" s="11"/>
      <c r="M1563"/>
      <c r="N1563" s="3"/>
      <c r="O1563" s="11"/>
      <c r="P1563" s="11"/>
      <c r="Q1563" s="11"/>
      <c r="R1563" s="11"/>
      <c r="S1563" s="11"/>
      <c r="T1563" s="11"/>
      <c r="U1563" s="11"/>
      <c r="V1563" s="11"/>
      <c r="W1563" s="11"/>
    </row>
    <row r="1564" spans="2:23" x14ac:dyDescent="0.35">
      <c r="B1564"/>
      <c r="C1564"/>
      <c r="D1564"/>
      <c r="E1564"/>
      <c r="F1564"/>
      <c r="G1564"/>
      <c r="H1564"/>
      <c r="I1564"/>
      <c r="J1564"/>
      <c r="K1564"/>
      <c r="L1564" s="11"/>
      <c r="M1564"/>
      <c r="N1564" s="3"/>
      <c r="O1564" s="11"/>
      <c r="P1564" s="11"/>
      <c r="Q1564" s="11"/>
      <c r="R1564" s="11"/>
      <c r="S1564" s="11"/>
      <c r="T1564" s="11"/>
      <c r="U1564" s="11"/>
      <c r="V1564" s="11"/>
      <c r="W1564" s="11"/>
    </row>
    <row r="1565" spans="2:23" x14ac:dyDescent="0.35">
      <c r="B1565"/>
      <c r="C1565"/>
      <c r="D1565"/>
      <c r="E1565"/>
      <c r="F1565"/>
      <c r="G1565"/>
      <c r="H1565"/>
      <c r="I1565"/>
      <c r="J1565"/>
      <c r="K1565"/>
      <c r="L1565" s="11"/>
      <c r="M1565"/>
      <c r="N1565" s="3"/>
      <c r="O1565" s="11"/>
      <c r="P1565" s="11"/>
      <c r="Q1565" s="11"/>
      <c r="R1565" s="11"/>
      <c r="S1565" s="11"/>
      <c r="T1565" s="11"/>
      <c r="U1565" s="11"/>
      <c r="V1565" s="11"/>
      <c r="W1565" s="11"/>
    </row>
    <row r="1566" spans="2:23" x14ac:dyDescent="0.35">
      <c r="B1566"/>
      <c r="C1566"/>
      <c r="D1566"/>
      <c r="E1566"/>
      <c r="F1566"/>
      <c r="G1566"/>
      <c r="H1566"/>
      <c r="I1566"/>
      <c r="J1566"/>
      <c r="K1566"/>
      <c r="L1566" s="11"/>
      <c r="M1566"/>
      <c r="N1566" s="3"/>
      <c r="O1566" s="11"/>
      <c r="P1566" s="11"/>
      <c r="Q1566" s="11"/>
      <c r="R1566" s="11"/>
      <c r="S1566" s="11"/>
      <c r="T1566" s="11"/>
      <c r="U1566" s="11"/>
      <c r="V1566" s="11"/>
      <c r="W1566" s="11"/>
    </row>
    <row r="1567" spans="2:23" x14ac:dyDescent="0.35">
      <c r="B1567"/>
      <c r="C1567"/>
      <c r="D1567"/>
      <c r="E1567"/>
      <c r="F1567"/>
      <c r="G1567"/>
      <c r="H1567"/>
      <c r="I1567"/>
      <c r="J1567"/>
      <c r="K1567"/>
      <c r="L1567" s="11"/>
      <c r="M1567"/>
      <c r="N1567" s="3"/>
      <c r="O1567" s="11"/>
      <c r="P1567" s="11"/>
      <c r="Q1567" s="11"/>
      <c r="R1567" s="11"/>
      <c r="S1567" s="11"/>
      <c r="T1567" s="11"/>
      <c r="U1567" s="11"/>
      <c r="V1567" s="11"/>
      <c r="W1567" s="11"/>
    </row>
    <row r="1568" spans="2:23" x14ac:dyDescent="0.35">
      <c r="B1568"/>
      <c r="C1568"/>
      <c r="D1568"/>
      <c r="E1568"/>
      <c r="F1568"/>
      <c r="G1568"/>
      <c r="H1568"/>
      <c r="I1568"/>
      <c r="J1568"/>
      <c r="K1568"/>
      <c r="L1568" s="11"/>
      <c r="M1568"/>
      <c r="N1568" s="3"/>
      <c r="O1568" s="11"/>
      <c r="P1568" s="11"/>
      <c r="Q1568" s="11"/>
      <c r="R1568" s="11"/>
      <c r="S1568" s="11"/>
      <c r="T1568" s="11"/>
      <c r="U1568" s="11"/>
      <c r="V1568" s="11"/>
      <c r="W1568" s="11"/>
    </row>
    <row r="1569" spans="2:23" x14ac:dyDescent="0.35">
      <c r="B1569"/>
      <c r="C1569"/>
      <c r="D1569"/>
      <c r="E1569"/>
      <c r="F1569"/>
      <c r="G1569"/>
      <c r="H1569"/>
      <c r="I1569"/>
      <c r="J1569"/>
      <c r="K1569"/>
      <c r="L1569" s="11"/>
      <c r="M1569"/>
      <c r="N1569" s="3"/>
      <c r="O1569" s="11"/>
      <c r="P1569" s="11"/>
      <c r="Q1569" s="11"/>
      <c r="R1569" s="11"/>
      <c r="S1569" s="11"/>
      <c r="T1569" s="11"/>
      <c r="U1569" s="11"/>
      <c r="V1569" s="11"/>
      <c r="W1569" s="11"/>
    </row>
    <row r="1570" spans="2:23" x14ac:dyDescent="0.35">
      <c r="B1570"/>
      <c r="C1570"/>
      <c r="D1570"/>
      <c r="E1570"/>
      <c r="F1570"/>
      <c r="G1570"/>
      <c r="H1570"/>
      <c r="I1570"/>
      <c r="J1570"/>
      <c r="K1570"/>
      <c r="L1570" s="11"/>
      <c r="M1570"/>
      <c r="N1570" s="3"/>
      <c r="O1570" s="11"/>
      <c r="P1570" s="11"/>
      <c r="Q1570" s="11"/>
      <c r="R1570" s="11"/>
      <c r="S1570" s="11"/>
      <c r="T1570" s="11"/>
      <c r="U1570" s="11"/>
      <c r="V1570" s="11"/>
      <c r="W1570" s="11"/>
    </row>
    <row r="1571" spans="2:23" x14ac:dyDescent="0.35">
      <c r="B1571"/>
      <c r="C1571"/>
      <c r="D1571"/>
      <c r="E1571"/>
      <c r="F1571"/>
      <c r="G1571"/>
      <c r="H1571"/>
      <c r="I1571"/>
      <c r="J1571"/>
      <c r="K1571"/>
      <c r="L1571" s="11"/>
      <c r="M1571"/>
      <c r="N1571" s="3"/>
      <c r="O1571" s="11"/>
      <c r="P1571" s="11"/>
      <c r="Q1571" s="11"/>
      <c r="R1571" s="11"/>
      <c r="S1571" s="11"/>
      <c r="T1571" s="11"/>
      <c r="U1571" s="11"/>
      <c r="V1571" s="11"/>
      <c r="W1571" s="11"/>
    </row>
    <row r="1572" spans="2:23" x14ac:dyDescent="0.35">
      <c r="B1572"/>
      <c r="C1572"/>
      <c r="D1572"/>
      <c r="E1572"/>
      <c r="F1572"/>
      <c r="G1572"/>
      <c r="H1572"/>
      <c r="I1572"/>
      <c r="J1572"/>
      <c r="K1572"/>
      <c r="L1572" s="11"/>
      <c r="M1572"/>
      <c r="N1572" s="3"/>
      <c r="O1572" s="11"/>
      <c r="P1572" s="11"/>
      <c r="Q1572" s="11"/>
      <c r="R1572" s="11"/>
      <c r="S1572" s="11"/>
      <c r="T1572" s="11"/>
      <c r="U1572" s="11"/>
      <c r="V1572" s="11"/>
      <c r="W1572" s="11"/>
    </row>
    <row r="1573" spans="2:23" x14ac:dyDescent="0.35">
      <c r="B1573"/>
      <c r="C1573"/>
      <c r="D1573"/>
      <c r="E1573"/>
      <c r="F1573"/>
      <c r="G1573"/>
      <c r="H1573"/>
      <c r="I1573"/>
      <c r="J1573"/>
      <c r="K1573"/>
      <c r="L1573" s="11"/>
      <c r="M1573"/>
      <c r="N1573" s="3"/>
      <c r="O1573" s="11"/>
      <c r="P1573" s="11"/>
      <c r="Q1573" s="11"/>
      <c r="R1573" s="11"/>
      <c r="S1573" s="11"/>
      <c r="T1573" s="11"/>
      <c r="U1573" s="11"/>
      <c r="V1573" s="11"/>
      <c r="W1573" s="11"/>
    </row>
    <row r="1574" spans="2:23" x14ac:dyDescent="0.35">
      <c r="B1574"/>
      <c r="C1574"/>
      <c r="D1574"/>
      <c r="E1574"/>
      <c r="F1574"/>
      <c r="G1574"/>
      <c r="H1574"/>
      <c r="I1574"/>
      <c r="J1574"/>
      <c r="K1574"/>
      <c r="L1574" s="11"/>
      <c r="M1574"/>
      <c r="N1574" s="3"/>
      <c r="O1574" s="11"/>
      <c r="P1574" s="11"/>
      <c r="Q1574" s="11"/>
      <c r="R1574" s="11"/>
      <c r="S1574" s="11"/>
      <c r="T1574" s="11"/>
      <c r="U1574" s="11"/>
      <c r="V1574" s="11"/>
      <c r="W1574" s="11"/>
    </row>
    <row r="1575" spans="2:23" x14ac:dyDescent="0.35">
      <c r="B1575"/>
      <c r="C1575"/>
      <c r="D1575"/>
      <c r="E1575"/>
      <c r="F1575"/>
      <c r="G1575"/>
      <c r="H1575"/>
      <c r="I1575"/>
      <c r="J1575"/>
      <c r="K1575"/>
      <c r="L1575" s="11"/>
      <c r="M1575"/>
      <c r="N1575" s="3"/>
      <c r="O1575" s="11"/>
      <c r="P1575" s="11"/>
      <c r="Q1575" s="11"/>
      <c r="R1575" s="11"/>
      <c r="S1575" s="11"/>
      <c r="T1575" s="11"/>
      <c r="U1575" s="11"/>
      <c r="V1575" s="11"/>
      <c r="W1575" s="11"/>
    </row>
    <row r="1576" spans="2:23" x14ac:dyDescent="0.35">
      <c r="B1576"/>
      <c r="C1576"/>
      <c r="D1576"/>
      <c r="E1576"/>
      <c r="F1576"/>
      <c r="G1576"/>
      <c r="H1576"/>
      <c r="I1576"/>
      <c r="J1576"/>
      <c r="K1576"/>
      <c r="L1576" s="11"/>
      <c r="M1576"/>
      <c r="N1576" s="3"/>
      <c r="O1576" s="11"/>
      <c r="P1576" s="11"/>
      <c r="Q1576" s="11"/>
      <c r="R1576" s="11"/>
      <c r="S1576" s="11"/>
      <c r="T1576" s="11"/>
      <c r="U1576" s="11"/>
      <c r="V1576" s="11"/>
      <c r="W1576" s="11"/>
    </row>
    <row r="1577" spans="2:23" x14ac:dyDescent="0.35">
      <c r="B1577"/>
      <c r="C1577"/>
      <c r="D1577"/>
      <c r="E1577"/>
      <c r="F1577"/>
      <c r="G1577"/>
      <c r="H1577"/>
      <c r="I1577"/>
      <c r="J1577"/>
      <c r="K1577"/>
      <c r="L1577" s="11"/>
      <c r="M1577"/>
      <c r="N1577" s="3"/>
      <c r="O1577" s="11"/>
      <c r="P1577" s="11"/>
      <c r="Q1577" s="11"/>
      <c r="R1577" s="11"/>
      <c r="S1577" s="11"/>
      <c r="T1577" s="11"/>
      <c r="U1577" s="11"/>
      <c r="V1577" s="11"/>
      <c r="W1577" s="11"/>
    </row>
    <row r="1578" spans="2:23" x14ac:dyDescent="0.35">
      <c r="B1578"/>
      <c r="C1578"/>
      <c r="D1578"/>
      <c r="E1578"/>
      <c r="F1578"/>
      <c r="G1578"/>
      <c r="H1578"/>
      <c r="I1578"/>
      <c r="J1578"/>
      <c r="K1578"/>
      <c r="L1578" s="11"/>
      <c r="M1578"/>
      <c r="N1578" s="3"/>
      <c r="O1578" s="11"/>
      <c r="P1578" s="11"/>
      <c r="Q1578" s="11"/>
      <c r="R1578" s="11"/>
      <c r="S1578" s="11"/>
      <c r="T1578" s="11"/>
      <c r="U1578" s="11"/>
      <c r="V1578" s="11"/>
      <c r="W1578" s="11"/>
    </row>
    <row r="1579" spans="2:23" x14ac:dyDescent="0.35">
      <c r="B1579"/>
      <c r="C1579"/>
      <c r="D1579"/>
      <c r="E1579"/>
      <c r="F1579"/>
      <c r="G1579"/>
      <c r="H1579"/>
      <c r="I1579"/>
      <c r="J1579"/>
      <c r="K1579"/>
      <c r="L1579" s="11"/>
      <c r="M1579"/>
      <c r="N1579" s="3"/>
      <c r="O1579" s="11"/>
      <c r="P1579" s="11"/>
      <c r="Q1579" s="11"/>
      <c r="R1579" s="11"/>
      <c r="S1579" s="11"/>
      <c r="T1579" s="11"/>
      <c r="U1579" s="11"/>
      <c r="V1579" s="11"/>
      <c r="W1579" s="11"/>
    </row>
    <row r="1580" spans="2:23" x14ac:dyDescent="0.35">
      <c r="B1580"/>
      <c r="C1580"/>
      <c r="D1580"/>
      <c r="E1580"/>
      <c r="F1580"/>
      <c r="G1580"/>
      <c r="H1580"/>
      <c r="I1580"/>
      <c r="J1580"/>
      <c r="K1580"/>
      <c r="L1580" s="11"/>
      <c r="M1580"/>
      <c r="N1580" s="3"/>
      <c r="O1580" s="11"/>
      <c r="P1580" s="11"/>
      <c r="Q1580" s="11"/>
      <c r="R1580" s="11"/>
      <c r="S1580" s="11"/>
      <c r="T1580" s="11"/>
      <c r="U1580" s="11"/>
      <c r="V1580" s="11"/>
      <c r="W1580" s="11"/>
    </row>
    <row r="1581" spans="2:23" x14ac:dyDescent="0.35">
      <c r="B1581"/>
      <c r="C1581"/>
      <c r="D1581"/>
      <c r="E1581"/>
      <c r="F1581"/>
      <c r="G1581"/>
      <c r="H1581"/>
      <c r="I1581"/>
      <c r="J1581"/>
      <c r="K1581"/>
      <c r="L1581" s="11"/>
      <c r="M1581"/>
      <c r="N1581" s="3"/>
      <c r="O1581" s="11"/>
      <c r="P1581" s="11"/>
      <c r="Q1581" s="11"/>
      <c r="R1581" s="11"/>
      <c r="S1581" s="11"/>
      <c r="T1581" s="11"/>
      <c r="U1581" s="11"/>
      <c r="V1581" s="11"/>
      <c r="W1581" s="11"/>
    </row>
    <row r="1582" spans="2:23" x14ac:dyDescent="0.35">
      <c r="B1582"/>
      <c r="C1582"/>
      <c r="D1582"/>
      <c r="E1582"/>
      <c r="F1582"/>
      <c r="G1582"/>
      <c r="H1582"/>
      <c r="I1582"/>
      <c r="J1582"/>
      <c r="K1582"/>
      <c r="L1582" s="11"/>
      <c r="M1582"/>
      <c r="N1582" s="3"/>
      <c r="O1582" s="11"/>
      <c r="P1582" s="11"/>
      <c r="Q1582" s="11"/>
      <c r="R1582" s="11"/>
      <c r="S1582" s="11"/>
      <c r="T1582" s="11"/>
      <c r="U1582" s="11"/>
      <c r="V1582" s="11"/>
      <c r="W1582" s="11"/>
    </row>
    <row r="1583" spans="2:23" x14ac:dyDescent="0.35">
      <c r="B1583"/>
      <c r="C1583"/>
      <c r="D1583"/>
      <c r="E1583"/>
      <c r="F1583"/>
      <c r="G1583"/>
      <c r="H1583"/>
      <c r="I1583"/>
      <c r="J1583"/>
      <c r="K1583"/>
      <c r="L1583" s="11"/>
      <c r="M1583"/>
      <c r="N1583" s="3"/>
      <c r="O1583" s="11"/>
      <c r="P1583" s="11"/>
      <c r="Q1583" s="11"/>
      <c r="R1583" s="11"/>
      <c r="S1583" s="11"/>
      <c r="T1583" s="11"/>
      <c r="U1583" s="11"/>
      <c r="V1583" s="11"/>
      <c r="W1583" s="11"/>
    </row>
    <row r="1584" spans="2:23" x14ac:dyDescent="0.35">
      <c r="B1584"/>
      <c r="C1584"/>
      <c r="D1584"/>
      <c r="E1584"/>
      <c r="F1584"/>
      <c r="G1584"/>
      <c r="H1584"/>
      <c r="I1584"/>
      <c r="J1584"/>
      <c r="K1584"/>
      <c r="L1584" s="11"/>
      <c r="M1584"/>
      <c r="N1584" s="3"/>
      <c r="O1584" s="11"/>
      <c r="P1584" s="11"/>
      <c r="Q1584" s="11"/>
      <c r="R1584" s="11"/>
      <c r="S1584" s="11"/>
      <c r="T1584" s="11"/>
      <c r="U1584" s="11"/>
      <c r="V1584" s="11"/>
      <c r="W1584" s="11"/>
    </row>
    <row r="1585" spans="2:23" x14ac:dyDescent="0.35">
      <c r="B1585"/>
      <c r="C1585"/>
      <c r="D1585"/>
      <c r="E1585"/>
      <c r="F1585"/>
      <c r="G1585"/>
      <c r="H1585"/>
      <c r="I1585"/>
      <c r="J1585"/>
      <c r="K1585"/>
      <c r="L1585" s="11"/>
      <c r="M1585"/>
      <c r="N1585" s="3"/>
      <c r="O1585" s="11"/>
      <c r="P1585" s="11"/>
      <c r="Q1585" s="11"/>
      <c r="R1585" s="11"/>
      <c r="S1585" s="11"/>
      <c r="T1585" s="11"/>
      <c r="U1585" s="11"/>
      <c r="V1585" s="11"/>
      <c r="W1585" s="11"/>
    </row>
    <row r="1586" spans="2:23" x14ac:dyDescent="0.35">
      <c r="B1586"/>
      <c r="C1586"/>
      <c r="D1586"/>
      <c r="E1586"/>
      <c r="F1586"/>
      <c r="G1586"/>
      <c r="H1586"/>
      <c r="I1586"/>
      <c r="J1586"/>
      <c r="K1586"/>
      <c r="L1586" s="11"/>
      <c r="M1586"/>
      <c r="N1586" s="3"/>
      <c r="O1586" s="11"/>
      <c r="P1586" s="11"/>
      <c r="Q1586" s="11"/>
      <c r="R1586" s="11"/>
      <c r="S1586" s="11"/>
      <c r="T1586" s="11"/>
      <c r="U1586" s="11"/>
      <c r="V1586" s="11"/>
      <c r="W1586" s="11"/>
    </row>
    <row r="1587" spans="2:23" x14ac:dyDescent="0.35">
      <c r="B1587"/>
      <c r="C1587"/>
      <c r="D1587"/>
      <c r="E1587"/>
      <c r="F1587"/>
      <c r="G1587"/>
      <c r="H1587"/>
      <c r="I1587"/>
      <c r="J1587"/>
      <c r="K1587"/>
      <c r="L1587" s="11"/>
      <c r="M1587"/>
      <c r="N1587" s="3"/>
      <c r="O1587" s="11"/>
      <c r="P1587" s="11"/>
      <c r="Q1587" s="11"/>
      <c r="R1587" s="11"/>
      <c r="S1587" s="11"/>
      <c r="T1587" s="11"/>
      <c r="U1587" s="11"/>
      <c r="V1587" s="11"/>
      <c r="W1587" s="11"/>
    </row>
    <row r="1588" spans="2:23" x14ac:dyDescent="0.35">
      <c r="B1588"/>
      <c r="C1588"/>
      <c r="D1588"/>
      <c r="E1588"/>
      <c r="F1588"/>
      <c r="G1588"/>
      <c r="H1588"/>
      <c r="I1588"/>
      <c r="J1588"/>
      <c r="K1588"/>
      <c r="L1588" s="11"/>
      <c r="M1588"/>
      <c r="N1588" s="3"/>
      <c r="O1588" s="11"/>
      <c r="P1588" s="11"/>
      <c r="Q1588" s="11"/>
      <c r="R1588" s="11"/>
      <c r="S1588" s="11"/>
      <c r="T1588" s="11"/>
      <c r="U1588" s="11"/>
      <c r="V1588" s="11"/>
      <c r="W1588" s="11"/>
    </row>
    <row r="1589" spans="2:23" x14ac:dyDescent="0.35">
      <c r="B1589"/>
      <c r="C1589"/>
      <c r="D1589"/>
      <c r="E1589"/>
      <c r="F1589"/>
      <c r="G1589"/>
      <c r="H1589"/>
      <c r="I1589"/>
      <c r="J1589"/>
      <c r="K1589"/>
      <c r="L1589" s="11"/>
      <c r="M1589"/>
      <c r="N1589" s="3"/>
      <c r="O1589" s="11"/>
      <c r="P1589" s="11"/>
      <c r="Q1589" s="11"/>
      <c r="R1589" s="11"/>
      <c r="S1589" s="11"/>
      <c r="T1589" s="11"/>
      <c r="U1589" s="11"/>
      <c r="V1589" s="11"/>
      <c r="W1589" s="11"/>
    </row>
    <row r="1590" spans="2:23" x14ac:dyDescent="0.35">
      <c r="B1590"/>
      <c r="C1590"/>
      <c r="D1590"/>
      <c r="E1590"/>
      <c r="F1590"/>
      <c r="G1590"/>
      <c r="H1590"/>
      <c r="I1590"/>
      <c r="J1590"/>
      <c r="K1590"/>
      <c r="L1590" s="11"/>
      <c r="M1590"/>
      <c r="N1590" s="3"/>
      <c r="O1590" s="11"/>
      <c r="P1590" s="11"/>
      <c r="Q1590" s="11"/>
      <c r="R1590" s="11"/>
      <c r="S1590" s="11"/>
      <c r="T1590" s="11"/>
      <c r="U1590" s="11"/>
      <c r="V1590" s="11"/>
      <c r="W1590" s="11"/>
    </row>
    <row r="1591" spans="2:23" x14ac:dyDescent="0.35">
      <c r="B1591"/>
      <c r="C1591"/>
      <c r="D1591"/>
      <c r="E1591"/>
      <c r="F1591"/>
      <c r="G1591"/>
      <c r="H1591"/>
      <c r="I1591"/>
      <c r="J1591"/>
      <c r="K1591"/>
      <c r="L1591" s="11"/>
      <c r="M1591"/>
      <c r="N1591" s="3"/>
      <c r="O1591" s="11"/>
      <c r="P1591" s="11"/>
      <c r="Q1591" s="11"/>
      <c r="R1591" s="11"/>
      <c r="S1591" s="11"/>
      <c r="T1591" s="11"/>
      <c r="U1591" s="11"/>
      <c r="V1591" s="11"/>
      <c r="W1591" s="11"/>
    </row>
    <row r="1592" spans="2:23" x14ac:dyDescent="0.35">
      <c r="B1592"/>
      <c r="C1592"/>
      <c r="D1592"/>
      <c r="E1592"/>
      <c r="F1592"/>
      <c r="G1592"/>
      <c r="H1592"/>
      <c r="I1592"/>
      <c r="J1592"/>
      <c r="K1592"/>
      <c r="L1592" s="11"/>
      <c r="M1592"/>
      <c r="N1592" s="3"/>
      <c r="O1592" s="11"/>
      <c r="P1592" s="11"/>
      <c r="Q1592" s="11"/>
      <c r="R1592" s="11"/>
      <c r="S1592" s="11"/>
      <c r="T1592" s="11"/>
      <c r="U1592" s="11"/>
      <c r="V1592" s="11"/>
      <c r="W1592" s="11"/>
    </row>
    <row r="1593" spans="2:23" x14ac:dyDescent="0.35">
      <c r="B1593"/>
      <c r="C1593"/>
      <c r="D1593"/>
      <c r="E1593"/>
      <c r="F1593"/>
      <c r="G1593"/>
      <c r="H1593"/>
      <c r="I1593"/>
      <c r="J1593"/>
      <c r="K1593"/>
      <c r="L1593" s="11"/>
      <c r="M1593"/>
      <c r="N1593" s="3"/>
      <c r="O1593" s="11"/>
      <c r="P1593" s="11"/>
      <c r="Q1593" s="11"/>
      <c r="R1593" s="11"/>
      <c r="S1593" s="11"/>
      <c r="T1593" s="11"/>
      <c r="U1593" s="11"/>
      <c r="V1593" s="11"/>
      <c r="W1593" s="11"/>
    </row>
    <row r="1594" spans="2:23" x14ac:dyDescent="0.35">
      <c r="B1594"/>
      <c r="C1594"/>
      <c r="D1594"/>
      <c r="E1594"/>
      <c r="F1594"/>
      <c r="G1594"/>
      <c r="H1594"/>
      <c r="I1594"/>
      <c r="J1594"/>
      <c r="K1594"/>
      <c r="L1594" s="11"/>
      <c r="M1594"/>
      <c r="N1594" s="3"/>
      <c r="O1594" s="11"/>
      <c r="P1594" s="11"/>
      <c r="Q1594" s="11"/>
      <c r="R1594" s="11"/>
      <c r="S1594" s="11"/>
      <c r="T1594" s="11"/>
      <c r="U1594" s="11"/>
      <c r="V1594" s="11"/>
      <c r="W1594" s="11"/>
    </row>
    <row r="1595" spans="2:23" x14ac:dyDescent="0.35">
      <c r="B1595"/>
      <c r="C1595"/>
      <c r="D1595"/>
      <c r="E1595"/>
      <c r="F1595"/>
      <c r="G1595"/>
      <c r="H1595"/>
      <c r="I1595"/>
      <c r="J1595"/>
      <c r="K1595"/>
      <c r="L1595" s="11"/>
      <c r="M1595"/>
      <c r="N1595" s="3"/>
      <c r="O1595" s="11"/>
      <c r="P1595" s="11"/>
      <c r="Q1595" s="11"/>
      <c r="R1595" s="11"/>
      <c r="S1595" s="11"/>
      <c r="T1595" s="11"/>
      <c r="U1595" s="11"/>
      <c r="V1595" s="11"/>
      <c r="W1595" s="11"/>
    </row>
    <row r="1596" spans="2:23" x14ac:dyDescent="0.35">
      <c r="B1596"/>
      <c r="C1596"/>
      <c r="D1596"/>
      <c r="E1596"/>
      <c r="F1596"/>
      <c r="G1596"/>
      <c r="H1596"/>
      <c r="I1596"/>
      <c r="J1596"/>
      <c r="K1596"/>
      <c r="L1596" s="11"/>
      <c r="M1596"/>
      <c r="N1596" s="3"/>
      <c r="O1596" s="11"/>
      <c r="P1596" s="11"/>
      <c r="Q1596" s="11"/>
      <c r="R1596" s="11"/>
      <c r="S1596" s="11"/>
      <c r="T1596" s="11"/>
      <c r="U1596" s="11"/>
      <c r="V1596" s="11"/>
      <c r="W1596" s="11"/>
    </row>
    <row r="1597" spans="2:23" x14ac:dyDescent="0.35">
      <c r="B1597"/>
      <c r="C1597"/>
      <c r="D1597"/>
      <c r="E1597"/>
      <c r="F1597"/>
      <c r="G1597"/>
      <c r="H1597"/>
      <c r="I1597"/>
      <c r="J1597"/>
      <c r="K1597"/>
      <c r="L1597" s="11"/>
      <c r="M1597"/>
      <c r="N1597" s="3"/>
      <c r="O1597" s="11"/>
      <c r="P1597" s="11"/>
      <c r="Q1597" s="11"/>
      <c r="R1597" s="11"/>
      <c r="S1597" s="11"/>
      <c r="T1597" s="11"/>
      <c r="U1597" s="11"/>
      <c r="V1597" s="11"/>
      <c r="W1597" s="11"/>
    </row>
    <row r="1598" spans="2:23" x14ac:dyDescent="0.35">
      <c r="B1598"/>
      <c r="C1598"/>
      <c r="D1598"/>
      <c r="E1598"/>
      <c r="F1598"/>
      <c r="G1598"/>
      <c r="H1598"/>
      <c r="I1598"/>
      <c r="J1598"/>
      <c r="K1598"/>
      <c r="L1598" s="11"/>
      <c r="M1598"/>
      <c r="N1598" s="3"/>
      <c r="O1598" s="11"/>
      <c r="P1598" s="11"/>
      <c r="Q1598" s="11"/>
      <c r="R1598" s="11"/>
      <c r="S1598" s="11"/>
      <c r="T1598" s="11"/>
      <c r="U1598" s="11"/>
      <c r="V1598" s="11"/>
      <c r="W1598" s="11"/>
    </row>
    <row r="1599" spans="2:23" x14ac:dyDescent="0.35">
      <c r="B1599"/>
      <c r="C1599"/>
      <c r="D1599"/>
      <c r="E1599"/>
      <c r="F1599"/>
      <c r="G1599"/>
      <c r="H1599"/>
      <c r="I1599"/>
      <c r="J1599"/>
      <c r="K1599"/>
      <c r="L1599" s="11"/>
      <c r="M1599"/>
      <c r="N1599" s="3"/>
      <c r="O1599" s="11"/>
      <c r="P1599" s="11"/>
      <c r="Q1599" s="11"/>
      <c r="R1599" s="11"/>
      <c r="S1599" s="11"/>
      <c r="T1599" s="11"/>
      <c r="U1599" s="11"/>
      <c r="V1599" s="11"/>
      <c r="W1599" s="11"/>
    </row>
    <row r="1600" spans="2:23" x14ac:dyDescent="0.35">
      <c r="B1600"/>
      <c r="C1600"/>
      <c r="D1600"/>
      <c r="E1600"/>
      <c r="F1600"/>
      <c r="G1600"/>
      <c r="H1600"/>
      <c r="I1600"/>
      <c r="J1600"/>
      <c r="K1600"/>
      <c r="L1600" s="11"/>
      <c r="M1600"/>
      <c r="N1600" s="3"/>
      <c r="O1600" s="11"/>
      <c r="P1600" s="11"/>
      <c r="Q1600" s="11"/>
      <c r="R1600" s="11"/>
      <c r="S1600" s="11"/>
      <c r="T1600" s="11"/>
      <c r="U1600" s="11"/>
      <c r="V1600" s="11"/>
      <c r="W1600" s="11"/>
    </row>
    <row r="1601" spans="2:23" x14ac:dyDescent="0.35">
      <c r="B1601"/>
      <c r="C1601"/>
      <c r="D1601"/>
      <c r="E1601"/>
      <c r="F1601"/>
      <c r="G1601"/>
      <c r="H1601"/>
      <c r="I1601"/>
      <c r="J1601"/>
      <c r="K1601"/>
      <c r="L1601" s="11"/>
      <c r="M1601"/>
      <c r="N1601" s="3"/>
      <c r="O1601" s="11"/>
      <c r="P1601" s="11"/>
      <c r="Q1601" s="11"/>
      <c r="R1601" s="11"/>
      <c r="S1601" s="11"/>
      <c r="T1601" s="11"/>
      <c r="U1601" s="11"/>
      <c r="V1601" s="11"/>
      <c r="W1601" s="11"/>
    </row>
    <row r="1602" spans="2:23" x14ac:dyDescent="0.35">
      <c r="B1602"/>
      <c r="C1602"/>
      <c r="D1602"/>
      <c r="E1602"/>
      <c r="F1602"/>
      <c r="G1602"/>
      <c r="H1602"/>
      <c r="I1602"/>
      <c r="J1602"/>
      <c r="K1602"/>
      <c r="L1602" s="11"/>
      <c r="M1602"/>
      <c r="N1602" s="3"/>
      <c r="O1602" s="11"/>
      <c r="P1602" s="11"/>
      <c r="Q1602" s="11"/>
      <c r="R1602" s="11"/>
      <c r="S1602" s="11"/>
      <c r="T1602" s="11"/>
      <c r="U1602" s="11"/>
      <c r="V1602" s="11"/>
      <c r="W1602" s="11"/>
    </row>
    <row r="1603" spans="2:23" x14ac:dyDescent="0.35">
      <c r="B1603"/>
      <c r="C1603"/>
      <c r="D1603"/>
      <c r="E1603"/>
      <c r="F1603"/>
      <c r="G1603"/>
      <c r="H1603"/>
      <c r="I1603"/>
      <c r="J1603"/>
      <c r="K1603"/>
      <c r="L1603" s="11"/>
      <c r="M1603"/>
      <c r="N1603" s="3"/>
      <c r="O1603" s="11"/>
      <c r="P1603" s="11"/>
      <c r="Q1603" s="11"/>
      <c r="R1603" s="11"/>
      <c r="S1603" s="11"/>
      <c r="T1603" s="11"/>
      <c r="U1603" s="11"/>
      <c r="V1603" s="11"/>
      <c r="W1603" s="11"/>
    </row>
    <row r="1604" spans="2:23" x14ac:dyDescent="0.35">
      <c r="B1604"/>
      <c r="C1604"/>
      <c r="D1604"/>
      <c r="E1604"/>
      <c r="F1604"/>
      <c r="G1604"/>
      <c r="H1604"/>
      <c r="I1604"/>
      <c r="J1604"/>
      <c r="K1604"/>
      <c r="L1604" s="11"/>
      <c r="M1604"/>
      <c r="N1604" s="3"/>
      <c r="O1604" s="11"/>
      <c r="P1604" s="11"/>
      <c r="Q1604" s="11"/>
      <c r="R1604" s="11"/>
      <c r="S1604" s="11"/>
      <c r="T1604" s="11"/>
      <c r="U1604" s="11"/>
      <c r="V1604" s="11"/>
      <c r="W1604" s="11"/>
    </row>
    <row r="1605" spans="2:23" x14ac:dyDescent="0.35">
      <c r="B1605"/>
      <c r="C1605"/>
      <c r="D1605"/>
      <c r="E1605"/>
      <c r="F1605"/>
      <c r="G1605"/>
      <c r="H1605"/>
      <c r="I1605"/>
      <c r="J1605"/>
      <c r="K1605"/>
      <c r="L1605" s="11"/>
      <c r="M1605"/>
      <c r="N1605" s="3"/>
      <c r="O1605" s="11"/>
      <c r="P1605" s="11"/>
      <c r="Q1605" s="11"/>
      <c r="R1605" s="11"/>
      <c r="S1605" s="11"/>
      <c r="T1605" s="11"/>
      <c r="U1605" s="11"/>
      <c r="V1605" s="11"/>
      <c r="W1605" s="11"/>
    </row>
    <row r="1606" spans="2:23" x14ac:dyDescent="0.35">
      <c r="B1606"/>
      <c r="C1606"/>
      <c r="D1606"/>
      <c r="E1606"/>
      <c r="F1606"/>
      <c r="G1606"/>
      <c r="H1606"/>
      <c r="I1606"/>
      <c r="J1606"/>
      <c r="K1606"/>
      <c r="L1606" s="11"/>
      <c r="M1606"/>
      <c r="N1606" s="3"/>
      <c r="O1606" s="11"/>
      <c r="P1606" s="11"/>
      <c r="Q1606" s="11"/>
      <c r="R1606" s="11"/>
      <c r="S1606" s="11"/>
      <c r="T1606" s="11"/>
      <c r="U1606" s="11"/>
      <c r="V1606" s="11"/>
      <c r="W1606" s="11"/>
    </row>
    <row r="1607" spans="2:23" x14ac:dyDescent="0.35">
      <c r="B1607"/>
      <c r="C1607"/>
      <c r="D1607"/>
      <c r="E1607"/>
      <c r="F1607"/>
      <c r="G1607"/>
      <c r="H1607"/>
      <c r="I1607"/>
      <c r="J1607"/>
      <c r="K1607"/>
      <c r="L1607" s="11"/>
      <c r="M1607"/>
      <c r="N1607" s="3"/>
      <c r="O1607" s="11"/>
      <c r="P1607" s="11"/>
      <c r="Q1607" s="11"/>
      <c r="R1607" s="11"/>
      <c r="S1607" s="11"/>
      <c r="T1607" s="11"/>
      <c r="U1607" s="11"/>
      <c r="V1607" s="11"/>
      <c r="W1607" s="11"/>
    </row>
    <row r="1608" spans="2:23" x14ac:dyDescent="0.35">
      <c r="B1608"/>
      <c r="C1608"/>
      <c r="D1608"/>
      <c r="E1608"/>
      <c r="F1608"/>
      <c r="G1608"/>
      <c r="H1608"/>
      <c r="I1608"/>
      <c r="J1608"/>
      <c r="K1608"/>
      <c r="L1608" s="11"/>
      <c r="M1608"/>
      <c r="N1608" s="3"/>
      <c r="O1608" s="11"/>
      <c r="P1608" s="11"/>
      <c r="Q1608" s="11"/>
      <c r="R1608" s="11"/>
      <c r="S1608" s="11"/>
      <c r="T1608" s="11"/>
      <c r="U1608" s="11"/>
      <c r="V1608" s="11"/>
      <c r="W1608" s="11"/>
    </row>
    <row r="1609" spans="2:23" x14ac:dyDescent="0.35">
      <c r="B1609"/>
      <c r="C1609"/>
      <c r="D1609"/>
      <c r="E1609"/>
      <c r="F1609"/>
      <c r="G1609"/>
      <c r="H1609"/>
      <c r="I1609"/>
      <c r="J1609"/>
      <c r="K1609"/>
      <c r="L1609" s="11"/>
      <c r="M1609"/>
      <c r="N1609" s="3"/>
      <c r="O1609" s="11"/>
      <c r="P1609" s="11"/>
      <c r="Q1609" s="11"/>
      <c r="R1609" s="11"/>
      <c r="S1609" s="11"/>
      <c r="T1609" s="11"/>
      <c r="U1609" s="11"/>
      <c r="V1609" s="11"/>
      <c r="W1609" s="11"/>
    </row>
    <row r="1610" spans="2:23" x14ac:dyDescent="0.35">
      <c r="B1610"/>
      <c r="C1610"/>
      <c r="D1610"/>
      <c r="E1610"/>
      <c r="F1610"/>
      <c r="G1610"/>
      <c r="H1610"/>
      <c r="I1610"/>
      <c r="J1610"/>
      <c r="K1610"/>
      <c r="L1610" s="11"/>
      <c r="M1610"/>
      <c r="N1610" s="3"/>
      <c r="O1610" s="11"/>
      <c r="P1610" s="11"/>
      <c r="Q1610" s="11"/>
      <c r="R1610" s="11"/>
      <c r="S1610" s="11"/>
      <c r="T1610" s="11"/>
      <c r="U1610" s="11"/>
      <c r="V1610" s="11"/>
      <c r="W1610" s="11"/>
    </row>
    <row r="1611" spans="2:23" x14ac:dyDescent="0.35">
      <c r="B1611"/>
      <c r="C1611"/>
      <c r="D1611"/>
      <c r="E1611"/>
      <c r="F1611"/>
      <c r="G1611"/>
      <c r="H1611"/>
      <c r="I1611"/>
      <c r="J1611"/>
      <c r="K1611"/>
      <c r="L1611" s="11"/>
      <c r="M1611"/>
      <c r="N1611" s="3"/>
      <c r="O1611" s="11"/>
      <c r="P1611" s="11"/>
      <c r="Q1611" s="11"/>
      <c r="R1611" s="11"/>
      <c r="S1611" s="11"/>
      <c r="T1611" s="11"/>
      <c r="U1611" s="11"/>
      <c r="V1611" s="11"/>
      <c r="W1611" s="11"/>
    </row>
    <row r="1612" spans="2:23" x14ac:dyDescent="0.35">
      <c r="B1612"/>
      <c r="C1612"/>
      <c r="D1612"/>
      <c r="E1612"/>
      <c r="F1612"/>
      <c r="G1612"/>
      <c r="H1612"/>
      <c r="I1612"/>
      <c r="J1612"/>
      <c r="K1612"/>
      <c r="L1612" s="11"/>
      <c r="M1612"/>
      <c r="N1612" s="3"/>
      <c r="O1612" s="11"/>
      <c r="P1612" s="11"/>
      <c r="Q1612" s="11"/>
      <c r="R1612" s="11"/>
      <c r="S1612" s="11"/>
      <c r="T1612" s="11"/>
      <c r="U1612" s="11"/>
      <c r="V1612" s="11"/>
      <c r="W1612" s="11"/>
    </row>
    <row r="1613" spans="2:23" x14ac:dyDescent="0.35">
      <c r="B1613"/>
      <c r="C1613"/>
      <c r="D1613"/>
      <c r="E1613"/>
      <c r="F1613"/>
      <c r="G1613"/>
      <c r="H1613"/>
      <c r="I1613"/>
      <c r="J1613"/>
      <c r="K1613"/>
      <c r="L1613" s="11"/>
      <c r="M1613"/>
      <c r="N1613" s="3"/>
      <c r="O1613" s="11"/>
      <c r="P1613" s="11"/>
      <c r="Q1613" s="11"/>
      <c r="R1613" s="11"/>
      <c r="S1613" s="11"/>
      <c r="T1613" s="11"/>
      <c r="U1613" s="11"/>
      <c r="V1613" s="11"/>
      <c r="W1613" s="11"/>
    </row>
    <row r="1614" spans="2:23" x14ac:dyDescent="0.35">
      <c r="B1614"/>
      <c r="C1614"/>
      <c r="D1614"/>
      <c r="E1614"/>
      <c r="F1614"/>
      <c r="G1614"/>
      <c r="H1614"/>
      <c r="I1614"/>
      <c r="J1614"/>
      <c r="K1614"/>
      <c r="L1614" s="11"/>
      <c r="M1614"/>
      <c r="N1614" s="3"/>
      <c r="O1614" s="11"/>
      <c r="P1614" s="11"/>
      <c r="Q1614" s="11"/>
      <c r="R1614" s="11"/>
      <c r="S1614" s="11"/>
      <c r="T1614" s="11"/>
      <c r="U1614" s="11"/>
      <c r="V1614" s="11"/>
      <c r="W1614" s="11"/>
    </row>
    <row r="1615" spans="2:23" x14ac:dyDescent="0.35">
      <c r="B1615"/>
      <c r="C1615"/>
      <c r="D1615"/>
      <c r="E1615"/>
      <c r="F1615"/>
      <c r="G1615"/>
      <c r="H1615"/>
      <c r="I1615"/>
      <c r="J1615"/>
      <c r="K1615"/>
      <c r="L1615" s="11"/>
      <c r="M1615"/>
      <c r="N1615" s="3"/>
      <c r="O1615" s="11"/>
      <c r="P1615" s="11"/>
      <c r="Q1615" s="11"/>
      <c r="R1615" s="11"/>
      <c r="S1615" s="11"/>
      <c r="T1615" s="11"/>
      <c r="U1615" s="11"/>
      <c r="V1615" s="11"/>
      <c r="W1615" s="11"/>
    </row>
    <row r="1616" spans="2:23" x14ac:dyDescent="0.35">
      <c r="B1616"/>
      <c r="C1616"/>
      <c r="D1616"/>
      <c r="E1616"/>
      <c r="F1616"/>
      <c r="G1616"/>
      <c r="H1616"/>
      <c r="I1616"/>
      <c r="J1616"/>
      <c r="K1616"/>
      <c r="L1616" s="11"/>
      <c r="M1616"/>
      <c r="N1616" s="3"/>
      <c r="O1616" s="11"/>
      <c r="P1616" s="11"/>
      <c r="Q1616" s="11"/>
      <c r="R1616" s="11"/>
      <c r="S1616" s="11"/>
      <c r="T1616" s="11"/>
      <c r="U1616" s="11"/>
      <c r="V1616" s="11"/>
      <c r="W1616" s="11"/>
    </row>
    <row r="1617" spans="2:23" x14ac:dyDescent="0.35">
      <c r="B1617"/>
      <c r="C1617"/>
      <c r="D1617"/>
      <c r="E1617"/>
      <c r="F1617"/>
      <c r="G1617"/>
      <c r="H1617"/>
      <c r="I1617"/>
      <c r="J1617"/>
      <c r="K1617"/>
      <c r="L1617" s="11"/>
      <c r="M1617"/>
      <c r="N1617" s="3"/>
      <c r="O1617" s="11"/>
      <c r="P1617" s="11"/>
      <c r="Q1617" s="11"/>
      <c r="R1617" s="11"/>
      <c r="S1617" s="11"/>
      <c r="T1617" s="11"/>
      <c r="U1617" s="11"/>
      <c r="V1617" s="11"/>
      <c r="W1617" s="11"/>
    </row>
    <row r="1618" spans="2:23" x14ac:dyDescent="0.35">
      <c r="B1618"/>
      <c r="C1618"/>
      <c r="D1618"/>
      <c r="E1618"/>
      <c r="F1618"/>
      <c r="G1618"/>
      <c r="H1618"/>
      <c r="I1618"/>
      <c r="J1618"/>
      <c r="K1618"/>
      <c r="L1618" s="11"/>
      <c r="M1618"/>
      <c r="N1618" s="3"/>
      <c r="O1618" s="11"/>
      <c r="P1618" s="11"/>
      <c r="Q1618" s="11"/>
      <c r="R1618" s="11"/>
      <c r="S1618" s="11"/>
      <c r="T1618" s="11"/>
      <c r="U1618" s="11"/>
      <c r="V1618" s="11"/>
      <c r="W1618" s="11"/>
    </row>
    <row r="1619" spans="2:23" x14ac:dyDescent="0.35">
      <c r="B1619"/>
      <c r="C1619"/>
      <c r="D1619"/>
      <c r="E1619"/>
      <c r="F1619"/>
      <c r="G1619"/>
      <c r="H1619"/>
      <c r="I1619"/>
      <c r="J1619"/>
      <c r="K1619"/>
      <c r="L1619" s="11"/>
      <c r="M1619"/>
      <c r="N1619" s="3"/>
      <c r="O1619" s="11"/>
      <c r="P1619" s="11"/>
      <c r="Q1619" s="11"/>
      <c r="R1619" s="11"/>
      <c r="S1619" s="11"/>
      <c r="T1619" s="11"/>
      <c r="U1619" s="11"/>
      <c r="V1619" s="11"/>
      <c r="W1619" s="11"/>
    </row>
    <row r="1620" spans="2:23" x14ac:dyDescent="0.35">
      <c r="B1620"/>
      <c r="C1620"/>
      <c r="D1620"/>
      <c r="E1620"/>
      <c r="F1620"/>
      <c r="G1620"/>
      <c r="H1620"/>
      <c r="I1620"/>
      <c r="J1620"/>
      <c r="K1620"/>
      <c r="L1620" s="11"/>
      <c r="M1620"/>
      <c r="N1620" s="3"/>
      <c r="O1620" s="11"/>
      <c r="P1620" s="11"/>
      <c r="Q1620" s="11"/>
      <c r="R1620" s="11"/>
      <c r="S1620" s="11"/>
      <c r="T1620" s="11"/>
      <c r="U1620" s="11"/>
      <c r="V1620" s="11"/>
      <c r="W1620" s="11"/>
    </row>
    <row r="1621" spans="2:23" x14ac:dyDescent="0.35">
      <c r="B1621"/>
      <c r="C1621"/>
      <c r="D1621"/>
      <c r="E1621"/>
      <c r="F1621"/>
      <c r="G1621"/>
      <c r="H1621"/>
      <c r="I1621"/>
      <c r="J1621"/>
      <c r="K1621"/>
      <c r="L1621" s="11"/>
      <c r="M1621"/>
      <c r="N1621" s="3"/>
      <c r="O1621" s="11"/>
      <c r="P1621" s="11"/>
      <c r="Q1621" s="11"/>
      <c r="R1621" s="11"/>
      <c r="S1621" s="11"/>
      <c r="T1621" s="11"/>
      <c r="U1621" s="11"/>
      <c r="V1621" s="11"/>
      <c r="W1621" s="11"/>
    </row>
    <row r="1622" spans="2:23" x14ac:dyDescent="0.35">
      <c r="B1622"/>
      <c r="C1622"/>
      <c r="D1622"/>
      <c r="E1622"/>
      <c r="F1622"/>
      <c r="G1622"/>
      <c r="H1622"/>
      <c r="I1622"/>
      <c r="J1622"/>
      <c r="K1622"/>
      <c r="L1622" s="11"/>
      <c r="M1622"/>
      <c r="N1622" s="3"/>
      <c r="O1622" s="11"/>
      <c r="P1622" s="11"/>
      <c r="Q1622" s="11"/>
      <c r="R1622" s="11"/>
      <c r="S1622" s="11"/>
      <c r="T1622" s="11"/>
      <c r="U1622" s="11"/>
      <c r="V1622" s="11"/>
      <c r="W1622" s="11"/>
    </row>
    <row r="1623" spans="2:23" x14ac:dyDescent="0.35">
      <c r="B1623"/>
      <c r="C1623"/>
      <c r="D1623"/>
      <c r="E1623"/>
      <c r="F1623"/>
      <c r="G1623"/>
      <c r="H1623"/>
      <c r="I1623"/>
      <c r="J1623"/>
      <c r="K1623"/>
      <c r="L1623" s="11"/>
      <c r="M1623"/>
      <c r="N1623" s="3"/>
      <c r="O1623" s="11"/>
      <c r="P1623" s="11"/>
      <c r="Q1623" s="11"/>
      <c r="R1623" s="11"/>
      <c r="S1623" s="11"/>
      <c r="T1623" s="11"/>
      <c r="U1623" s="11"/>
      <c r="V1623" s="11"/>
      <c r="W1623" s="11"/>
    </row>
    <row r="1624" spans="2:23" x14ac:dyDescent="0.35">
      <c r="B1624"/>
      <c r="C1624"/>
      <c r="D1624"/>
      <c r="E1624"/>
      <c r="F1624"/>
      <c r="G1624"/>
      <c r="H1624"/>
      <c r="I1624"/>
      <c r="J1624"/>
      <c r="K1624"/>
      <c r="L1624" s="11"/>
      <c r="M1624"/>
      <c r="N1624" s="3"/>
      <c r="O1624" s="11"/>
      <c r="P1624" s="11"/>
      <c r="Q1624" s="11"/>
      <c r="R1624" s="11"/>
      <c r="S1624" s="11"/>
      <c r="T1624" s="11"/>
      <c r="U1624" s="11"/>
      <c r="V1624" s="11"/>
      <c r="W1624" s="11"/>
    </row>
    <row r="1625" spans="2:23" x14ac:dyDescent="0.35">
      <c r="B1625"/>
      <c r="C1625"/>
      <c r="D1625"/>
      <c r="E1625"/>
      <c r="F1625"/>
      <c r="G1625"/>
      <c r="H1625"/>
      <c r="I1625"/>
      <c r="J1625"/>
      <c r="K1625"/>
      <c r="L1625" s="11"/>
      <c r="M1625"/>
      <c r="N1625" s="3"/>
      <c r="O1625" s="11"/>
      <c r="P1625" s="11"/>
      <c r="Q1625" s="11"/>
      <c r="R1625" s="11"/>
      <c r="S1625" s="11"/>
      <c r="T1625" s="11"/>
      <c r="U1625" s="11"/>
      <c r="V1625" s="11"/>
      <c r="W1625" s="11"/>
    </row>
    <row r="1626" spans="2:23" x14ac:dyDescent="0.35">
      <c r="B1626"/>
      <c r="C1626"/>
      <c r="D1626"/>
      <c r="E1626"/>
      <c r="F1626"/>
      <c r="G1626"/>
      <c r="H1626"/>
      <c r="I1626"/>
      <c r="J1626"/>
      <c r="K1626"/>
      <c r="L1626" s="11"/>
      <c r="M1626"/>
      <c r="N1626" s="3"/>
      <c r="O1626" s="11"/>
      <c r="P1626" s="11"/>
      <c r="Q1626" s="11"/>
      <c r="R1626" s="11"/>
      <c r="S1626" s="11"/>
      <c r="T1626" s="11"/>
      <c r="U1626" s="11"/>
      <c r="V1626" s="11"/>
      <c r="W1626" s="11"/>
    </row>
    <row r="1627" spans="2:23" x14ac:dyDescent="0.35">
      <c r="B1627"/>
      <c r="C1627"/>
      <c r="D1627"/>
      <c r="E1627"/>
      <c r="F1627"/>
      <c r="G1627"/>
      <c r="H1627"/>
      <c r="I1627"/>
      <c r="J1627"/>
      <c r="K1627"/>
      <c r="L1627" s="11"/>
      <c r="M1627"/>
      <c r="N1627" s="3"/>
      <c r="O1627" s="11"/>
      <c r="P1627" s="11"/>
      <c r="Q1627" s="11"/>
      <c r="R1627" s="11"/>
      <c r="S1627" s="11"/>
      <c r="T1627" s="11"/>
      <c r="U1627" s="11"/>
      <c r="V1627" s="11"/>
      <c r="W1627" s="11"/>
    </row>
    <row r="1628" spans="2:23" x14ac:dyDescent="0.35">
      <c r="B1628"/>
      <c r="C1628"/>
      <c r="D1628"/>
      <c r="E1628"/>
      <c r="F1628"/>
      <c r="G1628"/>
      <c r="H1628"/>
      <c r="I1628"/>
      <c r="J1628"/>
      <c r="K1628"/>
      <c r="L1628" s="11"/>
      <c r="M1628"/>
      <c r="N1628" s="3"/>
      <c r="O1628" s="11"/>
      <c r="P1628" s="11"/>
      <c r="Q1628" s="11"/>
      <c r="R1628" s="11"/>
      <c r="S1628" s="11"/>
      <c r="T1628" s="11"/>
      <c r="U1628" s="11"/>
      <c r="V1628" s="11"/>
      <c r="W1628" s="11"/>
    </row>
    <row r="1629" spans="2:23" x14ac:dyDescent="0.35">
      <c r="B1629"/>
      <c r="C1629"/>
      <c r="D1629"/>
      <c r="E1629"/>
      <c r="F1629"/>
      <c r="G1629"/>
      <c r="H1629"/>
      <c r="I1629"/>
      <c r="J1629"/>
      <c r="K1629"/>
      <c r="L1629" s="11"/>
      <c r="M1629"/>
      <c r="N1629" s="3"/>
      <c r="O1629" s="11"/>
      <c r="P1629" s="11"/>
      <c r="Q1629" s="11"/>
      <c r="R1629" s="11"/>
      <c r="S1629" s="11"/>
      <c r="T1629" s="11"/>
      <c r="U1629" s="11"/>
      <c r="V1629" s="11"/>
      <c r="W1629" s="11"/>
    </row>
    <row r="1630" spans="2:23" x14ac:dyDescent="0.35">
      <c r="B1630"/>
      <c r="C1630"/>
      <c r="D1630"/>
      <c r="E1630"/>
      <c r="F1630"/>
      <c r="G1630"/>
      <c r="H1630"/>
      <c r="I1630"/>
      <c r="J1630"/>
      <c r="K1630"/>
      <c r="L1630" s="11"/>
      <c r="M1630"/>
      <c r="N1630" s="3"/>
      <c r="O1630" s="11"/>
      <c r="P1630" s="11"/>
      <c r="Q1630" s="11"/>
      <c r="R1630" s="11"/>
      <c r="S1630" s="11"/>
      <c r="T1630" s="11"/>
      <c r="U1630" s="11"/>
      <c r="V1630" s="11"/>
      <c r="W1630" s="11"/>
    </row>
    <row r="1631" spans="2:23" x14ac:dyDescent="0.35">
      <c r="B1631"/>
      <c r="C1631"/>
      <c r="D1631"/>
      <c r="E1631"/>
      <c r="F1631"/>
      <c r="G1631"/>
      <c r="H1631"/>
      <c r="I1631"/>
      <c r="J1631"/>
      <c r="K1631"/>
      <c r="L1631" s="11"/>
      <c r="M1631"/>
      <c r="N1631" s="3"/>
      <c r="O1631" s="11"/>
      <c r="P1631" s="11"/>
      <c r="Q1631" s="11"/>
      <c r="R1631" s="11"/>
      <c r="S1631" s="11"/>
      <c r="T1631" s="11"/>
      <c r="U1631" s="11"/>
      <c r="V1631" s="11"/>
      <c r="W1631" s="11"/>
    </row>
    <row r="1632" spans="2:23" x14ac:dyDescent="0.35">
      <c r="B1632"/>
      <c r="C1632"/>
      <c r="D1632"/>
      <c r="E1632"/>
      <c r="F1632"/>
      <c r="G1632"/>
      <c r="H1632"/>
      <c r="I1632"/>
      <c r="J1632"/>
      <c r="K1632"/>
      <c r="L1632" s="11"/>
      <c r="M1632"/>
      <c r="N1632" s="3"/>
      <c r="O1632" s="11"/>
      <c r="P1632" s="11"/>
      <c r="Q1632" s="11"/>
      <c r="R1632" s="11"/>
      <c r="S1632" s="11"/>
      <c r="T1632" s="11"/>
      <c r="U1632" s="11"/>
      <c r="V1632" s="11"/>
      <c r="W1632" s="11"/>
    </row>
    <row r="1633" spans="2:23" x14ac:dyDescent="0.35">
      <c r="B1633"/>
      <c r="C1633"/>
      <c r="D1633"/>
      <c r="E1633"/>
      <c r="F1633"/>
      <c r="G1633"/>
      <c r="H1633"/>
      <c r="I1633"/>
      <c r="J1633"/>
      <c r="K1633"/>
      <c r="L1633" s="11"/>
      <c r="M1633"/>
      <c r="N1633" s="3"/>
      <c r="O1633" s="11"/>
      <c r="P1633" s="11"/>
      <c r="Q1633" s="11"/>
      <c r="R1633" s="11"/>
      <c r="S1633" s="11"/>
      <c r="T1633" s="11"/>
      <c r="U1633" s="11"/>
      <c r="V1633" s="11"/>
      <c r="W1633" s="11"/>
    </row>
    <row r="1634" spans="2:23" x14ac:dyDescent="0.35">
      <c r="B1634"/>
      <c r="C1634"/>
      <c r="D1634"/>
      <c r="E1634"/>
      <c r="F1634"/>
      <c r="G1634"/>
      <c r="H1634"/>
      <c r="I1634"/>
      <c r="J1634"/>
      <c r="K1634"/>
      <c r="L1634" s="11"/>
      <c r="M1634"/>
      <c r="N1634" s="3"/>
      <c r="O1634" s="11"/>
      <c r="P1634" s="11"/>
      <c r="Q1634" s="11"/>
      <c r="R1634" s="11"/>
      <c r="S1634" s="11"/>
      <c r="T1634" s="11"/>
      <c r="U1634" s="11"/>
      <c r="V1634" s="11"/>
      <c r="W1634" s="11"/>
    </row>
    <row r="1635" spans="2:23" x14ac:dyDescent="0.35">
      <c r="B1635"/>
      <c r="C1635"/>
      <c r="D1635"/>
      <c r="E1635"/>
      <c r="F1635"/>
      <c r="G1635"/>
      <c r="H1635"/>
      <c r="I1635"/>
      <c r="J1635"/>
      <c r="K1635"/>
      <c r="L1635" s="11"/>
      <c r="M1635"/>
      <c r="N1635" s="3"/>
      <c r="O1635" s="11"/>
      <c r="P1635" s="11"/>
      <c r="Q1635" s="11"/>
      <c r="R1635" s="11"/>
      <c r="S1635" s="11"/>
      <c r="T1635" s="11"/>
      <c r="U1635" s="11"/>
      <c r="V1635" s="11"/>
      <c r="W1635" s="11"/>
    </row>
    <row r="1636" spans="2:23" x14ac:dyDescent="0.35">
      <c r="B1636"/>
      <c r="C1636"/>
      <c r="D1636"/>
      <c r="E1636"/>
      <c r="F1636"/>
      <c r="G1636"/>
      <c r="H1636"/>
      <c r="I1636"/>
      <c r="J1636"/>
      <c r="K1636"/>
      <c r="L1636" s="11"/>
      <c r="M1636"/>
      <c r="N1636" s="3"/>
      <c r="O1636" s="11"/>
      <c r="P1636" s="11"/>
      <c r="Q1636" s="11"/>
      <c r="R1636" s="11"/>
      <c r="S1636" s="11"/>
      <c r="T1636" s="11"/>
      <c r="U1636" s="11"/>
      <c r="V1636" s="11"/>
      <c r="W1636" s="11"/>
    </row>
    <row r="1637" spans="2:23" x14ac:dyDescent="0.35">
      <c r="B1637"/>
      <c r="C1637"/>
      <c r="D1637"/>
      <c r="E1637"/>
      <c r="F1637"/>
      <c r="G1637"/>
      <c r="H1637"/>
      <c r="I1637"/>
      <c r="J1637"/>
      <c r="K1637"/>
      <c r="L1637" s="11"/>
      <c r="M1637"/>
      <c r="N1637" s="3"/>
      <c r="O1637" s="11"/>
      <c r="P1637" s="11"/>
      <c r="Q1637" s="11"/>
      <c r="R1637" s="11"/>
      <c r="S1637" s="11"/>
      <c r="T1637" s="11"/>
      <c r="U1637" s="11"/>
      <c r="V1637" s="11"/>
      <c r="W1637" s="11"/>
    </row>
    <row r="1638" spans="2:23" x14ac:dyDescent="0.35">
      <c r="B1638"/>
      <c r="C1638"/>
      <c r="D1638"/>
      <c r="E1638"/>
      <c r="F1638"/>
      <c r="G1638"/>
      <c r="H1638"/>
      <c r="I1638"/>
      <c r="J1638"/>
      <c r="K1638"/>
      <c r="L1638" s="11"/>
      <c r="M1638"/>
      <c r="N1638" s="3"/>
      <c r="O1638" s="11"/>
      <c r="P1638" s="11"/>
      <c r="Q1638" s="11"/>
      <c r="R1638" s="11"/>
      <c r="S1638" s="11"/>
      <c r="T1638" s="11"/>
      <c r="U1638" s="11"/>
      <c r="V1638" s="11"/>
      <c r="W1638" s="11"/>
    </row>
    <row r="1639" spans="2:23" x14ac:dyDescent="0.35">
      <c r="B1639"/>
      <c r="C1639"/>
      <c r="D1639"/>
      <c r="E1639"/>
      <c r="F1639"/>
      <c r="G1639"/>
      <c r="H1639"/>
      <c r="I1639"/>
      <c r="J1639"/>
      <c r="K1639"/>
      <c r="L1639" s="11"/>
      <c r="M1639"/>
      <c r="N1639" s="3"/>
      <c r="O1639" s="11"/>
      <c r="P1639" s="11"/>
      <c r="Q1639" s="11"/>
      <c r="R1639" s="11"/>
      <c r="S1639" s="11"/>
      <c r="T1639" s="11"/>
      <c r="U1639" s="11"/>
      <c r="V1639" s="11"/>
      <c r="W1639" s="11"/>
    </row>
    <row r="1640" spans="2:23" x14ac:dyDescent="0.35">
      <c r="B1640"/>
      <c r="C1640"/>
      <c r="D1640"/>
      <c r="E1640"/>
      <c r="F1640"/>
      <c r="G1640"/>
      <c r="H1640"/>
      <c r="I1640"/>
      <c r="J1640"/>
      <c r="K1640"/>
      <c r="L1640" s="11"/>
      <c r="M1640"/>
      <c r="N1640" s="3"/>
      <c r="O1640" s="11"/>
      <c r="P1640" s="11"/>
      <c r="Q1640" s="11"/>
      <c r="R1640" s="11"/>
      <c r="S1640" s="11"/>
      <c r="T1640" s="11"/>
      <c r="U1640" s="11"/>
      <c r="V1640" s="11"/>
      <c r="W1640" s="11"/>
    </row>
    <row r="1641" spans="2:23" x14ac:dyDescent="0.35">
      <c r="B1641"/>
      <c r="C1641"/>
      <c r="D1641"/>
      <c r="E1641"/>
      <c r="F1641"/>
      <c r="G1641"/>
      <c r="H1641"/>
      <c r="I1641"/>
      <c r="J1641"/>
      <c r="K1641"/>
      <c r="L1641" s="11"/>
      <c r="M1641"/>
      <c r="N1641" s="3"/>
      <c r="O1641" s="11"/>
      <c r="P1641" s="11"/>
      <c r="Q1641" s="11"/>
      <c r="R1641" s="11"/>
      <c r="S1641" s="11"/>
      <c r="T1641" s="11"/>
      <c r="U1641" s="11"/>
      <c r="V1641" s="11"/>
      <c r="W1641" s="11"/>
    </row>
    <row r="1642" spans="2:23" x14ac:dyDescent="0.35">
      <c r="B1642"/>
      <c r="C1642"/>
      <c r="D1642"/>
      <c r="E1642"/>
      <c r="F1642"/>
      <c r="G1642"/>
      <c r="H1642"/>
      <c r="I1642"/>
      <c r="J1642"/>
      <c r="K1642"/>
      <c r="L1642" s="11"/>
      <c r="M1642"/>
      <c r="N1642" s="3"/>
      <c r="O1642" s="11"/>
      <c r="P1642" s="11"/>
      <c r="Q1642" s="11"/>
      <c r="R1642" s="11"/>
      <c r="S1642" s="11"/>
      <c r="T1642" s="11"/>
      <c r="U1642" s="11"/>
      <c r="V1642" s="11"/>
      <c r="W1642" s="11"/>
    </row>
    <row r="1643" spans="2:23" x14ac:dyDescent="0.35">
      <c r="B1643"/>
      <c r="C1643"/>
      <c r="D1643"/>
      <c r="E1643"/>
      <c r="F1643"/>
      <c r="G1643"/>
      <c r="H1643"/>
      <c r="I1643"/>
      <c r="J1643"/>
      <c r="K1643"/>
      <c r="L1643" s="11"/>
      <c r="M1643"/>
      <c r="N1643" s="3"/>
      <c r="O1643" s="11"/>
      <c r="P1643" s="11"/>
      <c r="Q1643" s="11"/>
      <c r="R1643" s="11"/>
      <c r="S1643" s="11"/>
      <c r="T1643" s="11"/>
      <c r="U1643" s="11"/>
      <c r="V1643" s="11"/>
      <c r="W1643" s="11"/>
    </row>
    <row r="1644" spans="2:23" x14ac:dyDescent="0.35">
      <c r="B1644"/>
      <c r="C1644"/>
      <c r="D1644"/>
      <c r="E1644"/>
      <c r="F1644"/>
      <c r="G1644"/>
      <c r="H1644"/>
      <c r="I1644"/>
      <c r="J1644"/>
      <c r="K1644"/>
      <c r="L1644" s="11"/>
      <c r="M1644"/>
      <c r="N1644" s="3"/>
      <c r="O1644" s="11"/>
      <c r="P1644" s="11"/>
      <c r="Q1644" s="11"/>
      <c r="R1644" s="11"/>
      <c r="S1644" s="11"/>
      <c r="T1644" s="11"/>
      <c r="U1644" s="11"/>
      <c r="V1644" s="11"/>
      <c r="W1644" s="11"/>
    </row>
    <row r="1645" spans="2:23" x14ac:dyDescent="0.35">
      <c r="B1645"/>
      <c r="C1645"/>
      <c r="D1645"/>
      <c r="E1645"/>
      <c r="F1645"/>
      <c r="G1645"/>
      <c r="H1645"/>
      <c r="I1645"/>
      <c r="J1645"/>
      <c r="K1645"/>
      <c r="L1645" s="11"/>
      <c r="M1645"/>
      <c r="N1645" s="3"/>
      <c r="O1645" s="11"/>
      <c r="P1645" s="11"/>
      <c r="Q1645" s="11"/>
      <c r="R1645" s="11"/>
      <c r="S1645" s="11"/>
      <c r="T1645" s="11"/>
      <c r="U1645" s="11"/>
      <c r="V1645" s="11"/>
      <c r="W1645" s="11"/>
    </row>
    <row r="1646" spans="2:23" x14ac:dyDescent="0.35">
      <c r="B1646"/>
      <c r="C1646"/>
      <c r="D1646"/>
      <c r="E1646"/>
      <c r="F1646"/>
      <c r="G1646"/>
      <c r="H1646"/>
      <c r="I1646"/>
      <c r="J1646"/>
      <c r="K1646"/>
      <c r="L1646" s="11"/>
      <c r="M1646"/>
      <c r="N1646" s="3"/>
      <c r="O1646" s="11"/>
      <c r="P1646" s="11"/>
      <c r="Q1646" s="11"/>
      <c r="R1646" s="11"/>
      <c r="S1646" s="11"/>
      <c r="T1646" s="11"/>
      <c r="U1646" s="11"/>
      <c r="V1646" s="11"/>
      <c r="W1646" s="11"/>
    </row>
    <row r="1647" spans="2:23" x14ac:dyDescent="0.35">
      <c r="B1647"/>
      <c r="C1647"/>
      <c r="D1647"/>
      <c r="E1647"/>
      <c r="F1647"/>
      <c r="G1647"/>
      <c r="H1647"/>
      <c r="I1647"/>
      <c r="J1647"/>
      <c r="K1647"/>
      <c r="L1647" s="11"/>
      <c r="M1647"/>
      <c r="N1647" s="3"/>
      <c r="O1647" s="11"/>
      <c r="P1647" s="11"/>
      <c r="Q1647" s="11"/>
      <c r="R1647" s="11"/>
      <c r="S1647" s="11"/>
      <c r="T1647" s="11"/>
      <c r="U1647" s="11"/>
      <c r="V1647" s="11"/>
      <c r="W1647" s="11"/>
    </row>
    <row r="1648" spans="2:23" x14ac:dyDescent="0.35">
      <c r="B1648"/>
      <c r="C1648"/>
      <c r="D1648"/>
      <c r="E1648"/>
      <c r="F1648"/>
      <c r="G1648"/>
      <c r="H1648"/>
      <c r="I1648"/>
      <c r="J1648"/>
      <c r="K1648"/>
      <c r="L1648" s="11"/>
      <c r="M1648"/>
      <c r="N1648" s="3"/>
      <c r="O1648" s="11"/>
      <c r="P1648" s="11"/>
      <c r="Q1648" s="11"/>
      <c r="R1648" s="11"/>
      <c r="S1648" s="11"/>
      <c r="T1648" s="11"/>
      <c r="U1648" s="11"/>
      <c r="V1648" s="11"/>
      <c r="W1648" s="11"/>
    </row>
    <row r="1649" spans="2:23" x14ac:dyDescent="0.35">
      <c r="B1649"/>
      <c r="C1649"/>
      <c r="D1649"/>
      <c r="E1649"/>
      <c r="F1649"/>
      <c r="G1649"/>
      <c r="H1649"/>
      <c r="I1649"/>
      <c r="J1649"/>
      <c r="K1649"/>
      <c r="L1649" s="11"/>
      <c r="M1649"/>
      <c r="N1649" s="3"/>
      <c r="O1649" s="11"/>
      <c r="P1649" s="11"/>
      <c r="Q1649" s="11"/>
      <c r="R1649" s="11"/>
      <c r="S1649" s="11"/>
      <c r="T1649" s="11"/>
      <c r="U1649" s="11"/>
      <c r="V1649" s="11"/>
      <c r="W1649" s="11"/>
    </row>
    <row r="1650" spans="2:23" x14ac:dyDescent="0.35">
      <c r="B1650"/>
      <c r="C1650"/>
      <c r="D1650"/>
      <c r="E1650"/>
      <c r="F1650"/>
      <c r="G1650"/>
      <c r="H1650"/>
      <c r="I1650"/>
      <c r="J1650"/>
      <c r="K1650"/>
      <c r="L1650" s="11"/>
      <c r="M1650"/>
      <c r="N1650" s="3"/>
      <c r="O1650" s="11"/>
      <c r="P1650" s="11"/>
      <c r="Q1650" s="11"/>
      <c r="R1650" s="11"/>
      <c r="S1650" s="11"/>
      <c r="T1650" s="11"/>
      <c r="U1650" s="11"/>
      <c r="V1650" s="11"/>
      <c r="W1650" s="11"/>
    </row>
    <row r="1651" spans="2:23" x14ac:dyDescent="0.35">
      <c r="B1651"/>
      <c r="C1651"/>
      <c r="D1651"/>
      <c r="E1651"/>
      <c r="F1651"/>
      <c r="G1651"/>
      <c r="H1651"/>
      <c r="I1651"/>
      <c r="J1651"/>
      <c r="K1651"/>
      <c r="L1651" s="11"/>
      <c r="M1651"/>
      <c r="N1651" s="3"/>
      <c r="O1651" s="11"/>
      <c r="P1651" s="11"/>
      <c r="Q1651" s="11"/>
      <c r="R1651" s="11"/>
      <c r="S1651" s="11"/>
      <c r="T1651" s="11"/>
      <c r="U1651" s="11"/>
      <c r="V1651" s="11"/>
      <c r="W1651" s="11"/>
    </row>
    <row r="1652" spans="2:23" x14ac:dyDescent="0.35">
      <c r="B1652"/>
      <c r="C1652"/>
      <c r="D1652"/>
      <c r="E1652"/>
      <c r="F1652"/>
      <c r="G1652"/>
      <c r="H1652"/>
      <c r="I1652"/>
      <c r="J1652"/>
      <c r="K1652"/>
      <c r="L1652" s="11"/>
      <c r="M1652"/>
      <c r="N1652" s="3"/>
      <c r="O1652" s="11"/>
      <c r="P1652" s="11"/>
      <c r="Q1652" s="11"/>
      <c r="R1652" s="11"/>
      <c r="S1652" s="11"/>
      <c r="T1652" s="11"/>
      <c r="U1652" s="11"/>
      <c r="V1652" s="11"/>
      <c r="W1652" s="11"/>
    </row>
    <row r="1653" spans="2:23" x14ac:dyDescent="0.35">
      <c r="B1653"/>
      <c r="C1653"/>
      <c r="D1653"/>
      <c r="E1653"/>
      <c r="F1653"/>
      <c r="G1653"/>
      <c r="H1653"/>
      <c r="I1653"/>
      <c r="J1653"/>
      <c r="K1653"/>
      <c r="L1653" s="11"/>
      <c r="M1653"/>
      <c r="N1653" s="3"/>
      <c r="O1653" s="11"/>
      <c r="P1653" s="11"/>
      <c r="Q1653" s="11"/>
      <c r="R1653" s="11"/>
      <c r="S1653" s="11"/>
      <c r="T1653" s="11"/>
      <c r="U1653" s="11"/>
      <c r="V1653" s="11"/>
      <c r="W1653" s="11"/>
    </row>
    <row r="1654" spans="2:23" x14ac:dyDescent="0.35">
      <c r="B1654"/>
      <c r="C1654"/>
      <c r="D1654"/>
      <c r="E1654"/>
      <c r="F1654"/>
      <c r="G1654"/>
      <c r="H1654"/>
      <c r="I1654"/>
      <c r="J1654"/>
      <c r="K1654"/>
      <c r="L1654" s="11"/>
      <c r="M1654"/>
      <c r="N1654" s="3"/>
      <c r="O1654" s="11"/>
      <c r="P1654" s="11"/>
      <c r="Q1654" s="11"/>
      <c r="R1654" s="11"/>
      <c r="S1654" s="11"/>
      <c r="T1654" s="11"/>
      <c r="U1654" s="11"/>
      <c r="V1654" s="11"/>
      <c r="W1654" s="11"/>
    </row>
    <row r="1655" spans="2:23" x14ac:dyDescent="0.35">
      <c r="B1655"/>
      <c r="C1655"/>
      <c r="D1655"/>
      <c r="E1655"/>
      <c r="F1655"/>
      <c r="G1655"/>
      <c r="H1655"/>
      <c r="I1655"/>
      <c r="J1655"/>
      <c r="K1655"/>
      <c r="L1655" s="11"/>
      <c r="M1655"/>
      <c r="N1655" s="3"/>
      <c r="O1655" s="11"/>
      <c r="P1655" s="11"/>
      <c r="Q1655" s="11"/>
      <c r="R1655" s="11"/>
      <c r="S1655" s="11"/>
      <c r="T1655" s="11"/>
      <c r="U1655" s="11"/>
      <c r="V1655" s="11"/>
      <c r="W1655" s="11"/>
    </row>
    <row r="1656" spans="2:23" x14ac:dyDescent="0.35">
      <c r="B1656"/>
      <c r="C1656"/>
      <c r="D1656"/>
      <c r="E1656"/>
      <c r="F1656"/>
      <c r="G1656"/>
      <c r="H1656"/>
      <c r="I1656"/>
      <c r="J1656"/>
      <c r="K1656"/>
      <c r="L1656" s="11"/>
      <c r="M1656"/>
      <c r="N1656" s="3"/>
      <c r="O1656" s="11"/>
      <c r="P1656" s="11"/>
      <c r="Q1656" s="11"/>
      <c r="R1656" s="11"/>
      <c r="S1656" s="11"/>
      <c r="T1656" s="11"/>
      <c r="U1656" s="11"/>
      <c r="V1656" s="11"/>
      <c r="W1656" s="11"/>
    </row>
    <row r="1657" spans="2:23" x14ac:dyDescent="0.35">
      <c r="B1657"/>
      <c r="C1657"/>
      <c r="D1657"/>
      <c r="E1657"/>
      <c r="F1657"/>
      <c r="G1657"/>
      <c r="H1657"/>
      <c r="I1657"/>
      <c r="J1657"/>
      <c r="K1657"/>
      <c r="L1657" s="11"/>
      <c r="M1657"/>
      <c r="N1657" s="3"/>
      <c r="O1657" s="11"/>
      <c r="P1657" s="11"/>
      <c r="Q1657" s="11"/>
      <c r="R1657" s="11"/>
      <c r="S1657" s="11"/>
      <c r="T1657" s="11"/>
      <c r="U1657" s="11"/>
      <c r="V1657" s="11"/>
      <c r="W1657" s="11"/>
    </row>
    <row r="1658" spans="2:23" x14ac:dyDescent="0.35">
      <c r="B1658"/>
      <c r="C1658"/>
      <c r="D1658"/>
      <c r="E1658"/>
      <c r="F1658"/>
      <c r="G1658"/>
      <c r="H1658"/>
      <c r="I1658"/>
      <c r="J1658"/>
      <c r="K1658"/>
      <c r="L1658" s="11"/>
      <c r="M1658"/>
      <c r="N1658" s="3"/>
      <c r="O1658" s="11"/>
      <c r="P1658" s="11"/>
      <c r="Q1658" s="11"/>
      <c r="R1658" s="11"/>
      <c r="S1658" s="11"/>
      <c r="T1658" s="11"/>
      <c r="U1658" s="11"/>
      <c r="V1658" s="11"/>
      <c r="W1658" s="11"/>
    </row>
    <row r="1659" spans="2:23" x14ac:dyDescent="0.35">
      <c r="B1659"/>
      <c r="C1659"/>
      <c r="D1659"/>
      <c r="E1659"/>
      <c r="F1659"/>
      <c r="G1659"/>
      <c r="H1659"/>
      <c r="I1659"/>
      <c r="J1659"/>
      <c r="K1659"/>
      <c r="L1659" s="11"/>
      <c r="M1659"/>
      <c r="N1659" s="3"/>
      <c r="O1659" s="11"/>
      <c r="P1659" s="11"/>
      <c r="Q1659" s="11"/>
      <c r="R1659" s="11"/>
      <c r="S1659" s="11"/>
      <c r="T1659" s="11"/>
      <c r="U1659" s="11"/>
      <c r="V1659" s="11"/>
      <c r="W1659" s="11"/>
    </row>
    <row r="1660" spans="2:23" x14ac:dyDescent="0.35">
      <c r="B1660"/>
      <c r="C1660"/>
      <c r="D1660"/>
      <c r="E1660"/>
      <c r="F1660"/>
      <c r="G1660"/>
      <c r="H1660"/>
      <c r="I1660"/>
      <c r="J1660"/>
      <c r="K1660"/>
      <c r="L1660" s="11"/>
      <c r="M1660"/>
      <c r="N1660" s="3"/>
      <c r="O1660" s="11"/>
      <c r="P1660" s="11"/>
      <c r="Q1660" s="11"/>
      <c r="R1660" s="11"/>
      <c r="S1660" s="11"/>
      <c r="T1660" s="11"/>
      <c r="U1660" s="11"/>
      <c r="V1660" s="11"/>
      <c r="W1660" s="11"/>
    </row>
    <row r="1661" spans="2:23" x14ac:dyDescent="0.35">
      <c r="B1661"/>
      <c r="C1661"/>
      <c r="D1661"/>
      <c r="E1661"/>
      <c r="F1661"/>
      <c r="G1661"/>
      <c r="H1661"/>
      <c r="I1661"/>
      <c r="J1661"/>
      <c r="K1661"/>
      <c r="L1661" s="11"/>
      <c r="M1661"/>
      <c r="N1661" s="3"/>
      <c r="O1661" s="11"/>
      <c r="P1661" s="11"/>
      <c r="Q1661" s="11"/>
      <c r="R1661" s="11"/>
      <c r="S1661" s="11"/>
      <c r="T1661" s="11"/>
      <c r="U1661" s="11"/>
      <c r="V1661" s="11"/>
      <c r="W1661" s="11"/>
    </row>
    <row r="1662" spans="2:23" x14ac:dyDescent="0.35">
      <c r="B1662"/>
      <c r="C1662"/>
      <c r="D1662"/>
      <c r="E1662"/>
      <c r="F1662"/>
      <c r="G1662"/>
      <c r="H1662"/>
      <c r="I1662"/>
      <c r="J1662"/>
      <c r="K1662"/>
      <c r="L1662" s="11"/>
      <c r="M1662"/>
      <c r="N1662" s="3"/>
      <c r="O1662" s="11"/>
      <c r="P1662" s="11"/>
      <c r="Q1662" s="11"/>
      <c r="R1662" s="11"/>
      <c r="S1662" s="11"/>
      <c r="T1662" s="11"/>
      <c r="U1662" s="11"/>
      <c r="V1662" s="11"/>
      <c r="W1662" s="11"/>
    </row>
    <row r="1663" spans="2:23" x14ac:dyDescent="0.35">
      <c r="B1663"/>
      <c r="C1663"/>
      <c r="D1663"/>
      <c r="E1663"/>
      <c r="F1663"/>
      <c r="G1663"/>
      <c r="H1663"/>
      <c r="I1663"/>
      <c r="J1663"/>
      <c r="K1663"/>
      <c r="L1663" s="11"/>
      <c r="M1663"/>
      <c r="N1663" s="3"/>
      <c r="O1663" s="11"/>
      <c r="P1663" s="11"/>
      <c r="Q1663" s="11"/>
      <c r="R1663" s="11"/>
      <c r="S1663" s="11"/>
      <c r="T1663" s="11"/>
      <c r="U1663" s="11"/>
      <c r="V1663" s="11"/>
      <c r="W1663" s="11"/>
    </row>
    <row r="1664" spans="2:23" x14ac:dyDescent="0.35">
      <c r="B1664"/>
      <c r="C1664"/>
      <c r="D1664"/>
      <c r="E1664"/>
      <c r="F1664"/>
      <c r="G1664"/>
      <c r="H1664"/>
      <c r="I1664"/>
      <c r="J1664"/>
      <c r="K1664"/>
      <c r="L1664" s="11"/>
      <c r="M1664"/>
      <c r="N1664" s="3"/>
      <c r="O1664" s="11"/>
      <c r="P1664" s="11"/>
      <c r="Q1664" s="11"/>
      <c r="R1664" s="11"/>
      <c r="S1664" s="11"/>
      <c r="T1664" s="11"/>
      <c r="U1664" s="11"/>
      <c r="V1664" s="11"/>
      <c r="W1664" s="11"/>
    </row>
    <row r="1665" spans="2:23" x14ac:dyDescent="0.35">
      <c r="B1665"/>
      <c r="C1665"/>
      <c r="D1665"/>
      <c r="E1665"/>
      <c r="F1665"/>
      <c r="G1665"/>
      <c r="H1665"/>
      <c r="I1665"/>
      <c r="J1665"/>
      <c r="K1665"/>
      <c r="L1665" s="11"/>
      <c r="M1665"/>
      <c r="N1665" s="3"/>
      <c r="O1665" s="11"/>
      <c r="P1665" s="11"/>
      <c r="Q1665" s="11"/>
      <c r="R1665" s="11"/>
      <c r="S1665" s="11"/>
      <c r="T1665" s="11"/>
      <c r="U1665" s="11"/>
      <c r="V1665" s="11"/>
      <c r="W1665" s="11"/>
    </row>
    <row r="1666" spans="2:23" x14ac:dyDescent="0.35">
      <c r="B1666"/>
      <c r="C1666"/>
      <c r="D1666"/>
      <c r="E1666"/>
      <c r="F1666"/>
      <c r="G1666"/>
      <c r="H1666"/>
      <c r="I1666"/>
      <c r="J1666"/>
      <c r="K1666"/>
      <c r="L1666" s="11"/>
      <c r="M1666"/>
      <c r="N1666" s="3"/>
      <c r="O1666" s="11"/>
      <c r="P1666" s="11"/>
      <c r="Q1666" s="11"/>
      <c r="R1666" s="11"/>
      <c r="S1666" s="11"/>
      <c r="T1666" s="11"/>
      <c r="U1666" s="11"/>
      <c r="V1666" s="11"/>
      <c r="W1666" s="11"/>
    </row>
    <row r="1667" spans="2:23" x14ac:dyDescent="0.35">
      <c r="B1667"/>
      <c r="C1667"/>
      <c r="D1667"/>
      <c r="E1667"/>
      <c r="F1667"/>
      <c r="G1667"/>
      <c r="H1667"/>
      <c r="I1667"/>
      <c r="J1667"/>
      <c r="K1667"/>
      <c r="L1667" s="11"/>
      <c r="M1667"/>
      <c r="N1667" s="3"/>
      <c r="O1667" s="11"/>
      <c r="P1667" s="11"/>
      <c r="Q1667" s="11"/>
      <c r="R1667" s="11"/>
      <c r="S1667" s="11"/>
      <c r="T1667" s="11"/>
      <c r="U1667" s="11"/>
      <c r="V1667" s="11"/>
      <c r="W1667" s="11"/>
    </row>
    <row r="1668" spans="2:23" x14ac:dyDescent="0.35">
      <c r="B1668"/>
      <c r="C1668"/>
      <c r="D1668"/>
      <c r="E1668"/>
      <c r="F1668"/>
      <c r="G1668"/>
      <c r="H1668"/>
      <c r="I1668"/>
      <c r="J1668"/>
      <c r="K1668"/>
      <c r="L1668" s="11"/>
      <c r="M1668"/>
      <c r="N1668" s="3"/>
      <c r="O1668" s="11"/>
      <c r="P1668" s="11"/>
      <c r="Q1668" s="11"/>
      <c r="R1668" s="11"/>
      <c r="S1668" s="11"/>
      <c r="T1668" s="11"/>
      <c r="U1668" s="11"/>
      <c r="V1668" s="11"/>
      <c r="W1668" s="11"/>
    </row>
    <row r="1669" spans="2:23" x14ac:dyDescent="0.35">
      <c r="B1669"/>
      <c r="C1669"/>
      <c r="D1669"/>
      <c r="E1669"/>
      <c r="F1669"/>
      <c r="G1669"/>
      <c r="H1669"/>
      <c r="I1669"/>
      <c r="J1669"/>
      <c r="K1669"/>
      <c r="L1669" s="11"/>
      <c r="M1669"/>
      <c r="N1669" s="3"/>
      <c r="O1669" s="11"/>
      <c r="P1669" s="11"/>
      <c r="Q1669" s="11"/>
      <c r="R1669" s="11"/>
      <c r="S1669" s="11"/>
      <c r="T1669" s="11"/>
      <c r="U1669" s="11"/>
      <c r="V1669" s="11"/>
      <c r="W1669" s="11"/>
    </row>
    <row r="1670" spans="2:23" x14ac:dyDescent="0.35">
      <c r="B1670"/>
      <c r="C1670"/>
      <c r="D1670"/>
      <c r="E1670"/>
      <c r="F1670"/>
      <c r="G1670"/>
      <c r="H1670"/>
      <c r="I1670"/>
      <c r="J1670"/>
      <c r="K1670"/>
      <c r="L1670" s="11"/>
      <c r="M1670"/>
      <c r="N1670" s="3"/>
      <c r="O1670" s="11"/>
      <c r="P1670" s="11"/>
      <c r="Q1670" s="11"/>
      <c r="R1670" s="11"/>
      <c r="S1670" s="11"/>
      <c r="T1670" s="11"/>
      <c r="U1670" s="11"/>
      <c r="V1670" s="11"/>
      <c r="W1670" s="11"/>
    </row>
    <row r="1671" spans="2:23" x14ac:dyDescent="0.35">
      <c r="B1671"/>
      <c r="C1671"/>
      <c r="D1671"/>
      <c r="E1671"/>
      <c r="F1671"/>
      <c r="G1671"/>
      <c r="H1671"/>
      <c r="I1671"/>
      <c r="J1671"/>
      <c r="K1671"/>
      <c r="L1671" s="11"/>
      <c r="M1671"/>
      <c r="N1671" s="3"/>
      <c r="O1671" s="11"/>
      <c r="P1671" s="11"/>
      <c r="Q1671" s="11"/>
      <c r="R1671" s="11"/>
      <c r="S1671" s="11"/>
      <c r="T1671" s="11"/>
      <c r="U1671" s="11"/>
      <c r="V1671" s="11"/>
      <c r="W1671" s="11"/>
    </row>
    <row r="1672" spans="2:23" x14ac:dyDescent="0.35">
      <c r="B1672"/>
      <c r="C1672"/>
      <c r="D1672"/>
      <c r="E1672"/>
      <c r="F1672"/>
      <c r="G1672"/>
      <c r="H1672"/>
      <c r="I1672"/>
      <c r="J1672"/>
      <c r="K1672"/>
      <c r="L1672" s="11"/>
      <c r="M1672"/>
      <c r="N1672" s="3"/>
      <c r="O1672" s="11"/>
      <c r="P1672" s="11"/>
      <c r="Q1672" s="11"/>
      <c r="R1672" s="11"/>
      <c r="S1672" s="11"/>
      <c r="T1672" s="11"/>
      <c r="U1672" s="11"/>
      <c r="V1672" s="11"/>
      <c r="W1672" s="11"/>
    </row>
    <row r="1673" spans="2:23" x14ac:dyDescent="0.35">
      <c r="B1673"/>
      <c r="C1673"/>
      <c r="D1673"/>
      <c r="E1673"/>
      <c r="F1673"/>
      <c r="G1673"/>
      <c r="H1673"/>
      <c r="I1673"/>
      <c r="J1673"/>
      <c r="K1673"/>
      <c r="L1673" s="11"/>
      <c r="M1673"/>
      <c r="N1673" s="3"/>
      <c r="O1673" s="11"/>
      <c r="P1673" s="11"/>
      <c r="Q1673" s="11"/>
      <c r="R1673" s="11"/>
      <c r="S1673" s="11"/>
      <c r="T1673" s="11"/>
      <c r="U1673" s="11"/>
      <c r="V1673" s="11"/>
      <c r="W1673" s="11"/>
    </row>
    <row r="1674" spans="2:23" x14ac:dyDescent="0.35">
      <c r="B1674"/>
      <c r="C1674"/>
      <c r="D1674"/>
      <c r="E1674"/>
      <c r="F1674"/>
      <c r="G1674"/>
      <c r="H1674"/>
      <c r="I1674"/>
      <c r="J1674"/>
      <c r="K1674"/>
      <c r="L1674" s="11"/>
      <c r="M1674"/>
      <c r="N1674" s="3"/>
      <c r="O1674" s="11"/>
      <c r="P1674" s="11"/>
      <c r="Q1674" s="11"/>
      <c r="R1674" s="11"/>
      <c r="S1674" s="11"/>
      <c r="T1674" s="11"/>
      <c r="U1674" s="11"/>
      <c r="V1674" s="11"/>
      <c r="W1674" s="11"/>
    </row>
    <row r="1675" spans="2:23" x14ac:dyDescent="0.35">
      <c r="B1675"/>
      <c r="C1675"/>
      <c r="D1675"/>
      <c r="E1675"/>
      <c r="F1675"/>
      <c r="G1675"/>
      <c r="H1675"/>
      <c r="I1675"/>
      <c r="J1675"/>
      <c r="K1675"/>
      <c r="L1675" s="11"/>
      <c r="M1675"/>
      <c r="N1675" s="3"/>
      <c r="O1675" s="11"/>
      <c r="P1675" s="11"/>
      <c r="Q1675" s="11"/>
      <c r="R1675" s="11"/>
      <c r="S1675" s="11"/>
      <c r="T1675" s="11"/>
      <c r="U1675" s="11"/>
      <c r="V1675" s="11"/>
      <c r="W1675" s="11"/>
    </row>
    <row r="1676" spans="2:23" x14ac:dyDescent="0.35">
      <c r="B1676"/>
      <c r="C1676"/>
      <c r="D1676"/>
      <c r="E1676"/>
      <c r="F1676"/>
      <c r="G1676"/>
      <c r="H1676"/>
      <c r="I1676"/>
      <c r="J1676"/>
      <c r="K1676"/>
      <c r="L1676" s="11"/>
      <c r="M1676"/>
      <c r="N1676" s="3"/>
      <c r="O1676" s="11"/>
      <c r="P1676" s="11"/>
      <c r="Q1676" s="11"/>
      <c r="R1676" s="11"/>
      <c r="S1676" s="11"/>
      <c r="T1676" s="11"/>
      <c r="U1676" s="11"/>
      <c r="V1676" s="11"/>
      <c r="W1676" s="11"/>
    </row>
    <row r="1677" spans="2:23" x14ac:dyDescent="0.35">
      <c r="B1677"/>
      <c r="C1677"/>
      <c r="D1677"/>
      <c r="E1677"/>
      <c r="F1677"/>
      <c r="G1677"/>
      <c r="H1677"/>
      <c r="I1677"/>
      <c r="J1677"/>
      <c r="K1677"/>
      <c r="L1677" s="11"/>
      <c r="M1677"/>
      <c r="N1677" s="3"/>
      <c r="O1677" s="11"/>
      <c r="P1677" s="11"/>
      <c r="Q1677" s="11"/>
      <c r="R1677" s="11"/>
      <c r="S1677" s="11"/>
      <c r="T1677" s="11"/>
      <c r="U1677" s="11"/>
      <c r="V1677" s="11"/>
      <c r="W1677" s="11"/>
    </row>
    <row r="1678" spans="2:23" x14ac:dyDescent="0.35">
      <c r="B1678"/>
      <c r="C1678"/>
      <c r="D1678"/>
      <c r="E1678"/>
      <c r="F1678"/>
      <c r="G1678"/>
      <c r="H1678"/>
      <c r="I1678"/>
      <c r="J1678"/>
      <c r="K1678"/>
      <c r="L1678" s="11"/>
      <c r="M1678"/>
      <c r="N1678" s="3"/>
      <c r="O1678" s="11"/>
      <c r="P1678" s="11"/>
      <c r="Q1678" s="11"/>
      <c r="R1678" s="11"/>
      <c r="S1678" s="11"/>
      <c r="T1678" s="11"/>
      <c r="U1678" s="11"/>
      <c r="V1678" s="11"/>
      <c r="W1678" s="11"/>
    </row>
    <row r="1679" spans="2:23" x14ac:dyDescent="0.35">
      <c r="B1679"/>
      <c r="C1679"/>
      <c r="D1679"/>
      <c r="E1679"/>
      <c r="F1679"/>
      <c r="G1679"/>
      <c r="H1679"/>
      <c r="I1679"/>
      <c r="J1679"/>
      <c r="K1679"/>
      <c r="L1679" s="11"/>
      <c r="M1679"/>
      <c r="N1679" s="3"/>
      <c r="O1679" s="11"/>
      <c r="P1679" s="11"/>
      <c r="Q1679" s="11"/>
      <c r="R1679" s="11"/>
      <c r="S1679" s="11"/>
      <c r="T1679" s="11"/>
      <c r="U1679" s="11"/>
      <c r="V1679" s="11"/>
      <c r="W1679" s="11"/>
    </row>
    <row r="1680" spans="2:23" x14ac:dyDescent="0.35">
      <c r="B1680"/>
      <c r="C1680"/>
      <c r="D1680"/>
      <c r="E1680"/>
      <c r="F1680"/>
      <c r="G1680"/>
      <c r="H1680"/>
      <c r="I1680"/>
      <c r="J1680"/>
      <c r="K1680"/>
      <c r="L1680" s="11"/>
      <c r="M1680"/>
      <c r="N1680" s="3"/>
      <c r="O1680" s="11"/>
      <c r="P1680" s="11"/>
      <c r="Q1680" s="11"/>
      <c r="R1680" s="11"/>
      <c r="S1680" s="11"/>
      <c r="T1680" s="11"/>
      <c r="U1680" s="11"/>
      <c r="V1680" s="11"/>
      <c r="W1680" s="11"/>
    </row>
    <row r="1681" spans="2:23" x14ac:dyDescent="0.35">
      <c r="B1681"/>
      <c r="C1681"/>
      <c r="D1681"/>
      <c r="E1681"/>
      <c r="F1681"/>
      <c r="G1681"/>
      <c r="H1681"/>
      <c r="I1681"/>
      <c r="J1681"/>
      <c r="K1681"/>
      <c r="L1681" s="11"/>
      <c r="M1681"/>
      <c r="N1681" s="3"/>
      <c r="O1681" s="11"/>
      <c r="P1681" s="11"/>
      <c r="Q1681" s="11"/>
      <c r="R1681" s="11"/>
      <c r="S1681" s="11"/>
      <c r="T1681" s="11"/>
      <c r="U1681" s="11"/>
      <c r="V1681" s="11"/>
      <c r="W1681" s="11"/>
    </row>
    <row r="1682" spans="2:23" x14ac:dyDescent="0.35">
      <c r="B1682"/>
      <c r="C1682"/>
      <c r="D1682"/>
      <c r="E1682"/>
      <c r="F1682"/>
      <c r="G1682"/>
      <c r="H1682"/>
      <c r="I1682"/>
      <c r="J1682"/>
      <c r="K1682"/>
      <c r="L1682" s="11"/>
      <c r="M1682"/>
      <c r="N1682" s="3"/>
      <c r="O1682" s="11"/>
      <c r="P1682" s="11"/>
      <c r="Q1682" s="11"/>
      <c r="R1682" s="11"/>
      <c r="S1682" s="11"/>
      <c r="T1682" s="11"/>
      <c r="U1682" s="11"/>
      <c r="V1682" s="11"/>
      <c r="W1682" s="11"/>
    </row>
    <row r="1683" spans="2:23" x14ac:dyDescent="0.35">
      <c r="B1683"/>
      <c r="C1683"/>
      <c r="D1683"/>
      <c r="E1683"/>
      <c r="F1683"/>
      <c r="G1683"/>
      <c r="H1683"/>
      <c r="I1683"/>
      <c r="J1683"/>
      <c r="K1683"/>
      <c r="L1683" s="11"/>
      <c r="M1683"/>
      <c r="N1683" s="3"/>
      <c r="O1683" s="11"/>
      <c r="P1683" s="11"/>
      <c r="Q1683" s="11"/>
      <c r="R1683" s="11"/>
      <c r="S1683" s="11"/>
      <c r="T1683" s="11"/>
      <c r="U1683" s="11"/>
      <c r="V1683" s="11"/>
      <c r="W1683" s="11"/>
    </row>
    <row r="1684" spans="2:23" x14ac:dyDescent="0.35">
      <c r="B1684"/>
      <c r="C1684"/>
      <c r="D1684"/>
      <c r="E1684"/>
      <c r="F1684"/>
      <c r="G1684"/>
      <c r="H1684"/>
      <c r="I1684"/>
      <c r="J1684"/>
      <c r="K1684"/>
      <c r="L1684" s="11"/>
      <c r="M1684"/>
      <c r="N1684" s="3"/>
      <c r="O1684" s="11"/>
      <c r="P1684" s="11"/>
      <c r="Q1684" s="11"/>
      <c r="R1684" s="11"/>
      <c r="S1684" s="11"/>
      <c r="T1684" s="11"/>
      <c r="U1684" s="11"/>
      <c r="V1684" s="11"/>
      <c r="W1684" s="11"/>
    </row>
    <row r="1685" spans="2:23" x14ac:dyDescent="0.35">
      <c r="B1685"/>
      <c r="C1685"/>
      <c r="D1685"/>
      <c r="E1685"/>
      <c r="F1685"/>
      <c r="G1685"/>
      <c r="H1685"/>
      <c r="I1685"/>
      <c r="J1685"/>
      <c r="K1685"/>
      <c r="L1685" s="11"/>
      <c r="M1685"/>
      <c r="N1685" s="3"/>
      <c r="O1685" s="11"/>
      <c r="P1685" s="11"/>
      <c r="Q1685" s="11"/>
      <c r="R1685" s="11"/>
      <c r="S1685" s="11"/>
      <c r="T1685" s="11"/>
      <c r="U1685" s="11"/>
      <c r="V1685" s="11"/>
      <c r="W1685" s="11"/>
    </row>
    <row r="1686" spans="2:23" x14ac:dyDescent="0.35">
      <c r="B1686"/>
      <c r="C1686"/>
      <c r="D1686"/>
      <c r="E1686"/>
      <c r="F1686"/>
      <c r="G1686"/>
      <c r="H1686"/>
      <c r="I1686"/>
      <c r="J1686"/>
      <c r="K1686"/>
      <c r="L1686" s="11"/>
      <c r="M1686"/>
      <c r="N1686" s="3"/>
      <c r="O1686" s="11"/>
      <c r="P1686" s="11"/>
      <c r="Q1686" s="11"/>
      <c r="R1686" s="11"/>
      <c r="S1686" s="11"/>
      <c r="T1686" s="11"/>
      <c r="U1686" s="11"/>
      <c r="V1686" s="11"/>
      <c r="W1686" s="11"/>
    </row>
    <row r="1687" spans="2:23" x14ac:dyDescent="0.35">
      <c r="B1687"/>
      <c r="C1687"/>
      <c r="D1687"/>
      <c r="E1687"/>
      <c r="F1687"/>
      <c r="G1687"/>
      <c r="H1687"/>
      <c r="I1687"/>
      <c r="J1687"/>
      <c r="K1687"/>
      <c r="L1687" s="11"/>
      <c r="M1687"/>
      <c r="N1687" s="3"/>
      <c r="O1687" s="11"/>
      <c r="P1687" s="11"/>
      <c r="Q1687" s="11"/>
      <c r="R1687" s="11"/>
      <c r="S1687" s="11"/>
      <c r="T1687" s="11"/>
      <c r="U1687" s="11"/>
      <c r="V1687" s="11"/>
      <c r="W1687" s="11"/>
    </row>
    <row r="1688" spans="2:23" x14ac:dyDescent="0.35">
      <c r="B1688"/>
      <c r="C1688"/>
      <c r="D1688"/>
      <c r="E1688"/>
      <c r="F1688"/>
      <c r="G1688"/>
      <c r="H1688"/>
      <c r="I1688"/>
      <c r="J1688"/>
      <c r="K1688"/>
      <c r="L1688" s="11"/>
      <c r="M1688"/>
      <c r="N1688" s="3"/>
      <c r="O1688" s="11"/>
      <c r="P1688" s="11"/>
      <c r="Q1688" s="11"/>
      <c r="R1688" s="11"/>
      <c r="S1688" s="11"/>
      <c r="T1688" s="11"/>
      <c r="U1688" s="11"/>
      <c r="V1688" s="11"/>
      <c r="W1688" s="11"/>
    </row>
    <row r="1689" spans="2:23" x14ac:dyDescent="0.35">
      <c r="B1689"/>
      <c r="C1689"/>
      <c r="D1689"/>
      <c r="E1689"/>
      <c r="F1689"/>
      <c r="G1689"/>
      <c r="H1689"/>
      <c r="I1689"/>
      <c r="J1689"/>
      <c r="K1689"/>
      <c r="L1689" s="11"/>
      <c r="M1689"/>
      <c r="N1689" s="3"/>
      <c r="O1689" s="11"/>
      <c r="P1689" s="11"/>
      <c r="Q1689" s="11"/>
      <c r="R1689" s="11"/>
      <c r="S1689" s="11"/>
      <c r="T1689" s="11"/>
      <c r="U1689" s="11"/>
      <c r="V1689" s="11"/>
      <c r="W1689" s="11"/>
    </row>
    <row r="1690" spans="2:23" x14ac:dyDescent="0.35">
      <c r="B1690"/>
      <c r="C1690"/>
      <c r="D1690"/>
      <c r="E1690"/>
      <c r="F1690"/>
      <c r="G1690"/>
      <c r="H1690"/>
      <c r="I1690"/>
      <c r="J1690"/>
      <c r="K1690"/>
      <c r="L1690" s="11"/>
      <c r="M1690"/>
      <c r="N1690" s="3"/>
      <c r="O1690" s="11"/>
      <c r="P1690" s="11"/>
      <c r="Q1690" s="11"/>
      <c r="R1690" s="11"/>
      <c r="S1690" s="11"/>
      <c r="T1690" s="11"/>
      <c r="U1690" s="11"/>
      <c r="V1690" s="11"/>
      <c r="W1690" s="11"/>
    </row>
    <row r="1691" spans="2:23" x14ac:dyDescent="0.35">
      <c r="B1691"/>
      <c r="C1691"/>
      <c r="D1691"/>
      <c r="E1691"/>
      <c r="F1691"/>
      <c r="G1691"/>
      <c r="H1691"/>
      <c r="I1691"/>
      <c r="J1691"/>
      <c r="K1691"/>
      <c r="L1691" s="11"/>
      <c r="M1691"/>
      <c r="N1691" s="3"/>
      <c r="O1691" s="11"/>
      <c r="P1691" s="11"/>
      <c r="Q1691" s="11"/>
      <c r="R1691" s="11"/>
      <c r="S1691" s="11"/>
      <c r="T1691" s="11"/>
      <c r="U1691" s="11"/>
      <c r="V1691" s="11"/>
      <c r="W1691" s="11"/>
    </row>
    <row r="1692" spans="2:23" x14ac:dyDescent="0.35">
      <c r="B1692"/>
      <c r="C1692"/>
      <c r="D1692"/>
      <c r="E1692"/>
      <c r="F1692"/>
      <c r="G1692"/>
      <c r="H1692"/>
      <c r="I1692"/>
      <c r="J1692"/>
      <c r="K1692"/>
      <c r="L1692" s="11"/>
      <c r="M1692"/>
      <c r="N1692" s="3"/>
      <c r="O1692" s="11"/>
      <c r="P1692" s="11"/>
      <c r="Q1692" s="11"/>
      <c r="R1692" s="11"/>
      <c r="S1692" s="11"/>
      <c r="T1692" s="11"/>
      <c r="U1692" s="11"/>
      <c r="V1692" s="11"/>
      <c r="W1692" s="11"/>
    </row>
    <row r="1693" spans="2:23" x14ac:dyDescent="0.35">
      <c r="B1693"/>
      <c r="C1693"/>
      <c r="D1693"/>
      <c r="E1693"/>
      <c r="F1693"/>
      <c r="G1693"/>
      <c r="H1693"/>
      <c r="I1693"/>
      <c r="J1693"/>
      <c r="K1693"/>
      <c r="L1693" s="11"/>
      <c r="M1693"/>
      <c r="N1693" s="3"/>
      <c r="O1693" s="11"/>
      <c r="P1693" s="11"/>
      <c r="Q1693" s="11"/>
      <c r="R1693" s="11"/>
      <c r="S1693" s="11"/>
      <c r="T1693" s="11"/>
      <c r="U1693" s="11"/>
      <c r="V1693" s="11"/>
      <c r="W1693" s="11"/>
    </row>
    <row r="1694" spans="2:23" x14ac:dyDescent="0.35">
      <c r="B1694"/>
      <c r="C1694"/>
      <c r="D1694"/>
      <c r="E1694"/>
      <c r="F1694"/>
      <c r="G1694"/>
      <c r="H1694"/>
      <c r="I1694"/>
      <c r="J1694"/>
      <c r="K1694"/>
      <c r="L1694" s="11"/>
      <c r="M1694"/>
      <c r="N1694" s="3"/>
      <c r="O1694" s="11"/>
      <c r="P1694" s="11"/>
      <c r="Q1694" s="11"/>
      <c r="R1694" s="11"/>
      <c r="S1694" s="11"/>
      <c r="T1694" s="11"/>
      <c r="U1694" s="11"/>
      <c r="V1694" s="11"/>
      <c r="W1694" s="11"/>
    </row>
    <row r="1695" spans="2:23" x14ac:dyDescent="0.35">
      <c r="B1695"/>
      <c r="C1695"/>
      <c r="D1695"/>
      <c r="E1695"/>
      <c r="F1695"/>
      <c r="G1695"/>
      <c r="H1695"/>
      <c r="I1695"/>
      <c r="J1695"/>
      <c r="K1695"/>
      <c r="L1695" s="11"/>
      <c r="M1695"/>
      <c r="N1695" s="3"/>
      <c r="O1695" s="11"/>
      <c r="P1695" s="11"/>
      <c r="Q1695" s="11"/>
      <c r="R1695" s="11"/>
      <c r="S1695" s="11"/>
      <c r="T1695" s="11"/>
      <c r="U1695" s="11"/>
      <c r="V1695" s="11"/>
      <c r="W1695" s="11"/>
    </row>
    <row r="1696" spans="2:23" x14ac:dyDescent="0.35">
      <c r="B1696"/>
      <c r="C1696"/>
      <c r="D1696"/>
      <c r="E1696"/>
      <c r="F1696"/>
      <c r="G1696"/>
      <c r="H1696"/>
      <c r="I1696"/>
      <c r="J1696"/>
      <c r="K1696"/>
      <c r="L1696" s="11"/>
      <c r="M1696"/>
      <c r="N1696" s="3"/>
      <c r="O1696" s="11"/>
      <c r="P1696" s="11"/>
      <c r="Q1696" s="11"/>
      <c r="R1696" s="11"/>
      <c r="S1696" s="11"/>
      <c r="T1696" s="11"/>
      <c r="U1696" s="11"/>
      <c r="V1696" s="11"/>
      <c r="W1696" s="11"/>
    </row>
    <row r="1697" spans="2:23" x14ac:dyDescent="0.35">
      <c r="B1697"/>
      <c r="C1697"/>
      <c r="D1697"/>
      <c r="E1697"/>
      <c r="F1697"/>
      <c r="G1697"/>
      <c r="H1697"/>
      <c r="I1697"/>
      <c r="J1697"/>
      <c r="K1697"/>
      <c r="L1697" s="11"/>
      <c r="M1697"/>
      <c r="N1697" s="3"/>
      <c r="O1697" s="11"/>
      <c r="P1697" s="11"/>
      <c r="Q1697" s="11"/>
      <c r="R1697" s="11"/>
      <c r="S1697" s="11"/>
      <c r="T1697" s="11"/>
      <c r="U1697" s="11"/>
      <c r="V1697" s="11"/>
      <c r="W1697" s="11"/>
    </row>
    <row r="1698" spans="2:23" x14ac:dyDescent="0.35">
      <c r="B1698"/>
      <c r="C1698"/>
      <c r="D1698"/>
      <c r="E1698"/>
      <c r="F1698"/>
      <c r="G1698"/>
      <c r="H1698"/>
      <c r="I1698"/>
      <c r="J1698"/>
      <c r="K1698"/>
      <c r="L1698" s="11"/>
      <c r="M1698"/>
      <c r="N1698" s="3"/>
      <c r="O1698" s="11"/>
      <c r="P1698" s="11"/>
      <c r="Q1698" s="11"/>
      <c r="R1698" s="11"/>
      <c r="S1698" s="11"/>
      <c r="T1698" s="11"/>
      <c r="U1698" s="11"/>
      <c r="V1698" s="11"/>
      <c r="W1698" s="11"/>
    </row>
    <row r="1699" spans="2:23" x14ac:dyDescent="0.35">
      <c r="B1699"/>
      <c r="C1699"/>
      <c r="D1699"/>
      <c r="E1699"/>
      <c r="F1699"/>
      <c r="G1699"/>
      <c r="H1699"/>
      <c r="I1699"/>
      <c r="J1699"/>
      <c r="K1699"/>
      <c r="L1699" s="11"/>
      <c r="M1699"/>
      <c r="N1699" s="3"/>
      <c r="O1699" s="11"/>
      <c r="P1699" s="11"/>
      <c r="Q1699" s="11"/>
      <c r="R1699" s="11"/>
      <c r="S1699" s="11"/>
      <c r="T1699" s="11"/>
      <c r="U1699" s="11"/>
      <c r="V1699" s="11"/>
      <c r="W1699" s="11"/>
    </row>
    <row r="1700" spans="2:23" x14ac:dyDescent="0.35">
      <c r="B1700"/>
      <c r="C1700"/>
      <c r="D1700"/>
      <c r="E1700"/>
      <c r="F1700"/>
      <c r="G1700"/>
      <c r="H1700"/>
      <c r="I1700"/>
      <c r="J1700"/>
      <c r="K1700"/>
      <c r="L1700" s="11"/>
      <c r="M1700"/>
      <c r="N1700" s="3"/>
      <c r="O1700" s="11"/>
      <c r="P1700" s="11"/>
      <c r="Q1700" s="11"/>
      <c r="R1700" s="11"/>
      <c r="S1700" s="11"/>
      <c r="T1700" s="11"/>
      <c r="U1700" s="11"/>
      <c r="V1700" s="11"/>
      <c r="W1700" s="11"/>
    </row>
    <row r="1701" spans="2:23" x14ac:dyDescent="0.35">
      <c r="B1701"/>
      <c r="C1701"/>
      <c r="D1701"/>
      <c r="E1701"/>
      <c r="F1701"/>
      <c r="G1701"/>
      <c r="H1701"/>
      <c r="I1701"/>
      <c r="J1701"/>
      <c r="K1701"/>
      <c r="L1701" s="11"/>
      <c r="M1701"/>
      <c r="N1701" s="3"/>
      <c r="O1701" s="11"/>
      <c r="P1701" s="11"/>
      <c r="Q1701" s="11"/>
      <c r="R1701" s="11"/>
      <c r="S1701" s="11"/>
      <c r="T1701" s="11"/>
      <c r="U1701" s="11"/>
      <c r="V1701" s="11"/>
      <c r="W1701" s="11"/>
    </row>
    <row r="1702" spans="2:23" x14ac:dyDescent="0.35">
      <c r="B1702"/>
      <c r="C1702"/>
      <c r="D1702"/>
      <c r="E1702"/>
      <c r="F1702"/>
      <c r="G1702"/>
      <c r="H1702"/>
      <c r="I1702"/>
      <c r="J1702"/>
      <c r="K1702"/>
      <c r="L1702" s="11"/>
      <c r="M1702"/>
      <c r="N1702" s="3"/>
      <c r="O1702" s="11"/>
      <c r="P1702" s="11"/>
      <c r="Q1702" s="11"/>
      <c r="R1702" s="11"/>
      <c r="S1702" s="11"/>
      <c r="T1702" s="11"/>
      <c r="U1702" s="11"/>
      <c r="V1702" s="11"/>
      <c r="W1702" s="11"/>
    </row>
    <row r="1703" spans="2:23" x14ac:dyDescent="0.35">
      <c r="B1703"/>
      <c r="C1703"/>
      <c r="D1703"/>
      <c r="E1703"/>
      <c r="F1703"/>
      <c r="G1703"/>
      <c r="H1703"/>
      <c r="I1703"/>
      <c r="J1703"/>
      <c r="K1703"/>
      <c r="L1703" s="11"/>
      <c r="M1703"/>
      <c r="N1703" s="3"/>
      <c r="O1703" s="11"/>
      <c r="P1703" s="11"/>
      <c r="Q1703" s="11"/>
      <c r="R1703" s="11"/>
      <c r="S1703" s="11"/>
      <c r="T1703" s="11"/>
      <c r="U1703" s="11"/>
      <c r="V1703" s="11"/>
      <c r="W1703" s="11"/>
    </row>
    <row r="1704" spans="2:23" x14ac:dyDescent="0.35">
      <c r="B1704"/>
      <c r="C1704"/>
      <c r="D1704"/>
      <c r="E1704"/>
      <c r="F1704"/>
      <c r="G1704"/>
      <c r="H1704"/>
      <c r="I1704"/>
      <c r="J1704"/>
      <c r="K1704"/>
      <c r="L1704" s="11"/>
      <c r="M1704"/>
      <c r="N1704" s="3"/>
      <c r="O1704" s="11"/>
      <c r="P1704" s="11"/>
      <c r="Q1704" s="11"/>
      <c r="R1704" s="11"/>
      <c r="S1704" s="11"/>
      <c r="T1704" s="11"/>
      <c r="U1704" s="11"/>
      <c r="V1704" s="11"/>
      <c r="W1704" s="11"/>
    </row>
    <row r="1705" spans="2:23" x14ac:dyDescent="0.35">
      <c r="B1705"/>
      <c r="C1705"/>
      <c r="D1705"/>
      <c r="E1705"/>
      <c r="F1705"/>
      <c r="G1705"/>
      <c r="H1705"/>
      <c r="I1705"/>
      <c r="J1705"/>
      <c r="K1705"/>
      <c r="L1705" s="11"/>
      <c r="M1705"/>
      <c r="N1705" s="3"/>
      <c r="O1705" s="11"/>
      <c r="P1705" s="11"/>
      <c r="Q1705" s="11"/>
      <c r="R1705" s="11"/>
      <c r="S1705" s="11"/>
      <c r="T1705" s="11"/>
      <c r="U1705" s="11"/>
      <c r="V1705" s="11"/>
      <c r="W1705" s="11"/>
    </row>
    <row r="1706" spans="2:23" x14ac:dyDescent="0.35">
      <c r="B1706"/>
      <c r="C1706"/>
      <c r="D1706"/>
      <c r="E1706"/>
      <c r="F1706"/>
      <c r="G1706"/>
      <c r="H1706"/>
      <c r="I1706"/>
      <c r="J1706"/>
      <c r="K1706"/>
      <c r="L1706" s="11"/>
      <c r="M1706"/>
      <c r="N1706" s="3"/>
      <c r="O1706" s="11"/>
      <c r="P1706" s="11"/>
      <c r="Q1706" s="11"/>
      <c r="R1706" s="11"/>
      <c r="S1706" s="11"/>
      <c r="T1706" s="11"/>
      <c r="U1706" s="11"/>
      <c r="V1706" s="11"/>
      <c r="W1706" s="11"/>
    </row>
    <row r="1707" spans="2:23" x14ac:dyDescent="0.35">
      <c r="B1707"/>
      <c r="C1707"/>
      <c r="D1707"/>
      <c r="E1707"/>
      <c r="F1707"/>
      <c r="G1707"/>
      <c r="H1707"/>
      <c r="I1707"/>
      <c r="J1707"/>
      <c r="K1707"/>
      <c r="L1707" s="11"/>
      <c r="M1707"/>
      <c r="N1707" s="3"/>
      <c r="O1707" s="11"/>
      <c r="P1707" s="11"/>
      <c r="Q1707" s="11"/>
      <c r="R1707" s="11"/>
      <c r="S1707" s="11"/>
      <c r="T1707" s="11"/>
      <c r="U1707" s="11"/>
      <c r="V1707" s="11"/>
      <c r="W1707" s="11"/>
    </row>
    <row r="1708" spans="2:23" x14ac:dyDescent="0.35">
      <c r="B1708"/>
      <c r="C1708"/>
      <c r="D1708"/>
      <c r="E1708"/>
      <c r="F1708"/>
      <c r="G1708"/>
      <c r="H1708"/>
      <c r="I1708"/>
      <c r="J1708"/>
      <c r="K1708"/>
      <c r="L1708" s="11"/>
      <c r="M1708"/>
      <c r="N1708" s="3"/>
      <c r="O1708" s="11"/>
      <c r="P1708" s="11"/>
      <c r="Q1708" s="11"/>
      <c r="R1708" s="11"/>
      <c r="S1708" s="11"/>
      <c r="T1708" s="11"/>
      <c r="U1708" s="11"/>
      <c r="V1708" s="11"/>
      <c r="W1708" s="11"/>
    </row>
    <row r="1709" spans="2:23" x14ac:dyDescent="0.35">
      <c r="B1709"/>
      <c r="C1709"/>
      <c r="D1709"/>
      <c r="E1709"/>
      <c r="F1709"/>
      <c r="G1709"/>
      <c r="H1709"/>
      <c r="I1709"/>
      <c r="J1709"/>
      <c r="K1709"/>
      <c r="L1709" s="11"/>
      <c r="M1709"/>
      <c r="N1709" s="3"/>
      <c r="O1709" s="11"/>
      <c r="P1709" s="11"/>
      <c r="Q1709" s="11"/>
      <c r="R1709" s="11"/>
      <c r="S1709" s="11"/>
      <c r="T1709" s="11"/>
      <c r="U1709" s="11"/>
      <c r="V1709" s="11"/>
      <c r="W1709" s="11"/>
    </row>
    <row r="1710" spans="2:23" x14ac:dyDescent="0.35">
      <c r="B1710"/>
      <c r="C1710"/>
      <c r="D1710"/>
      <c r="E1710"/>
      <c r="F1710"/>
      <c r="G1710"/>
      <c r="H1710"/>
      <c r="I1710"/>
      <c r="J1710"/>
      <c r="K1710"/>
      <c r="L1710" s="11"/>
      <c r="M1710"/>
      <c r="N1710" s="3"/>
      <c r="O1710" s="11"/>
      <c r="P1710" s="11"/>
      <c r="Q1710" s="11"/>
      <c r="R1710" s="11"/>
      <c r="S1710" s="11"/>
      <c r="T1710" s="11"/>
      <c r="U1710" s="11"/>
      <c r="V1710" s="11"/>
      <c r="W1710" s="11"/>
    </row>
    <row r="1711" spans="2:23" x14ac:dyDescent="0.35">
      <c r="B1711"/>
      <c r="C1711"/>
      <c r="D1711"/>
      <c r="E1711"/>
      <c r="F1711"/>
      <c r="G1711"/>
      <c r="H1711"/>
      <c r="I1711"/>
      <c r="J1711"/>
      <c r="K1711"/>
      <c r="L1711" s="11"/>
      <c r="M1711"/>
      <c r="N1711" s="3"/>
      <c r="O1711" s="11"/>
      <c r="P1711" s="11"/>
      <c r="Q1711" s="11"/>
      <c r="R1711" s="11"/>
      <c r="S1711" s="11"/>
      <c r="T1711" s="11"/>
      <c r="U1711" s="11"/>
      <c r="V1711" s="11"/>
      <c r="W1711" s="11"/>
    </row>
    <row r="1712" spans="2:23" x14ac:dyDescent="0.35">
      <c r="B1712"/>
      <c r="C1712"/>
      <c r="D1712"/>
      <c r="E1712"/>
      <c r="F1712"/>
      <c r="G1712"/>
      <c r="H1712"/>
      <c r="I1712"/>
      <c r="J1712"/>
      <c r="K1712"/>
      <c r="L1712" s="11"/>
      <c r="M1712"/>
      <c r="N1712" s="3"/>
      <c r="O1712" s="11"/>
      <c r="P1712" s="11"/>
      <c r="Q1712" s="11"/>
      <c r="R1712" s="11"/>
      <c r="S1712" s="11"/>
      <c r="T1712" s="11"/>
      <c r="U1712" s="11"/>
      <c r="V1712" s="11"/>
      <c r="W1712" s="11"/>
    </row>
    <row r="1713" spans="2:23" x14ac:dyDescent="0.35">
      <c r="B1713"/>
      <c r="C1713"/>
      <c r="D1713"/>
      <c r="E1713"/>
      <c r="F1713"/>
      <c r="G1713"/>
      <c r="H1713"/>
      <c r="I1713"/>
      <c r="J1713"/>
      <c r="K1713"/>
      <c r="L1713" s="11"/>
      <c r="M1713"/>
      <c r="N1713" s="3"/>
      <c r="O1713" s="11"/>
      <c r="P1713" s="11"/>
      <c r="Q1713" s="11"/>
      <c r="R1713" s="11"/>
      <c r="S1713" s="11"/>
      <c r="T1713" s="11"/>
      <c r="U1713" s="11"/>
      <c r="V1713" s="11"/>
      <c r="W1713" s="11"/>
    </row>
    <row r="1714" spans="2:23" x14ac:dyDescent="0.35">
      <c r="B1714"/>
      <c r="C1714"/>
      <c r="D1714"/>
      <c r="E1714"/>
      <c r="F1714"/>
      <c r="G1714"/>
      <c r="H1714"/>
      <c r="I1714"/>
      <c r="J1714"/>
      <c r="K1714"/>
      <c r="L1714" s="11"/>
      <c r="M1714"/>
      <c r="N1714" s="3"/>
      <c r="O1714" s="11"/>
      <c r="P1714" s="11"/>
      <c r="Q1714" s="11"/>
      <c r="R1714" s="11"/>
      <c r="S1714" s="11"/>
      <c r="T1714" s="11"/>
      <c r="U1714" s="11"/>
      <c r="V1714" s="11"/>
      <c r="W1714" s="11"/>
    </row>
    <row r="1715" spans="2:23" x14ac:dyDescent="0.35">
      <c r="B1715"/>
      <c r="C1715"/>
      <c r="D1715"/>
      <c r="E1715"/>
      <c r="F1715"/>
      <c r="G1715"/>
      <c r="H1715"/>
      <c r="I1715"/>
      <c r="J1715"/>
      <c r="K1715"/>
      <c r="L1715" s="11"/>
      <c r="M1715"/>
      <c r="N1715" s="3"/>
      <c r="O1715" s="11"/>
      <c r="P1715" s="11"/>
      <c r="Q1715" s="11"/>
      <c r="R1715" s="11"/>
      <c r="S1715" s="11"/>
      <c r="T1715" s="11"/>
      <c r="U1715" s="11"/>
      <c r="V1715" s="11"/>
      <c r="W1715" s="11"/>
    </row>
    <row r="1716" spans="2:23" x14ac:dyDescent="0.35">
      <c r="B1716"/>
      <c r="C1716"/>
      <c r="D1716"/>
      <c r="E1716"/>
      <c r="F1716"/>
      <c r="G1716"/>
      <c r="H1716"/>
      <c r="I1716"/>
      <c r="J1716"/>
      <c r="K1716"/>
      <c r="L1716" s="11"/>
      <c r="M1716"/>
      <c r="N1716" s="3"/>
      <c r="O1716" s="11"/>
      <c r="P1716" s="11"/>
      <c r="Q1716" s="11"/>
      <c r="R1716" s="11"/>
      <c r="S1716" s="11"/>
      <c r="T1716" s="11"/>
      <c r="U1716" s="11"/>
      <c r="V1716" s="11"/>
      <c r="W1716" s="11"/>
    </row>
    <row r="1717" spans="2:23" x14ac:dyDescent="0.35">
      <c r="B1717"/>
      <c r="C1717"/>
      <c r="D1717"/>
      <c r="E1717"/>
      <c r="F1717"/>
      <c r="G1717"/>
      <c r="H1717"/>
      <c r="I1717"/>
      <c r="J1717"/>
      <c r="K1717"/>
      <c r="L1717" s="11"/>
      <c r="M1717"/>
      <c r="N1717" s="3"/>
      <c r="O1717" s="11"/>
      <c r="P1717" s="11"/>
      <c r="Q1717" s="11"/>
      <c r="R1717" s="11"/>
      <c r="S1717" s="11"/>
      <c r="T1717" s="11"/>
      <c r="U1717" s="11"/>
      <c r="V1717" s="11"/>
      <c r="W1717" s="11"/>
    </row>
    <row r="1718" spans="2:23" x14ac:dyDescent="0.35">
      <c r="B1718"/>
      <c r="C1718"/>
      <c r="D1718"/>
      <c r="E1718"/>
      <c r="F1718"/>
      <c r="G1718"/>
      <c r="H1718"/>
      <c r="I1718"/>
      <c r="J1718"/>
      <c r="K1718"/>
      <c r="L1718" s="11"/>
      <c r="M1718"/>
      <c r="N1718" s="3"/>
      <c r="O1718" s="11"/>
      <c r="P1718" s="11"/>
      <c r="Q1718" s="11"/>
      <c r="R1718" s="11"/>
      <c r="S1718" s="11"/>
      <c r="T1718" s="11"/>
      <c r="U1718" s="11"/>
      <c r="V1718" s="11"/>
      <c r="W1718" s="11"/>
    </row>
    <row r="1719" spans="2:23" x14ac:dyDescent="0.35">
      <c r="B1719"/>
      <c r="C1719"/>
      <c r="D1719"/>
      <c r="E1719"/>
      <c r="F1719"/>
      <c r="G1719"/>
      <c r="H1719"/>
      <c r="I1719"/>
      <c r="J1719"/>
      <c r="K1719"/>
      <c r="L1719" s="11"/>
      <c r="M1719"/>
      <c r="N1719" s="3"/>
      <c r="O1719" s="11"/>
      <c r="P1719" s="11"/>
      <c r="Q1719" s="11"/>
      <c r="R1719" s="11"/>
      <c r="S1719" s="11"/>
      <c r="T1719" s="11"/>
      <c r="U1719" s="11"/>
      <c r="V1719" s="11"/>
      <c r="W1719" s="11"/>
    </row>
    <row r="1720" spans="2:23" x14ac:dyDescent="0.35">
      <c r="B1720"/>
      <c r="C1720"/>
      <c r="D1720"/>
      <c r="E1720"/>
      <c r="F1720"/>
      <c r="G1720"/>
      <c r="H1720"/>
      <c r="I1720"/>
      <c r="J1720"/>
      <c r="K1720"/>
      <c r="L1720" s="11"/>
      <c r="M1720"/>
      <c r="N1720" s="3"/>
      <c r="O1720" s="11"/>
      <c r="P1720" s="11"/>
      <c r="Q1720" s="11"/>
      <c r="R1720" s="11"/>
      <c r="S1720" s="11"/>
      <c r="T1720" s="11"/>
      <c r="U1720" s="11"/>
      <c r="V1720" s="11"/>
      <c r="W1720" s="11"/>
    </row>
    <row r="1721" spans="2:23" x14ac:dyDescent="0.35">
      <c r="B1721"/>
      <c r="C1721"/>
      <c r="D1721"/>
      <c r="E1721"/>
      <c r="F1721"/>
      <c r="G1721"/>
      <c r="H1721"/>
      <c r="I1721"/>
      <c r="J1721"/>
      <c r="K1721"/>
      <c r="L1721" s="11"/>
      <c r="M1721"/>
      <c r="N1721" s="3"/>
      <c r="O1721" s="11"/>
      <c r="P1721" s="11"/>
      <c r="Q1721" s="11"/>
      <c r="R1721" s="11"/>
      <c r="S1721" s="11"/>
      <c r="T1721" s="11"/>
      <c r="U1721" s="11"/>
      <c r="V1721" s="11"/>
      <c r="W1721" s="11"/>
    </row>
    <row r="1722" spans="2:23" x14ac:dyDescent="0.35">
      <c r="B1722"/>
      <c r="C1722"/>
      <c r="D1722"/>
      <c r="E1722"/>
      <c r="F1722"/>
      <c r="G1722"/>
      <c r="H1722"/>
      <c r="I1722"/>
      <c r="J1722"/>
      <c r="K1722"/>
      <c r="L1722" s="11"/>
      <c r="M1722"/>
      <c r="N1722" s="3"/>
      <c r="O1722" s="11"/>
      <c r="P1722" s="11"/>
      <c r="Q1722" s="11"/>
      <c r="R1722" s="11"/>
      <c r="S1722" s="11"/>
      <c r="T1722" s="11"/>
      <c r="U1722" s="11"/>
      <c r="V1722" s="11"/>
      <c r="W1722" s="11"/>
    </row>
    <row r="1723" spans="2:23" x14ac:dyDescent="0.35">
      <c r="B1723"/>
      <c r="C1723"/>
      <c r="D1723"/>
      <c r="E1723"/>
      <c r="F1723"/>
      <c r="G1723"/>
      <c r="H1723"/>
      <c r="I1723"/>
      <c r="J1723"/>
      <c r="K1723"/>
      <c r="L1723" s="11"/>
      <c r="M1723"/>
      <c r="N1723" s="3"/>
      <c r="O1723" s="11"/>
      <c r="P1723" s="11"/>
      <c r="Q1723" s="11"/>
      <c r="R1723" s="11"/>
      <c r="S1723" s="11"/>
      <c r="T1723" s="11"/>
      <c r="U1723" s="11"/>
      <c r="V1723" s="11"/>
      <c r="W1723" s="11"/>
    </row>
    <row r="1724" spans="2:23" x14ac:dyDescent="0.35">
      <c r="B1724"/>
      <c r="C1724"/>
      <c r="D1724"/>
      <c r="E1724"/>
      <c r="F1724"/>
      <c r="G1724"/>
      <c r="H1724"/>
      <c r="I1724"/>
      <c r="J1724"/>
      <c r="K1724"/>
      <c r="L1724" s="11"/>
      <c r="M1724"/>
      <c r="N1724" s="3"/>
      <c r="O1724" s="11"/>
      <c r="P1724" s="11"/>
      <c r="Q1724" s="11"/>
      <c r="R1724" s="11"/>
      <c r="S1724" s="11"/>
      <c r="T1724" s="11"/>
      <c r="U1724" s="11"/>
      <c r="V1724" s="11"/>
      <c r="W1724" s="11"/>
    </row>
    <row r="1725" spans="2:23" x14ac:dyDescent="0.35">
      <c r="B1725"/>
      <c r="C1725"/>
      <c r="D1725"/>
      <c r="E1725"/>
      <c r="F1725"/>
      <c r="G1725"/>
      <c r="H1725"/>
      <c r="I1725"/>
      <c r="J1725"/>
      <c r="K1725"/>
      <c r="L1725" s="11"/>
      <c r="M1725"/>
      <c r="N1725" s="3"/>
      <c r="O1725" s="11"/>
      <c r="P1725" s="11"/>
      <c r="Q1725" s="11"/>
      <c r="R1725" s="11"/>
      <c r="S1725" s="11"/>
      <c r="T1725" s="11"/>
      <c r="U1725" s="11"/>
      <c r="V1725" s="11"/>
      <c r="W1725" s="11"/>
    </row>
    <row r="1726" spans="2:23" x14ac:dyDescent="0.35">
      <c r="B1726"/>
      <c r="C1726"/>
      <c r="D1726"/>
      <c r="E1726"/>
      <c r="F1726"/>
      <c r="G1726"/>
      <c r="H1726"/>
      <c r="I1726"/>
      <c r="J1726"/>
      <c r="K1726"/>
      <c r="L1726" s="11"/>
      <c r="M1726"/>
      <c r="N1726" s="3"/>
      <c r="O1726" s="11"/>
      <c r="P1726" s="11"/>
      <c r="Q1726" s="11"/>
      <c r="R1726" s="11"/>
      <c r="S1726" s="11"/>
      <c r="T1726" s="11"/>
      <c r="U1726" s="11"/>
      <c r="V1726" s="11"/>
      <c r="W1726" s="11"/>
    </row>
    <row r="1727" spans="2:23" x14ac:dyDescent="0.35">
      <c r="B1727"/>
      <c r="C1727"/>
      <c r="D1727"/>
      <c r="E1727"/>
      <c r="F1727"/>
      <c r="G1727"/>
      <c r="H1727"/>
      <c r="I1727"/>
      <c r="J1727"/>
      <c r="K1727"/>
      <c r="L1727" s="11"/>
      <c r="M1727"/>
      <c r="N1727" s="3"/>
      <c r="O1727" s="11"/>
      <c r="P1727" s="11"/>
      <c r="Q1727" s="11"/>
      <c r="R1727" s="11"/>
      <c r="S1727" s="11"/>
      <c r="T1727" s="11"/>
      <c r="U1727" s="11"/>
      <c r="V1727" s="11"/>
      <c r="W1727" s="11"/>
    </row>
    <row r="1728" spans="2:23" x14ac:dyDescent="0.35">
      <c r="B1728"/>
      <c r="C1728"/>
      <c r="D1728"/>
      <c r="E1728"/>
      <c r="F1728"/>
      <c r="G1728"/>
      <c r="H1728"/>
      <c r="I1728"/>
      <c r="J1728"/>
      <c r="K1728"/>
      <c r="L1728" s="11"/>
      <c r="M1728"/>
      <c r="N1728" s="3"/>
      <c r="O1728" s="11"/>
      <c r="P1728" s="11"/>
      <c r="Q1728" s="11"/>
      <c r="R1728" s="11"/>
      <c r="S1728" s="11"/>
      <c r="T1728" s="11"/>
      <c r="U1728" s="11"/>
      <c r="V1728" s="11"/>
      <c r="W1728" s="11"/>
    </row>
    <row r="1729" spans="2:23" x14ac:dyDescent="0.35">
      <c r="B1729"/>
      <c r="C1729"/>
      <c r="D1729"/>
      <c r="E1729"/>
      <c r="F1729"/>
      <c r="G1729"/>
      <c r="H1729"/>
      <c r="I1729"/>
      <c r="J1729"/>
      <c r="K1729"/>
      <c r="L1729" s="11"/>
      <c r="M1729"/>
      <c r="N1729" s="3"/>
      <c r="O1729" s="11"/>
      <c r="P1729" s="11"/>
      <c r="Q1729" s="11"/>
      <c r="R1729" s="11"/>
      <c r="S1729" s="11"/>
      <c r="T1729" s="11"/>
      <c r="U1729" s="11"/>
      <c r="V1729" s="11"/>
      <c r="W1729" s="11"/>
    </row>
    <row r="1730" spans="2:23" x14ac:dyDescent="0.35">
      <c r="B1730"/>
      <c r="C1730"/>
      <c r="D1730"/>
      <c r="E1730"/>
      <c r="F1730"/>
      <c r="G1730"/>
      <c r="H1730"/>
      <c r="I1730"/>
      <c r="J1730"/>
      <c r="K1730"/>
      <c r="L1730" s="11"/>
      <c r="M1730"/>
      <c r="N1730" s="3"/>
      <c r="O1730" s="11"/>
      <c r="P1730" s="11"/>
      <c r="Q1730" s="11"/>
      <c r="R1730" s="11"/>
      <c r="S1730" s="11"/>
      <c r="T1730" s="11"/>
      <c r="U1730" s="11"/>
      <c r="V1730" s="11"/>
      <c r="W1730" s="11"/>
    </row>
    <row r="1731" spans="2:23" x14ac:dyDescent="0.35">
      <c r="B1731"/>
      <c r="C1731"/>
      <c r="D1731"/>
      <c r="E1731"/>
      <c r="F1731"/>
      <c r="G1731"/>
      <c r="H1731"/>
      <c r="I1731"/>
      <c r="J1731"/>
      <c r="K1731"/>
      <c r="L1731" s="11"/>
      <c r="M1731"/>
      <c r="N1731" s="3"/>
      <c r="O1731" s="11"/>
      <c r="P1731" s="11"/>
      <c r="Q1731" s="11"/>
      <c r="R1731" s="11"/>
      <c r="S1731" s="11"/>
      <c r="T1731" s="11"/>
      <c r="U1731" s="11"/>
      <c r="V1731" s="11"/>
      <c r="W1731" s="11"/>
    </row>
    <row r="1732" spans="2:23" x14ac:dyDescent="0.35">
      <c r="B1732"/>
      <c r="C1732"/>
      <c r="D1732"/>
      <c r="E1732"/>
      <c r="F1732"/>
      <c r="G1732"/>
      <c r="H1732"/>
      <c r="I1732"/>
      <c r="J1732"/>
      <c r="K1732"/>
      <c r="L1732" s="11"/>
      <c r="M1732"/>
      <c r="N1732" s="3"/>
      <c r="O1732" s="11"/>
      <c r="P1732" s="11"/>
      <c r="Q1732" s="11"/>
      <c r="R1732" s="11"/>
      <c r="S1732" s="11"/>
      <c r="T1732" s="11"/>
      <c r="U1732" s="11"/>
      <c r="V1732" s="11"/>
      <c r="W1732" s="11"/>
    </row>
    <row r="1733" spans="2:23" x14ac:dyDescent="0.35">
      <c r="B1733"/>
      <c r="C1733"/>
      <c r="D1733"/>
      <c r="E1733"/>
      <c r="F1733"/>
      <c r="G1733"/>
      <c r="H1733"/>
      <c r="I1733"/>
      <c r="J1733"/>
      <c r="K1733"/>
      <c r="L1733" s="11"/>
      <c r="M1733"/>
      <c r="N1733" s="3"/>
      <c r="O1733" s="11"/>
      <c r="P1733" s="11"/>
      <c r="Q1733" s="11"/>
      <c r="R1733" s="11"/>
      <c r="S1733" s="11"/>
      <c r="T1733" s="11"/>
      <c r="U1733" s="11"/>
      <c r="V1733" s="11"/>
      <c r="W1733" s="11"/>
    </row>
    <row r="1734" spans="2:23" x14ac:dyDescent="0.35">
      <c r="B1734"/>
      <c r="C1734"/>
      <c r="D1734"/>
      <c r="E1734"/>
      <c r="F1734"/>
      <c r="G1734"/>
      <c r="H1734"/>
      <c r="I1734"/>
      <c r="J1734"/>
      <c r="K1734"/>
      <c r="L1734" s="11"/>
      <c r="M1734"/>
      <c r="N1734" s="3"/>
      <c r="O1734" s="11"/>
      <c r="P1734" s="11"/>
      <c r="Q1734" s="11"/>
      <c r="R1734" s="11"/>
      <c r="S1734" s="11"/>
      <c r="T1734" s="11"/>
      <c r="U1734" s="11"/>
      <c r="V1734" s="11"/>
      <c r="W1734" s="11"/>
    </row>
    <row r="1735" spans="2:23" x14ac:dyDescent="0.35">
      <c r="B1735"/>
      <c r="C1735"/>
      <c r="D1735"/>
      <c r="E1735"/>
      <c r="F1735"/>
      <c r="G1735"/>
      <c r="H1735"/>
      <c r="I1735"/>
      <c r="J1735"/>
      <c r="K1735"/>
      <c r="L1735" s="11"/>
      <c r="M1735"/>
      <c r="N1735" s="3"/>
      <c r="O1735" s="11"/>
      <c r="P1735" s="11"/>
      <c r="Q1735" s="11"/>
      <c r="R1735" s="11"/>
      <c r="S1735" s="11"/>
      <c r="T1735" s="11"/>
      <c r="U1735" s="11"/>
      <c r="V1735" s="11"/>
      <c r="W1735" s="11"/>
    </row>
    <row r="1736" spans="2:23" x14ac:dyDescent="0.35">
      <c r="B1736"/>
      <c r="C1736"/>
      <c r="D1736"/>
      <c r="E1736"/>
      <c r="F1736"/>
      <c r="G1736"/>
      <c r="H1736"/>
      <c r="I1736"/>
      <c r="J1736"/>
      <c r="K1736"/>
      <c r="L1736" s="11"/>
      <c r="M1736"/>
      <c r="N1736" s="3"/>
      <c r="O1736" s="11"/>
      <c r="P1736" s="11"/>
      <c r="Q1736" s="11"/>
      <c r="R1736" s="11"/>
      <c r="S1736" s="11"/>
      <c r="T1736" s="11"/>
      <c r="U1736" s="11"/>
      <c r="V1736" s="11"/>
      <c r="W1736" s="11"/>
    </row>
    <row r="1737" spans="2:23" x14ac:dyDescent="0.35">
      <c r="B1737"/>
      <c r="C1737"/>
      <c r="D1737"/>
      <c r="E1737"/>
      <c r="F1737"/>
      <c r="G1737"/>
      <c r="H1737"/>
      <c r="I1737"/>
      <c r="J1737"/>
      <c r="K1737"/>
      <c r="L1737" s="11"/>
      <c r="M1737"/>
      <c r="N1737" s="3"/>
      <c r="O1737" s="11"/>
      <c r="P1737" s="11"/>
      <c r="Q1737" s="11"/>
      <c r="R1737" s="11"/>
      <c r="S1737" s="11"/>
      <c r="T1737" s="11"/>
      <c r="U1737" s="11"/>
      <c r="V1737" s="11"/>
      <c r="W1737" s="11"/>
    </row>
    <row r="1738" spans="2:23" x14ac:dyDescent="0.35">
      <c r="B1738"/>
      <c r="C1738"/>
      <c r="D1738"/>
      <c r="E1738"/>
      <c r="F1738"/>
      <c r="G1738"/>
      <c r="H1738"/>
      <c r="I1738"/>
      <c r="J1738"/>
      <c r="K1738"/>
      <c r="L1738" s="11"/>
      <c r="M1738"/>
      <c r="N1738" s="3"/>
      <c r="O1738" s="11"/>
      <c r="P1738" s="11"/>
      <c r="Q1738" s="11"/>
      <c r="R1738" s="11"/>
      <c r="S1738" s="11"/>
      <c r="T1738" s="11"/>
      <c r="U1738" s="11"/>
      <c r="V1738" s="11"/>
      <c r="W1738" s="11"/>
    </row>
    <row r="1739" spans="2:23" x14ac:dyDescent="0.35">
      <c r="B1739"/>
      <c r="C1739"/>
      <c r="D1739"/>
      <c r="E1739"/>
      <c r="F1739"/>
      <c r="G1739"/>
      <c r="H1739"/>
      <c r="I1739"/>
      <c r="J1739"/>
      <c r="K1739"/>
      <c r="L1739" s="11"/>
      <c r="M1739"/>
      <c r="N1739" s="3"/>
      <c r="O1739" s="11"/>
      <c r="P1739" s="11"/>
      <c r="Q1739" s="11"/>
      <c r="R1739" s="11"/>
      <c r="S1739" s="11"/>
      <c r="T1739" s="11"/>
      <c r="U1739" s="11"/>
      <c r="V1739" s="11"/>
      <c r="W1739" s="11"/>
    </row>
    <row r="1740" spans="2:23" x14ac:dyDescent="0.35">
      <c r="B1740"/>
      <c r="C1740"/>
      <c r="D1740"/>
      <c r="E1740"/>
      <c r="F1740"/>
      <c r="G1740"/>
      <c r="H1740"/>
      <c r="I1740"/>
      <c r="J1740"/>
      <c r="K1740"/>
      <c r="L1740" s="11"/>
      <c r="M1740"/>
      <c r="N1740" s="3"/>
      <c r="O1740" s="11"/>
      <c r="P1740" s="11"/>
      <c r="Q1740" s="11"/>
      <c r="R1740" s="11"/>
      <c r="S1740" s="11"/>
      <c r="T1740" s="11"/>
      <c r="U1740" s="11"/>
      <c r="V1740" s="11"/>
      <c r="W1740" s="11"/>
    </row>
    <row r="1741" spans="2:23" x14ac:dyDescent="0.35">
      <c r="B1741"/>
      <c r="C1741"/>
      <c r="D1741"/>
      <c r="E1741"/>
      <c r="F1741"/>
      <c r="G1741"/>
      <c r="H1741"/>
      <c r="I1741"/>
      <c r="J1741"/>
      <c r="K1741"/>
      <c r="L1741" s="11"/>
      <c r="M1741"/>
      <c r="N1741" s="3"/>
      <c r="O1741" s="11"/>
      <c r="P1741" s="11"/>
      <c r="Q1741" s="11"/>
      <c r="R1741" s="11"/>
      <c r="S1741" s="11"/>
      <c r="T1741" s="11"/>
      <c r="U1741" s="11"/>
      <c r="V1741" s="11"/>
      <c r="W1741" s="11"/>
    </row>
    <row r="1742" spans="2:23" x14ac:dyDescent="0.35">
      <c r="B1742"/>
      <c r="C1742"/>
      <c r="D1742"/>
      <c r="E1742"/>
      <c r="F1742"/>
      <c r="G1742"/>
      <c r="H1742"/>
      <c r="I1742"/>
      <c r="J1742"/>
      <c r="K1742"/>
      <c r="L1742" s="11"/>
      <c r="M1742"/>
      <c r="N1742" s="3"/>
      <c r="O1742" s="11"/>
      <c r="P1742" s="11"/>
      <c r="Q1742" s="11"/>
      <c r="R1742" s="11"/>
      <c r="S1742" s="11"/>
      <c r="T1742" s="11"/>
      <c r="U1742" s="11"/>
      <c r="V1742" s="11"/>
      <c r="W1742" s="11"/>
    </row>
    <row r="1743" spans="2:23" x14ac:dyDescent="0.35">
      <c r="B1743"/>
      <c r="C1743"/>
      <c r="D1743"/>
      <c r="E1743"/>
      <c r="F1743"/>
      <c r="G1743"/>
      <c r="H1743"/>
      <c r="I1743"/>
      <c r="J1743"/>
      <c r="K1743"/>
      <c r="L1743" s="11"/>
      <c r="M1743"/>
      <c r="N1743" s="3"/>
      <c r="O1743" s="11"/>
      <c r="P1743" s="11"/>
      <c r="Q1743" s="11"/>
      <c r="R1743" s="11"/>
      <c r="S1743" s="11"/>
      <c r="T1743" s="11"/>
      <c r="U1743" s="11"/>
      <c r="V1743" s="11"/>
      <c r="W1743" s="11"/>
    </row>
    <row r="1744" spans="2:23" x14ac:dyDescent="0.35">
      <c r="B1744"/>
      <c r="C1744"/>
      <c r="D1744"/>
      <c r="E1744"/>
      <c r="F1744"/>
      <c r="G1744"/>
      <c r="H1744"/>
      <c r="I1744"/>
      <c r="J1744"/>
      <c r="K1744"/>
      <c r="L1744" s="11"/>
      <c r="M1744"/>
      <c r="N1744" s="3"/>
      <c r="O1744" s="11"/>
      <c r="P1744" s="11"/>
      <c r="Q1744" s="11"/>
      <c r="R1744" s="11"/>
      <c r="S1744" s="11"/>
      <c r="T1744" s="11"/>
      <c r="U1744" s="11"/>
      <c r="V1744" s="11"/>
      <c r="W1744" s="11"/>
    </row>
    <row r="1745" spans="2:23" x14ac:dyDescent="0.35">
      <c r="B1745"/>
      <c r="C1745"/>
      <c r="D1745"/>
      <c r="E1745"/>
      <c r="F1745"/>
      <c r="G1745"/>
      <c r="H1745"/>
      <c r="I1745"/>
      <c r="J1745"/>
      <c r="K1745"/>
      <c r="L1745" s="11"/>
      <c r="M1745"/>
      <c r="N1745" s="3"/>
      <c r="O1745" s="11"/>
      <c r="P1745" s="11"/>
      <c r="Q1745" s="11"/>
      <c r="R1745" s="11"/>
      <c r="S1745" s="11"/>
      <c r="T1745" s="11"/>
      <c r="U1745" s="11"/>
      <c r="V1745" s="11"/>
      <c r="W1745" s="11"/>
    </row>
    <row r="1746" spans="2:23" x14ac:dyDescent="0.35">
      <c r="B1746"/>
      <c r="C1746"/>
      <c r="D1746"/>
      <c r="E1746"/>
      <c r="F1746"/>
      <c r="G1746"/>
      <c r="H1746"/>
      <c r="I1746"/>
      <c r="J1746"/>
      <c r="K1746"/>
      <c r="L1746" s="11"/>
      <c r="M1746"/>
      <c r="N1746" s="3"/>
      <c r="O1746" s="11"/>
      <c r="P1746" s="11"/>
      <c r="Q1746" s="11"/>
      <c r="R1746" s="11"/>
      <c r="S1746" s="11"/>
      <c r="T1746" s="11"/>
      <c r="U1746" s="11"/>
      <c r="V1746" s="11"/>
      <c r="W1746" s="11"/>
    </row>
    <row r="1747" spans="2:23" x14ac:dyDescent="0.35">
      <c r="B1747"/>
      <c r="C1747"/>
      <c r="D1747"/>
      <c r="E1747"/>
      <c r="F1747"/>
      <c r="G1747"/>
      <c r="H1747"/>
      <c r="I1747"/>
      <c r="J1747"/>
      <c r="K1747"/>
      <c r="L1747" s="11"/>
      <c r="M1747"/>
      <c r="N1747" s="3"/>
      <c r="O1747" s="11"/>
      <c r="P1747" s="11"/>
      <c r="Q1747" s="11"/>
      <c r="R1747" s="11"/>
      <c r="S1747" s="11"/>
      <c r="T1747" s="11"/>
      <c r="U1747" s="11"/>
      <c r="V1747" s="11"/>
      <c r="W1747" s="11"/>
    </row>
    <row r="1748" spans="2:23" x14ac:dyDescent="0.35">
      <c r="B1748"/>
      <c r="C1748"/>
      <c r="D1748"/>
      <c r="E1748"/>
      <c r="F1748"/>
      <c r="G1748"/>
      <c r="H1748"/>
      <c r="I1748"/>
      <c r="J1748"/>
      <c r="K1748"/>
      <c r="L1748" s="11"/>
      <c r="M1748"/>
      <c r="N1748" s="3"/>
      <c r="O1748" s="11"/>
      <c r="P1748" s="11"/>
      <c r="Q1748" s="11"/>
      <c r="R1748" s="11"/>
      <c r="S1748" s="11"/>
      <c r="T1748" s="11"/>
      <c r="U1748" s="11"/>
      <c r="V1748" s="11"/>
      <c r="W1748" s="11"/>
    </row>
    <row r="1749" spans="2:23" x14ac:dyDescent="0.35">
      <c r="B1749"/>
      <c r="C1749"/>
      <c r="D1749"/>
      <c r="E1749"/>
      <c r="F1749"/>
      <c r="G1749"/>
      <c r="H1749"/>
      <c r="I1749"/>
      <c r="J1749"/>
      <c r="K1749"/>
      <c r="L1749" s="11"/>
      <c r="M1749"/>
      <c r="N1749" s="3"/>
      <c r="O1749" s="11"/>
      <c r="P1749" s="11"/>
      <c r="Q1749" s="11"/>
      <c r="R1749" s="11"/>
      <c r="S1749" s="11"/>
      <c r="T1749" s="11"/>
      <c r="U1749" s="11"/>
      <c r="V1749" s="11"/>
      <c r="W1749" s="11"/>
    </row>
    <row r="1750" spans="2:23" x14ac:dyDescent="0.35">
      <c r="B1750"/>
      <c r="C1750"/>
      <c r="D1750"/>
      <c r="E1750"/>
      <c r="F1750"/>
      <c r="G1750"/>
      <c r="H1750"/>
      <c r="I1750"/>
      <c r="J1750"/>
      <c r="K1750"/>
      <c r="L1750" s="11"/>
      <c r="M1750"/>
      <c r="N1750" s="3"/>
      <c r="O1750" s="11"/>
      <c r="P1750" s="11"/>
      <c r="Q1750" s="11"/>
      <c r="R1750" s="11"/>
      <c r="S1750" s="11"/>
      <c r="T1750" s="11"/>
      <c r="U1750" s="11"/>
      <c r="V1750" s="11"/>
      <c r="W1750" s="11"/>
    </row>
    <row r="1751" spans="2:23" x14ac:dyDescent="0.35">
      <c r="B1751"/>
      <c r="C1751"/>
      <c r="D1751"/>
      <c r="E1751"/>
      <c r="F1751"/>
      <c r="G1751"/>
      <c r="H1751"/>
      <c r="I1751"/>
      <c r="J1751"/>
      <c r="K1751"/>
      <c r="L1751" s="11"/>
      <c r="M1751"/>
      <c r="N1751" s="3"/>
      <c r="O1751" s="11"/>
      <c r="P1751" s="11"/>
      <c r="Q1751" s="11"/>
      <c r="R1751" s="11"/>
      <c r="S1751" s="11"/>
      <c r="T1751" s="11"/>
      <c r="U1751" s="11"/>
      <c r="V1751" s="11"/>
      <c r="W1751" s="11"/>
    </row>
    <row r="1752" spans="2:23" x14ac:dyDescent="0.35">
      <c r="B1752"/>
      <c r="C1752"/>
      <c r="D1752"/>
      <c r="E1752"/>
      <c r="F1752"/>
      <c r="G1752"/>
      <c r="H1752"/>
      <c r="I1752"/>
      <c r="J1752"/>
      <c r="K1752"/>
      <c r="L1752" s="11"/>
      <c r="M1752"/>
      <c r="N1752" s="3"/>
      <c r="O1752" s="11"/>
      <c r="P1752" s="11"/>
      <c r="Q1752" s="11"/>
      <c r="R1752" s="11"/>
      <c r="S1752" s="11"/>
      <c r="T1752" s="11"/>
      <c r="U1752" s="11"/>
      <c r="V1752" s="11"/>
      <c r="W1752" s="11"/>
    </row>
    <row r="1753" spans="2:23" x14ac:dyDescent="0.35">
      <c r="B1753"/>
      <c r="C1753"/>
      <c r="D1753"/>
      <c r="E1753"/>
      <c r="F1753"/>
      <c r="G1753"/>
      <c r="H1753"/>
      <c r="I1753"/>
      <c r="J1753"/>
      <c r="K1753"/>
      <c r="L1753" s="11"/>
      <c r="M1753"/>
      <c r="N1753" s="3"/>
      <c r="O1753" s="11"/>
      <c r="P1753" s="11"/>
      <c r="Q1753" s="11"/>
      <c r="R1753" s="11"/>
      <c r="S1753" s="11"/>
      <c r="T1753" s="11"/>
      <c r="U1753" s="11"/>
      <c r="V1753" s="11"/>
      <c r="W1753" s="11"/>
    </row>
    <row r="1754" spans="2:23" x14ac:dyDescent="0.35">
      <c r="B1754"/>
      <c r="C1754"/>
      <c r="D1754"/>
      <c r="E1754"/>
      <c r="F1754"/>
      <c r="G1754"/>
      <c r="H1754"/>
      <c r="I1754"/>
      <c r="J1754"/>
      <c r="K1754"/>
      <c r="L1754" s="11"/>
      <c r="M1754"/>
      <c r="N1754" s="3"/>
      <c r="O1754" s="11"/>
      <c r="P1754" s="11"/>
      <c r="Q1754" s="11"/>
      <c r="R1754" s="11"/>
      <c r="S1754" s="11"/>
      <c r="T1754" s="11"/>
      <c r="U1754" s="11"/>
      <c r="V1754" s="11"/>
      <c r="W1754" s="11"/>
    </row>
    <row r="1755" spans="2:23" x14ac:dyDescent="0.35">
      <c r="B1755"/>
      <c r="C1755"/>
      <c r="D1755"/>
      <c r="E1755"/>
      <c r="F1755"/>
      <c r="G1755"/>
      <c r="H1755"/>
      <c r="I1755"/>
      <c r="J1755"/>
      <c r="K1755"/>
      <c r="L1755" s="11"/>
      <c r="M1755"/>
      <c r="N1755" s="3"/>
      <c r="O1755" s="11"/>
      <c r="P1755" s="11"/>
      <c r="Q1755" s="11"/>
      <c r="R1755" s="11"/>
      <c r="S1755" s="11"/>
      <c r="T1755" s="11"/>
      <c r="U1755" s="11"/>
      <c r="V1755" s="11"/>
      <c r="W1755" s="11"/>
    </row>
    <row r="1756" spans="2:23" x14ac:dyDescent="0.35">
      <c r="B1756"/>
      <c r="C1756"/>
      <c r="D1756"/>
      <c r="E1756"/>
      <c r="F1756"/>
      <c r="G1756"/>
      <c r="H1756"/>
      <c r="I1756"/>
      <c r="J1756"/>
      <c r="K1756"/>
      <c r="L1756" s="11"/>
      <c r="M1756"/>
      <c r="N1756" s="3"/>
      <c r="O1756" s="11"/>
      <c r="P1756" s="11"/>
      <c r="Q1756" s="11"/>
      <c r="R1756" s="11"/>
      <c r="S1756" s="11"/>
      <c r="T1756" s="11"/>
      <c r="U1756" s="11"/>
      <c r="V1756" s="11"/>
      <c r="W1756" s="11"/>
    </row>
    <row r="1757" spans="2:23" x14ac:dyDescent="0.35">
      <c r="B1757"/>
      <c r="C1757"/>
      <c r="D1757"/>
      <c r="E1757"/>
      <c r="F1757"/>
      <c r="G1757"/>
      <c r="H1757"/>
      <c r="I1757"/>
      <c r="J1757"/>
      <c r="K1757"/>
      <c r="L1757" s="11"/>
      <c r="M1757"/>
      <c r="N1757" s="3"/>
      <c r="O1757" s="11"/>
      <c r="P1757" s="11"/>
      <c r="Q1757" s="11"/>
      <c r="R1757" s="11"/>
      <c r="S1757" s="11"/>
      <c r="T1757" s="11"/>
      <c r="U1757" s="11"/>
      <c r="V1757" s="11"/>
      <c r="W1757" s="11"/>
    </row>
    <row r="1758" spans="2:23" x14ac:dyDescent="0.35">
      <c r="B1758"/>
      <c r="C1758"/>
      <c r="D1758"/>
      <c r="E1758"/>
      <c r="F1758"/>
      <c r="G1758"/>
      <c r="H1758"/>
      <c r="I1758"/>
      <c r="J1758"/>
      <c r="K1758"/>
      <c r="L1758" s="11"/>
      <c r="M1758"/>
      <c r="N1758" s="3"/>
      <c r="O1758" s="11"/>
      <c r="P1758" s="11"/>
      <c r="Q1758" s="11"/>
      <c r="R1758" s="11"/>
      <c r="S1758" s="11"/>
      <c r="T1758" s="11"/>
      <c r="U1758" s="11"/>
      <c r="V1758" s="11"/>
      <c r="W1758" s="11"/>
    </row>
    <row r="1759" spans="2:23" x14ac:dyDescent="0.35">
      <c r="B1759"/>
      <c r="C1759"/>
      <c r="D1759"/>
      <c r="E1759"/>
      <c r="F1759"/>
      <c r="G1759"/>
      <c r="H1759"/>
      <c r="I1759"/>
      <c r="J1759"/>
      <c r="K1759"/>
      <c r="L1759" s="11"/>
      <c r="M1759"/>
      <c r="N1759" s="3"/>
      <c r="O1759" s="11"/>
      <c r="P1759" s="11"/>
      <c r="Q1759" s="11"/>
      <c r="R1759" s="11"/>
      <c r="S1759" s="11"/>
      <c r="T1759" s="11"/>
      <c r="U1759" s="11"/>
      <c r="V1759" s="11"/>
      <c r="W1759" s="11"/>
    </row>
    <row r="1760" spans="2:23" x14ac:dyDescent="0.35">
      <c r="B1760"/>
      <c r="C1760"/>
      <c r="D1760"/>
      <c r="E1760"/>
      <c r="F1760"/>
      <c r="G1760"/>
      <c r="H1760"/>
      <c r="I1760"/>
      <c r="J1760"/>
      <c r="K1760"/>
      <c r="L1760" s="11"/>
      <c r="M1760"/>
      <c r="N1760" s="3"/>
      <c r="O1760" s="11"/>
      <c r="P1760" s="11"/>
      <c r="Q1760" s="11"/>
      <c r="R1760" s="11"/>
      <c r="S1760" s="11"/>
      <c r="T1760" s="11"/>
      <c r="U1760" s="11"/>
      <c r="V1760" s="11"/>
      <c r="W1760" s="11"/>
    </row>
    <row r="1761" spans="2:23" x14ac:dyDescent="0.35">
      <c r="B1761"/>
      <c r="C1761"/>
      <c r="D1761"/>
      <c r="E1761"/>
      <c r="F1761"/>
      <c r="G1761"/>
      <c r="H1761"/>
      <c r="I1761"/>
      <c r="J1761"/>
      <c r="K1761"/>
      <c r="L1761" s="11"/>
      <c r="M1761"/>
      <c r="N1761" s="3"/>
      <c r="O1761" s="11"/>
      <c r="P1761" s="11"/>
      <c r="Q1761" s="11"/>
      <c r="R1761" s="11"/>
      <c r="S1761" s="11"/>
      <c r="T1761" s="11"/>
      <c r="U1761" s="11"/>
      <c r="V1761" s="11"/>
      <c r="W1761" s="11"/>
    </row>
    <row r="1762" spans="2:23" x14ac:dyDescent="0.35">
      <c r="B1762"/>
      <c r="C1762"/>
      <c r="D1762"/>
      <c r="E1762"/>
      <c r="F1762"/>
      <c r="G1762"/>
      <c r="H1762"/>
      <c r="I1762"/>
      <c r="J1762"/>
      <c r="K1762"/>
      <c r="L1762" s="11"/>
      <c r="M1762"/>
      <c r="N1762" s="3"/>
      <c r="O1762" s="11"/>
      <c r="P1762" s="11"/>
      <c r="Q1762" s="11"/>
      <c r="R1762" s="11"/>
      <c r="S1762" s="11"/>
      <c r="T1762" s="11"/>
      <c r="U1762" s="11"/>
      <c r="V1762" s="11"/>
      <c r="W1762" s="11"/>
    </row>
    <row r="1763" spans="2:23" x14ac:dyDescent="0.35">
      <c r="B1763"/>
      <c r="C1763"/>
      <c r="D1763"/>
      <c r="E1763"/>
      <c r="F1763"/>
      <c r="G1763"/>
      <c r="H1763"/>
      <c r="I1763"/>
      <c r="J1763"/>
      <c r="K1763"/>
      <c r="L1763" s="11"/>
      <c r="M1763"/>
      <c r="N1763" s="3"/>
      <c r="O1763" s="11"/>
      <c r="P1763" s="11"/>
      <c r="Q1763" s="11"/>
      <c r="R1763" s="11"/>
      <c r="S1763" s="11"/>
      <c r="T1763" s="11"/>
      <c r="U1763" s="11"/>
      <c r="V1763" s="11"/>
      <c r="W1763" s="11"/>
    </row>
    <row r="1764" spans="2:23" x14ac:dyDescent="0.35">
      <c r="B1764"/>
      <c r="C1764"/>
      <c r="D1764"/>
      <c r="E1764"/>
      <c r="F1764"/>
      <c r="G1764"/>
      <c r="H1764"/>
      <c r="I1764"/>
      <c r="J1764"/>
      <c r="K1764"/>
      <c r="L1764" s="11"/>
      <c r="M1764"/>
      <c r="N1764" s="3"/>
      <c r="O1764" s="11"/>
      <c r="P1764" s="11"/>
      <c r="Q1764" s="11"/>
      <c r="R1764" s="11"/>
      <c r="S1764" s="11"/>
      <c r="T1764" s="11"/>
      <c r="U1764" s="11"/>
      <c r="V1764" s="11"/>
      <c r="W1764" s="11"/>
    </row>
    <row r="1765" spans="2:23" x14ac:dyDescent="0.35">
      <c r="B1765"/>
      <c r="C1765"/>
      <c r="D1765"/>
      <c r="E1765"/>
      <c r="F1765"/>
      <c r="G1765"/>
      <c r="H1765"/>
      <c r="I1765"/>
      <c r="J1765"/>
      <c r="K1765"/>
      <c r="L1765" s="11"/>
      <c r="M1765"/>
      <c r="N1765" s="3"/>
      <c r="O1765" s="11"/>
      <c r="P1765" s="11"/>
      <c r="Q1765" s="11"/>
      <c r="R1765" s="11"/>
      <c r="S1765" s="11"/>
      <c r="T1765" s="11"/>
      <c r="U1765" s="11"/>
      <c r="V1765" s="11"/>
      <c r="W1765" s="11"/>
    </row>
    <row r="1766" spans="2:23" x14ac:dyDescent="0.35">
      <c r="B1766"/>
      <c r="C1766"/>
      <c r="D1766"/>
      <c r="E1766"/>
      <c r="F1766"/>
      <c r="G1766"/>
      <c r="H1766"/>
      <c r="I1766"/>
      <c r="J1766"/>
      <c r="K1766"/>
      <c r="L1766" s="11"/>
      <c r="M1766"/>
      <c r="N1766" s="3"/>
      <c r="O1766" s="11"/>
      <c r="P1766" s="11"/>
      <c r="Q1766" s="11"/>
      <c r="R1766" s="11"/>
      <c r="S1766" s="11"/>
      <c r="T1766" s="11"/>
      <c r="U1766" s="11"/>
      <c r="V1766" s="11"/>
      <c r="W1766" s="11"/>
    </row>
    <row r="1767" spans="2:23" x14ac:dyDescent="0.35">
      <c r="B1767"/>
      <c r="C1767"/>
      <c r="D1767"/>
      <c r="E1767"/>
      <c r="F1767"/>
      <c r="G1767"/>
      <c r="H1767"/>
      <c r="I1767"/>
      <c r="J1767"/>
      <c r="K1767"/>
      <c r="L1767" s="11"/>
      <c r="M1767"/>
      <c r="N1767" s="3"/>
      <c r="O1767" s="11"/>
      <c r="P1767" s="11"/>
      <c r="Q1767" s="11"/>
      <c r="R1767" s="11"/>
      <c r="S1767" s="11"/>
      <c r="T1767" s="11"/>
      <c r="U1767" s="11"/>
      <c r="V1767" s="11"/>
      <c r="W1767" s="11"/>
    </row>
    <row r="1768" spans="2:23" x14ac:dyDescent="0.35">
      <c r="B1768"/>
      <c r="C1768"/>
      <c r="D1768"/>
      <c r="E1768"/>
      <c r="F1768"/>
      <c r="G1768"/>
      <c r="H1768"/>
      <c r="I1768"/>
      <c r="J1768"/>
      <c r="K1768"/>
      <c r="L1768" s="11"/>
      <c r="M1768"/>
      <c r="N1768" s="3"/>
      <c r="O1768" s="11"/>
      <c r="P1768" s="11"/>
      <c r="Q1768" s="11"/>
      <c r="R1768" s="11"/>
      <c r="S1768" s="11"/>
      <c r="T1768" s="11"/>
      <c r="U1768" s="11"/>
      <c r="V1768" s="11"/>
      <c r="W1768" s="11"/>
    </row>
    <row r="1769" spans="2:23" x14ac:dyDescent="0.35">
      <c r="B1769"/>
      <c r="C1769"/>
      <c r="D1769"/>
      <c r="E1769"/>
      <c r="F1769"/>
      <c r="G1769"/>
      <c r="H1769"/>
      <c r="I1769"/>
      <c r="J1769"/>
      <c r="K1769"/>
      <c r="L1769" s="11"/>
      <c r="M1769"/>
      <c r="N1769" s="3"/>
      <c r="O1769" s="11"/>
      <c r="P1769" s="11"/>
      <c r="Q1769" s="11"/>
      <c r="R1769" s="11"/>
      <c r="S1769" s="11"/>
      <c r="T1769" s="11"/>
      <c r="U1769" s="11"/>
      <c r="V1769" s="11"/>
      <c r="W1769" s="11"/>
    </row>
    <row r="1770" spans="2:23" x14ac:dyDescent="0.35">
      <c r="B1770"/>
      <c r="C1770"/>
      <c r="D1770"/>
      <c r="E1770"/>
      <c r="F1770"/>
      <c r="G1770"/>
      <c r="H1770"/>
      <c r="I1770"/>
      <c r="J1770"/>
      <c r="K1770"/>
      <c r="L1770" s="11"/>
      <c r="M1770"/>
      <c r="N1770" s="3"/>
      <c r="O1770" s="11"/>
      <c r="P1770" s="11"/>
      <c r="Q1770" s="11"/>
      <c r="R1770" s="11"/>
      <c r="S1770" s="11"/>
      <c r="T1770" s="11"/>
      <c r="U1770" s="11"/>
      <c r="V1770" s="11"/>
      <c r="W1770" s="11"/>
    </row>
    <row r="1771" spans="2:23" x14ac:dyDescent="0.35">
      <c r="B1771"/>
      <c r="C1771"/>
      <c r="D1771"/>
      <c r="E1771"/>
      <c r="F1771"/>
      <c r="G1771"/>
      <c r="H1771"/>
      <c r="I1771"/>
      <c r="J1771"/>
      <c r="K1771"/>
      <c r="L1771" s="11"/>
      <c r="M1771"/>
      <c r="N1771" s="3"/>
      <c r="O1771" s="11"/>
      <c r="P1771" s="11"/>
      <c r="Q1771" s="11"/>
      <c r="R1771" s="11"/>
      <c r="S1771" s="11"/>
      <c r="T1771" s="11"/>
      <c r="U1771" s="11"/>
      <c r="V1771" s="11"/>
      <c r="W1771" s="11"/>
    </row>
    <row r="1772" spans="2:23" x14ac:dyDescent="0.35">
      <c r="B1772"/>
      <c r="C1772"/>
      <c r="D1772"/>
      <c r="E1772"/>
      <c r="F1772"/>
      <c r="G1772"/>
      <c r="H1772"/>
      <c r="I1772"/>
      <c r="J1772"/>
      <c r="K1772"/>
      <c r="L1772" s="11"/>
      <c r="M1772"/>
      <c r="N1772" s="3"/>
      <c r="O1772" s="11"/>
      <c r="P1772" s="11"/>
      <c r="Q1772" s="11"/>
      <c r="R1772" s="11"/>
      <c r="S1772" s="11"/>
      <c r="T1772" s="11"/>
      <c r="U1772" s="11"/>
      <c r="V1772" s="11"/>
      <c r="W1772" s="11"/>
    </row>
    <row r="1773" spans="2:23" x14ac:dyDescent="0.35">
      <c r="B1773"/>
      <c r="C1773"/>
      <c r="D1773"/>
      <c r="E1773"/>
      <c r="F1773"/>
      <c r="G1773"/>
      <c r="H1773"/>
      <c r="I1773"/>
      <c r="J1773"/>
      <c r="K1773"/>
      <c r="L1773" s="11"/>
      <c r="M1773"/>
      <c r="N1773" s="3"/>
      <c r="O1773" s="11"/>
      <c r="P1773" s="11"/>
      <c r="Q1773" s="11"/>
      <c r="R1773" s="11"/>
      <c r="S1773" s="11"/>
      <c r="T1773" s="11"/>
      <c r="U1773" s="11"/>
      <c r="V1773" s="11"/>
      <c r="W1773" s="11"/>
    </row>
    <row r="1774" spans="2:23" x14ac:dyDescent="0.35">
      <c r="B1774"/>
      <c r="C1774"/>
      <c r="D1774"/>
      <c r="E1774"/>
      <c r="F1774"/>
      <c r="G1774"/>
      <c r="H1774"/>
      <c r="I1774"/>
      <c r="J1774"/>
      <c r="K1774"/>
      <c r="L1774" s="11"/>
      <c r="M1774"/>
      <c r="N1774" s="3"/>
      <c r="O1774" s="11"/>
      <c r="P1774" s="11"/>
      <c r="Q1774" s="11"/>
      <c r="R1774" s="11"/>
      <c r="S1774" s="11"/>
      <c r="T1774" s="11"/>
      <c r="U1774" s="11"/>
      <c r="V1774" s="11"/>
      <c r="W1774" s="11"/>
    </row>
    <row r="1775" spans="2:23" x14ac:dyDescent="0.35">
      <c r="B1775"/>
      <c r="C1775"/>
      <c r="D1775"/>
      <c r="E1775"/>
      <c r="F1775"/>
      <c r="G1775"/>
      <c r="H1775"/>
      <c r="I1775"/>
      <c r="J1775"/>
      <c r="K1775"/>
      <c r="L1775" s="11"/>
      <c r="M1775"/>
      <c r="N1775" s="3"/>
      <c r="O1775" s="11"/>
      <c r="P1775" s="11"/>
      <c r="Q1775" s="11"/>
      <c r="R1775" s="11"/>
      <c r="S1775" s="11"/>
      <c r="T1775" s="11"/>
      <c r="U1775" s="11"/>
      <c r="V1775" s="11"/>
      <c r="W1775" s="11"/>
    </row>
    <row r="1776" spans="2:23" x14ac:dyDescent="0.35">
      <c r="B1776"/>
      <c r="C1776"/>
      <c r="D1776"/>
      <c r="E1776"/>
      <c r="F1776"/>
      <c r="G1776"/>
      <c r="H1776"/>
      <c r="I1776"/>
      <c r="J1776"/>
      <c r="K1776"/>
      <c r="L1776" s="11"/>
      <c r="M1776"/>
      <c r="N1776" s="3"/>
      <c r="O1776" s="11"/>
      <c r="P1776" s="11"/>
      <c r="Q1776" s="11"/>
      <c r="R1776" s="11"/>
      <c r="S1776" s="11"/>
      <c r="T1776" s="11"/>
      <c r="U1776" s="11"/>
      <c r="V1776" s="11"/>
      <c r="W1776" s="11"/>
    </row>
    <row r="1777" spans="2:23" x14ac:dyDescent="0.35">
      <c r="B1777"/>
      <c r="C1777"/>
      <c r="D1777"/>
      <c r="E1777"/>
      <c r="F1777"/>
      <c r="G1777"/>
      <c r="H1777"/>
      <c r="I1777"/>
      <c r="J1777"/>
      <c r="K1777"/>
      <c r="L1777" s="11"/>
      <c r="M1777"/>
      <c r="N1777" s="3"/>
      <c r="O1777" s="11"/>
      <c r="P1777" s="11"/>
      <c r="Q1777" s="11"/>
      <c r="R1777" s="11"/>
      <c r="S1777" s="11"/>
      <c r="T1777" s="11"/>
      <c r="U1777" s="11"/>
      <c r="V1777" s="11"/>
      <c r="W1777" s="11"/>
    </row>
    <row r="1778" spans="2:23" x14ac:dyDescent="0.35">
      <c r="B1778"/>
      <c r="C1778"/>
      <c r="D1778"/>
      <c r="E1778"/>
      <c r="F1778"/>
      <c r="G1778"/>
      <c r="H1778"/>
      <c r="I1778"/>
      <c r="J1778"/>
      <c r="K1778"/>
      <c r="L1778" s="11"/>
      <c r="M1778"/>
      <c r="N1778" s="3"/>
      <c r="O1778" s="11"/>
      <c r="P1778" s="11"/>
      <c r="Q1778" s="11"/>
      <c r="R1778" s="11"/>
      <c r="S1778" s="11"/>
      <c r="T1778" s="11"/>
      <c r="U1778" s="11"/>
      <c r="V1778" s="11"/>
      <c r="W1778" s="11"/>
    </row>
    <row r="1779" spans="2:23" x14ac:dyDescent="0.35">
      <c r="B1779"/>
      <c r="C1779"/>
      <c r="D1779"/>
      <c r="E1779"/>
      <c r="F1779"/>
      <c r="G1779"/>
      <c r="H1779"/>
      <c r="I1779"/>
      <c r="J1779"/>
      <c r="K1779"/>
      <c r="L1779" s="11"/>
      <c r="M1779"/>
      <c r="N1779" s="3"/>
      <c r="O1779" s="11"/>
      <c r="P1779" s="11"/>
      <c r="Q1779" s="11"/>
      <c r="R1779" s="11"/>
      <c r="S1779" s="11"/>
      <c r="T1779" s="11"/>
      <c r="U1779" s="11"/>
      <c r="V1779" s="11"/>
      <c r="W1779" s="11"/>
    </row>
    <row r="1780" spans="2:23" x14ac:dyDescent="0.35">
      <c r="B1780"/>
      <c r="C1780"/>
      <c r="D1780"/>
      <c r="E1780"/>
      <c r="F1780"/>
      <c r="G1780"/>
      <c r="H1780"/>
      <c r="I1780"/>
      <c r="J1780"/>
      <c r="K1780"/>
      <c r="L1780" s="11"/>
      <c r="M1780"/>
      <c r="N1780" s="3"/>
      <c r="O1780" s="11"/>
      <c r="P1780" s="11"/>
      <c r="Q1780" s="11"/>
      <c r="R1780" s="11"/>
      <c r="S1780" s="11"/>
      <c r="T1780" s="11"/>
      <c r="U1780" s="11"/>
      <c r="V1780" s="11"/>
      <c r="W1780" s="11"/>
    </row>
    <row r="1781" spans="2:23" x14ac:dyDescent="0.35">
      <c r="B1781"/>
      <c r="C1781"/>
      <c r="D1781"/>
      <c r="E1781"/>
      <c r="F1781"/>
      <c r="G1781"/>
      <c r="H1781"/>
      <c r="I1781"/>
      <c r="J1781"/>
      <c r="K1781"/>
      <c r="L1781" s="11"/>
      <c r="M1781"/>
      <c r="N1781" s="3"/>
      <c r="O1781" s="11"/>
      <c r="P1781" s="11"/>
      <c r="Q1781" s="11"/>
      <c r="R1781" s="11"/>
      <c r="S1781" s="11"/>
      <c r="T1781" s="11"/>
      <c r="U1781" s="11"/>
      <c r="V1781" s="11"/>
      <c r="W1781" s="11"/>
    </row>
    <row r="1782" spans="2:23" x14ac:dyDescent="0.35">
      <c r="B1782"/>
      <c r="C1782"/>
      <c r="D1782"/>
      <c r="E1782"/>
      <c r="F1782"/>
      <c r="G1782"/>
      <c r="H1782"/>
      <c r="I1782"/>
      <c r="J1782"/>
      <c r="K1782"/>
      <c r="L1782" s="11"/>
      <c r="M1782"/>
      <c r="N1782" s="3"/>
      <c r="O1782" s="11"/>
      <c r="P1782" s="11"/>
      <c r="Q1782" s="11"/>
      <c r="R1782" s="11"/>
      <c r="S1782" s="11"/>
      <c r="T1782" s="11"/>
      <c r="U1782" s="11"/>
      <c r="V1782" s="11"/>
      <c r="W1782" s="11"/>
    </row>
    <row r="1783" spans="2:23" x14ac:dyDescent="0.35">
      <c r="B1783"/>
      <c r="C1783"/>
      <c r="D1783"/>
      <c r="E1783"/>
      <c r="F1783"/>
      <c r="G1783"/>
      <c r="H1783"/>
      <c r="I1783"/>
      <c r="J1783"/>
      <c r="K1783"/>
      <c r="L1783" s="11"/>
      <c r="M1783"/>
      <c r="N1783" s="3"/>
      <c r="O1783" s="11"/>
      <c r="P1783" s="11"/>
      <c r="Q1783" s="11"/>
      <c r="R1783" s="11"/>
      <c r="S1783" s="11"/>
      <c r="T1783" s="11"/>
      <c r="U1783" s="11"/>
      <c r="V1783" s="11"/>
      <c r="W1783" s="11"/>
    </row>
    <row r="1784" spans="2:23" x14ac:dyDescent="0.35">
      <c r="B1784"/>
      <c r="C1784"/>
      <c r="D1784"/>
      <c r="E1784"/>
      <c r="F1784"/>
      <c r="G1784"/>
      <c r="H1784"/>
      <c r="I1784"/>
      <c r="J1784"/>
      <c r="K1784"/>
      <c r="L1784" s="11"/>
      <c r="M1784"/>
      <c r="N1784" s="3"/>
      <c r="O1784" s="11"/>
      <c r="P1784" s="11"/>
      <c r="Q1784" s="11"/>
      <c r="R1784" s="11"/>
      <c r="S1784" s="11"/>
      <c r="T1784" s="11"/>
      <c r="U1784" s="11"/>
      <c r="V1784" s="11"/>
      <c r="W1784" s="11"/>
    </row>
    <row r="1785" spans="2:23" x14ac:dyDescent="0.35">
      <c r="B1785"/>
      <c r="C1785"/>
      <c r="D1785"/>
      <c r="E1785"/>
      <c r="F1785"/>
      <c r="G1785"/>
      <c r="H1785"/>
      <c r="I1785"/>
      <c r="J1785"/>
      <c r="K1785"/>
      <c r="L1785" s="11"/>
      <c r="M1785"/>
      <c r="N1785" s="3"/>
      <c r="O1785" s="11"/>
      <c r="P1785" s="11"/>
      <c r="Q1785" s="11"/>
      <c r="R1785" s="11"/>
      <c r="S1785" s="11"/>
      <c r="T1785" s="11"/>
      <c r="U1785" s="11"/>
      <c r="V1785" s="11"/>
      <c r="W1785" s="11"/>
    </row>
    <row r="1786" spans="2:23" x14ac:dyDescent="0.35">
      <c r="B1786"/>
      <c r="C1786"/>
      <c r="D1786"/>
      <c r="E1786"/>
      <c r="F1786"/>
      <c r="G1786"/>
      <c r="H1786"/>
      <c r="I1786"/>
      <c r="J1786"/>
      <c r="K1786"/>
      <c r="L1786" s="11"/>
      <c r="M1786"/>
      <c r="N1786" s="3"/>
      <c r="O1786" s="11"/>
      <c r="P1786" s="11"/>
      <c r="Q1786" s="11"/>
      <c r="R1786" s="11"/>
      <c r="S1786" s="11"/>
      <c r="T1786" s="11"/>
      <c r="U1786" s="11"/>
      <c r="V1786" s="11"/>
      <c r="W1786" s="11"/>
    </row>
    <row r="1787" spans="2:23" x14ac:dyDescent="0.35">
      <c r="B1787"/>
      <c r="C1787"/>
      <c r="D1787"/>
      <c r="E1787"/>
      <c r="F1787"/>
      <c r="G1787"/>
      <c r="H1787"/>
      <c r="I1787"/>
      <c r="J1787"/>
      <c r="K1787"/>
      <c r="L1787" s="11"/>
      <c r="M1787"/>
      <c r="N1787" s="3"/>
      <c r="O1787" s="11"/>
      <c r="P1787" s="11"/>
      <c r="Q1787" s="11"/>
      <c r="R1787" s="11"/>
      <c r="S1787" s="11"/>
      <c r="T1787" s="11"/>
      <c r="U1787" s="11"/>
      <c r="V1787" s="11"/>
      <c r="W1787" s="11"/>
    </row>
    <row r="1788" spans="2:23" x14ac:dyDescent="0.35">
      <c r="B1788"/>
      <c r="C1788"/>
      <c r="D1788"/>
      <c r="E1788"/>
      <c r="F1788"/>
      <c r="G1788"/>
      <c r="H1788"/>
      <c r="I1788"/>
      <c r="J1788"/>
      <c r="K1788"/>
      <c r="L1788" s="11"/>
      <c r="M1788"/>
      <c r="N1788" s="3"/>
      <c r="O1788" s="11"/>
      <c r="P1788" s="11"/>
      <c r="Q1788" s="11"/>
      <c r="R1788" s="11"/>
      <c r="S1788" s="11"/>
      <c r="T1788" s="11"/>
      <c r="U1788" s="11"/>
      <c r="V1788" s="11"/>
      <c r="W1788" s="11"/>
    </row>
    <row r="1789" spans="2:23" x14ac:dyDescent="0.35">
      <c r="B1789"/>
      <c r="C1789"/>
      <c r="D1789"/>
      <c r="E1789"/>
      <c r="F1789"/>
      <c r="G1789"/>
      <c r="H1789"/>
      <c r="I1789"/>
      <c r="J1789"/>
      <c r="K1789"/>
      <c r="L1789" s="11"/>
      <c r="M1789"/>
      <c r="N1789" s="3"/>
      <c r="O1789" s="11"/>
      <c r="P1789" s="11"/>
      <c r="Q1789" s="11"/>
      <c r="R1789" s="11"/>
      <c r="S1789" s="11"/>
      <c r="T1789" s="11"/>
      <c r="U1789" s="11"/>
      <c r="V1789" s="11"/>
      <c r="W1789" s="11"/>
    </row>
    <row r="1790" spans="2:23" x14ac:dyDescent="0.35">
      <c r="B1790"/>
      <c r="C1790"/>
      <c r="D1790"/>
      <c r="E1790"/>
      <c r="F1790"/>
      <c r="G1790"/>
      <c r="H1790"/>
      <c r="I1790"/>
      <c r="J1790"/>
      <c r="K1790"/>
      <c r="L1790" s="11"/>
      <c r="M1790"/>
      <c r="N1790" s="3"/>
      <c r="O1790" s="11"/>
      <c r="P1790" s="11"/>
      <c r="Q1790" s="11"/>
      <c r="R1790" s="11"/>
      <c r="S1790" s="11"/>
      <c r="T1790" s="11"/>
      <c r="U1790" s="11"/>
      <c r="V1790" s="11"/>
      <c r="W1790" s="11"/>
    </row>
    <row r="1791" spans="2:23" x14ac:dyDescent="0.35">
      <c r="B1791"/>
      <c r="C1791"/>
      <c r="D1791"/>
      <c r="E1791"/>
      <c r="F1791"/>
      <c r="G1791"/>
      <c r="H1791"/>
      <c r="I1791"/>
      <c r="J1791"/>
      <c r="K1791"/>
      <c r="L1791" s="11"/>
      <c r="M1791"/>
      <c r="N1791" s="3"/>
      <c r="O1791" s="11"/>
      <c r="P1791" s="11"/>
      <c r="Q1791" s="11"/>
      <c r="R1791" s="11"/>
      <c r="S1791" s="11"/>
      <c r="T1791" s="11"/>
      <c r="U1791" s="11"/>
      <c r="V1791" s="11"/>
      <c r="W1791" s="11"/>
    </row>
    <row r="1792" spans="2:23" x14ac:dyDescent="0.35">
      <c r="B1792"/>
      <c r="C1792"/>
      <c r="D1792"/>
      <c r="E1792"/>
      <c r="F1792"/>
      <c r="G1792"/>
      <c r="H1792"/>
      <c r="I1792"/>
      <c r="J1792"/>
      <c r="K1792"/>
      <c r="L1792" s="11"/>
      <c r="M1792"/>
      <c r="N1792" s="3"/>
      <c r="O1792" s="11"/>
      <c r="P1792" s="11"/>
      <c r="Q1792" s="11"/>
      <c r="R1792" s="11"/>
      <c r="S1792" s="11"/>
      <c r="T1792" s="11"/>
      <c r="U1792" s="11"/>
      <c r="V1792" s="11"/>
      <c r="W1792" s="11"/>
    </row>
    <row r="1793" spans="2:23" x14ac:dyDescent="0.35">
      <c r="B1793"/>
      <c r="C1793"/>
      <c r="D1793"/>
      <c r="E1793"/>
      <c r="F1793"/>
      <c r="G1793"/>
      <c r="H1793"/>
      <c r="I1793"/>
      <c r="J1793"/>
      <c r="K1793"/>
      <c r="L1793" s="11"/>
      <c r="M1793"/>
      <c r="N1793" s="3"/>
      <c r="O1793" s="11"/>
      <c r="P1793" s="11"/>
      <c r="Q1793" s="11"/>
      <c r="R1793" s="11"/>
      <c r="S1793" s="11"/>
      <c r="T1793" s="11"/>
      <c r="U1793" s="11"/>
      <c r="V1793" s="11"/>
      <c r="W1793" s="11"/>
    </row>
    <row r="1794" spans="2:23" x14ac:dyDescent="0.35">
      <c r="B1794"/>
      <c r="C1794"/>
      <c r="D1794"/>
      <c r="E1794"/>
      <c r="F1794"/>
      <c r="G1794"/>
      <c r="H1794"/>
      <c r="I1794"/>
      <c r="J1794"/>
      <c r="K1794"/>
      <c r="L1794" s="11"/>
      <c r="M1794"/>
      <c r="N1794" s="3"/>
      <c r="O1794" s="11"/>
      <c r="P1794" s="11"/>
      <c r="Q1794" s="11"/>
      <c r="R1794" s="11"/>
      <c r="S1794" s="11"/>
      <c r="T1794" s="11"/>
      <c r="U1794" s="11"/>
      <c r="V1794" s="11"/>
      <c r="W1794" s="11"/>
    </row>
    <row r="1795" spans="2:23" x14ac:dyDescent="0.35">
      <c r="B1795"/>
      <c r="C1795"/>
      <c r="D1795"/>
      <c r="E1795"/>
      <c r="F1795"/>
      <c r="G1795"/>
      <c r="H1795"/>
      <c r="I1795"/>
      <c r="J1795"/>
      <c r="K1795"/>
      <c r="L1795" s="11"/>
      <c r="M1795"/>
      <c r="N1795" s="3"/>
      <c r="O1795" s="11"/>
      <c r="P1795" s="11"/>
      <c r="Q1795" s="11"/>
      <c r="R1795" s="11"/>
      <c r="S1795" s="11"/>
      <c r="T1795" s="11"/>
      <c r="U1795" s="11"/>
      <c r="V1795" s="11"/>
      <c r="W1795" s="11"/>
    </row>
    <row r="1796" spans="2:23" x14ac:dyDescent="0.35">
      <c r="B1796"/>
      <c r="C1796"/>
      <c r="D1796"/>
      <c r="E1796"/>
      <c r="F1796"/>
      <c r="G1796"/>
      <c r="H1796"/>
      <c r="I1796"/>
      <c r="J1796"/>
      <c r="K1796"/>
      <c r="L1796" s="11"/>
      <c r="M1796"/>
      <c r="N1796" s="3"/>
      <c r="O1796" s="11"/>
      <c r="P1796" s="11"/>
      <c r="Q1796" s="11"/>
      <c r="R1796" s="11"/>
      <c r="S1796" s="11"/>
      <c r="T1796" s="11"/>
      <c r="U1796" s="11"/>
      <c r="V1796" s="11"/>
      <c r="W1796" s="11"/>
    </row>
    <row r="1797" spans="2:23" x14ac:dyDescent="0.35">
      <c r="B1797"/>
      <c r="C1797"/>
      <c r="D1797"/>
      <c r="E1797"/>
      <c r="F1797"/>
      <c r="G1797"/>
      <c r="H1797"/>
      <c r="I1797"/>
      <c r="J1797"/>
      <c r="K1797"/>
      <c r="L1797" s="11"/>
      <c r="M1797"/>
      <c r="N1797" s="3"/>
      <c r="O1797" s="11"/>
      <c r="P1797" s="11"/>
      <c r="Q1797" s="11"/>
      <c r="R1797" s="11"/>
      <c r="S1797" s="11"/>
      <c r="T1797" s="11"/>
      <c r="U1797" s="11"/>
      <c r="V1797" s="11"/>
      <c r="W1797" s="11"/>
    </row>
    <row r="1798" spans="2:23" x14ac:dyDescent="0.35">
      <c r="B1798"/>
      <c r="C1798"/>
      <c r="D1798"/>
      <c r="E1798"/>
      <c r="F1798"/>
      <c r="G1798"/>
      <c r="H1798"/>
      <c r="I1798"/>
      <c r="J1798"/>
      <c r="K1798"/>
      <c r="L1798" s="11"/>
      <c r="M1798"/>
      <c r="N1798" s="3"/>
      <c r="O1798" s="11"/>
      <c r="P1798" s="11"/>
      <c r="Q1798" s="11"/>
      <c r="R1798" s="11"/>
      <c r="S1798" s="11"/>
      <c r="T1798" s="11"/>
      <c r="U1798" s="11"/>
      <c r="V1798" s="11"/>
      <c r="W1798" s="11"/>
    </row>
    <row r="1799" spans="2:23" x14ac:dyDescent="0.35">
      <c r="B1799"/>
      <c r="C1799"/>
      <c r="D1799"/>
      <c r="E1799"/>
      <c r="F1799"/>
      <c r="G1799"/>
      <c r="H1799"/>
      <c r="I1799"/>
      <c r="J1799"/>
      <c r="K1799"/>
      <c r="L1799" s="11"/>
      <c r="M1799"/>
      <c r="N1799" s="3"/>
      <c r="O1799" s="11"/>
      <c r="P1799" s="11"/>
      <c r="Q1799" s="11"/>
      <c r="R1799" s="11"/>
      <c r="S1799" s="11"/>
      <c r="T1799" s="11"/>
      <c r="U1799" s="11"/>
      <c r="V1799" s="11"/>
      <c r="W1799" s="11"/>
    </row>
    <row r="1800" spans="2:23" x14ac:dyDescent="0.35">
      <c r="B1800"/>
      <c r="C1800"/>
      <c r="D1800"/>
      <c r="E1800"/>
      <c r="F1800"/>
      <c r="G1800"/>
      <c r="H1800"/>
      <c r="I1800"/>
      <c r="J1800"/>
      <c r="K1800"/>
      <c r="L1800" s="11"/>
      <c r="M1800"/>
      <c r="N1800" s="3"/>
      <c r="O1800" s="11"/>
      <c r="P1800" s="11"/>
      <c r="Q1800" s="11"/>
      <c r="R1800" s="11"/>
      <c r="S1800" s="11"/>
      <c r="T1800" s="11"/>
      <c r="U1800" s="11"/>
      <c r="V1800" s="11"/>
      <c r="W1800" s="11"/>
    </row>
    <row r="1801" spans="2:23" x14ac:dyDescent="0.35">
      <c r="B1801"/>
      <c r="C1801"/>
      <c r="D1801"/>
      <c r="E1801"/>
      <c r="F1801"/>
      <c r="G1801"/>
      <c r="H1801"/>
      <c r="I1801"/>
      <c r="J1801"/>
      <c r="K1801"/>
      <c r="L1801" s="11"/>
      <c r="M1801"/>
      <c r="N1801" s="3"/>
      <c r="O1801" s="11"/>
      <c r="P1801" s="11"/>
      <c r="Q1801" s="11"/>
      <c r="R1801" s="11"/>
      <c r="S1801" s="11"/>
      <c r="T1801" s="11"/>
      <c r="U1801" s="11"/>
      <c r="V1801" s="11"/>
      <c r="W1801" s="11"/>
    </row>
    <row r="1802" spans="2:23" x14ac:dyDescent="0.35">
      <c r="B1802"/>
      <c r="C1802"/>
      <c r="D1802"/>
      <c r="E1802"/>
      <c r="F1802"/>
      <c r="G1802"/>
      <c r="H1802"/>
      <c r="I1802"/>
      <c r="J1802"/>
      <c r="K1802"/>
      <c r="L1802" s="11"/>
      <c r="M1802"/>
      <c r="N1802" s="3"/>
      <c r="O1802" s="11"/>
      <c r="P1802" s="11"/>
      <c r="Q1802" s="11"/>
      <c r="R1802" s="11"/>
      <c r="S1802" s="11"/>
      <c r="T1802" s="11"/>
      <c r="U1802" s="11"/>
      <c r="V1802" s="11"/>
      <c r="W1802" s="11"/>
    </row>
    <row r="1803" spans="2:23" x14ac:dyDescent="0.35">
      <c r="B1803"/>
      <c r="C1803"/>
      <c r="D1803"/>
      <c r="E1803"/>
      <c r="F1803"/>
      <c r="G1803"/>
      <c r="H1803"/>
      <c r="I1803"/>
      <c r="J1803"/>
      <c r="K1803"/>
      <c r="L1803" s="11"/>
      <c r="M1803"/>
      <c r="N1803" s="3"/>
      <c r="O1803" s="11"/>
      <c r="P1803" s="11"/>
      <c r="Q1803" s="11"/>
      <c r="R1803" s="11"/>
      <c r="S1803" s="11"/>
      <c r="T1803" s="11"/>
      <c r="U1803" s="11"/>
      <c r="V1803" s="11"/>
      <c r="W1803" s="11"/>
    </row>
    <row r="1804" spans="2:23" x14ac:dyDescent="0.35">
      <c r="B1804"/>
      <c r="C1804"/>
      <c r="D1804"/>
      <c r="E1804"/>
      <c r="F1804"/>
      <c r="G1804"/>
      <c r="H1804"/>
      <c r="I1804"/>
      <c r="J1804"/>
      <c r="K1804"/>
      <c r="L1804" s="11"/>
      <c r="M1804"/>
      <c r="N1804" s="3"/>
      <c r="O1804" s="11"/>
      <c r="P1804" s="11"/>
      <c r="Q1804" s="11"/>
      <c r="R1804" s="11"/>
      <c r="S1804" s="11"/>
      <c r="T1804" s="11"/>
      <c r="U1804" s="11"/>
      <c r="V1804" s="11"/>
      <c r="W1804" s="11"/>
    </row>
    <row r="1805" spans="2:23" x14ac:dyDescent="0.35">
      <c r="B1805"/>
      <c r="C1805"/>
      <c r="D1805"/>
      <c r="E1805"/>
      <c r="F1805"/>
      <c r="G1805"/>
      <c r="H1805"/>
      <c r="I1805"/>
      <c r="J1805"/>
      <c r="K1805"/>
      <c r="L1805" s="11"/>
      <c r="M1805"/>
      <c r="N1805" s="3"/>
      <c r="O1805" s="11"/>
      <c r="P1805" s="11"/>
      <c r="Q1805" s="11"/>
      <c r="R1805" s="11"/>
      <c r="S1805" s="11"/>
      <c r="T1805" s="11"/>
      <c r="U1805" s="11"/>
      <c r="V1805" s="11"/>
      <c r="W1805" s="11"/>
    </row>
    <row r="1806" spans="2:23" x14ac:dyDescent="0.35">
      <c r="B1806"/>
      <c r="C1806"/>
      <c r="D1806"/>
      <c r="E1806"/>
      <c r="F1806"/>
      <c r="G1806"/>
      <c r="H1806"/>
      <c r="I1806"/>
      <c r="J1806"/>
      <c r="K1806"/>
      <c r="L1806" s="11"/>
      <c r="M1806"/>
      <c r="N1806" s="3"/>
      <c r="O1806" s="11"/>
      <c r="P1806" s="11"/>
      <c r="Q1806" s="11"/>
      <c r="R1806" s="11"/>
      <c r="S1806" s="11"/>
      <c r="T1806" s="11"/>
      <c r="U1806" s="11"/>
      <c r="V1806" s="11"/>
      <c r="W1806" s="11"/>
    </row>
    <row r="1807" spans="2:23" x14ac:dyDescent="0.35">
      <c r="B1807"/>
      <c r="C1807"/>
      <c r="D1807"/>
      <c r="E1807"/>
      <c r="F1807"/>
      <c r="G1807"/>
      <c r="H1807"/>
      <c r="I1807"/>
      <c r="J1807"/>
      <c r="K1807"/>
      <c r="L1807" s="11"/>
      <c r="M1807"/>
      <c r="N1807" s="3"/>
      <c r="O1807" s="11"/>
      <c r="P1807" s="11"/>
      <c r="Q1807" s="11"/>
      <c r="R1807" s="11"/>
      <c r="S1807" s="11"/>
      <c r="T1807" s="11"/>
      <c r="U1807" s="11"/>
      <c r="V1807" s="11"/>
      <c r="W1807" s="11"/>
    </row>
    <row r="1808" spans="2:23" x14ac:dyDescent="0.35">
      <c r="B1808"/>
      <c r="C1808"/>
      <c r="D1808"/>
      <c r="E1808"/>
      <c r="F1808"/>
      <c r="G1808"/>
      <c r="H1808"/>
      <c r="I1808"/>
      <c r="J1808"/>
      <c r="K1808"/>
      <c r="L1808" s="11"/>
      <c r="M1808"/>
      <c r="N1808" s="3"/>
      <c r="O1808" s="11"/>
      <c r="P1808" s="11"/>
      <c r="Q1808" s="11"/>
      <c r="R1808" s="11"/>
      <c r="S1808" s="11"/>
      <c r="T1808" s="11"/>
      <c r="U1808" s="11"/>
      <c r="V1808" s="11"/>
      <c r="W1808" s="11"/>
    </row>
    <row r="1809" spans="2:23" x14ac:dyDescent="0.35">
      <c r="B1809"/>
      <c r="C1809"/>
      <c r="D1809"/>
      <c r="E1809"/>
      <c r="F1809"/>
      <c r="G1809"/>
      <c r="H1809"/>
      <c r="I1809"/>
      <c r="J1809"/>
      <c r="K1809"/>
      <c r="L1809" s="11"/>
      <c r="M1809"/>
      <c r="N1809" s="3"/>
      <c r="O1809" s="11"/>
      <c r="P1809" s="11"/>
      <c r="Q1809" s="11"/>
      <c r="R1809" s="11"/>
      <c r="S1809" s="11"/>
      <c r="T1809" s="11"/>
      <c r="U1809" s="11"/>
      <c r="V1809" s="11"/>
      <c r="W1809" s="11"/>
    </row>
    <row r="1810" spans="2:23" x14ac:dyDescent="0.35">
      <c r="B1810"/>
      <c r="C1810"/>
      <c r="D1810"/>
      <c r="E1810"/>
      <c r="F1810"/>
      <c r="G1810"/>
      <c r="H1810"/>
      <c r="I1810"/>
      <c r="J1810"/>
      <c r="K1810"/>
      <c r="L1810" s="11"/>
      <c r="M1810"/>
      <c r="N1810" s="3"/>
      <c r="O1810" s="11"/>
      <c r="P1810" s="11"/>
      <c r="Q1810" s="11"/>
      <c r="R1810" s="11"/>
      <c r="S1810" s="11"/>
      <c r="T1810" s="11"/>
      <c r="U1810" s="11"/>
      <c r="V1810" s="11"/>
      <c r="W1810" s="11"/>
    </row>
    <row r="1811" spans="2:23" x14ac:dyDescent="0.35">
      <c r="B1811"/>
      <c r="C1811"/>
      <c r="D1811"/>
      <c r="E1811"/>
      <c r="F1811"/>
      <c r="G1811"/>
      <c r="H1811"/>
      <c r="I1811"/>
      <c r="J1811"/>
      <c r="K1811"/>
      <c r="L1811" s="11"/>
      <c r="M1811"/>
      <c r="N1811" s="3"/>
      <c r="O1811" s="11"/>
      <c r="P1811" s="11"/>
      <c r="Q1811" s="11"/>
      <c r="R1811" s="11"/>
      <c r="S1811" s="11"/>
      <c r="T1811" s="11"/>
      <c r="U1811" s="11"/>
      <c r="V1811" s="11"/>
      <c r="W1811" s="11"/>
    </row>
    <row r="1812" spans="2:23" x14ac:dyDescent="0.35">
      <c r="B1812"/>
      <c r="C1812"/>
      <c r="D1812"/>
      <c r="E1812"/>
      <c r="F1812"/>
      <c r="G1812"/>
      <c r="H1812"/>
      <c r="I1812"/>
      <c r="J1812"/>
      <c r="K1812"/>
      <c r="L1812" s="11"/>
      <c r="M1812"/>
      <c r="N1812" s="3"/>
      <c r="O1812" s="11"/>
      <c r="P1812" s="11"/>
      <c r="Q1812" s="11"/>
      <c r="R1812" s="11"/>
      <c r="S1812" s="11"/>
      <c r="T1812" s="11"/>
      <c r="U1812" s="11"/>
      <c r="V1812" s="11"/>
      <c r="W1812" s="11"/>
    </row>
    <row r="1813" spans="2:23" x14ac:dyDescent="0.35">
      <c r="B1813"/>
      <c r="C1813"/>
      <c r="D1813"/>
      <c r="E1813"/>
      <c r="F1813"/>
      <c r="G1813"/>
      <c r="H1813"/>
      <c r="I1813"/>
      <c r="J1813"/>
      <c r="K1813"/>
      <c r="L1813" s="11"/>
      <c r="M1813"/>
      <c r="N1813" s="3"/>
      <c r="O1813" s="11"/>
      <c r="P1813" s="11"/>
      <c r="Q1813" s="11"/>
      <c r="R1813" s="11"/>
      <c r="S1813" s="11"/>
      <c r="T1813" s="11"/>
      <c r="U1813" s="11"/>
      <c r="V1813" s="11"/>
      <c r="W1813" s="11"/>
    </row>
    <row r="1814" spans="2:23" x14ac:dyDescent="0.35">
      <c r="B1814"/>
      <c r="C1814"/>
      <c r="D1814"/>
      <c r="E1814"/>
      <c r="F1814"/>
      <c r="G1814"/>
      <c r="H1814"/>
      <c r="I1814"/>
      <c r="J1814"/>
      <c r="K1814"/>
      <c r="L1814" s="11"/>
      <c r="M1814"/>
      <c r="N1814" s="3"/>
      <c r="O1814" s="11"/>
      <c r="P1814" s="11"/>
      <c r="Q1814" s="11"/>
      <c r="R1814" s="11"/>
      <c r="S1814" s="11"/>
      <c r="T1814" s="11"/>
      <c r="U1814" s="11"/>
      <c r="V1814" s="11"/>
      <c r="W1814" s="11"/>
    </row>
    <row r="1815" spans="2:23" x14ac:dyDescent="0.35">
      <c r="B1815"/>
      <c r="C1815"/>
      <c r="D1815"/>
      <c r="E1815"/>
      <c r="F1815"/>
      <c r="G1815"/>
      <c r="H1815"/>
      <c r="I1815"/>
      <c r="J1815"/>
      <c r="K1815"/>
      <c r="L1815" s="11"/>
      <c r="M1815"/>
      <c r="N1815" s="3"/>
      <c r="O1815" s="11"/>
      <c r="P1815" s="11"/>
      <c r="Q1815" s="11"/>
      <c r="R1815" s="11"/>
      <c r="S1815" s="11"/>
      <c r="T1815" s="11"/>
      <c r="U1815" s="11"/>
      <c r="V1815" s="11"/>
      <c r="W1815" s="11"/>
    </row>
    <row r="1816" spans="2:23" x14ac:dyDescent="0.35">
      <c r="B1816"/>
      <c r="C1816"/>
      <c r="D1816"/>
      <c r="E1816"/>
      <c r="F1816"/>
      <c r="G1816"/>
      <c r="H1816"/>
      <c r="I1816"/>
      <c r="J1816"/>
      <c r="K1816"/>
      <c r="L1816" s="11"/>
      <c r="M1816"/>
      <c r="N1816" s="3"/>
      <c r="O1816" s="11"/>
      <c r="P1816" s="11"/>
      <c r="Q1816" s="11"/>
      <c r="R1816" s="11"/>
      <c r="S1816" s="11"/>
      <c r="T1816" s="11"/>
      <c r="U1816" s="11"/>
      <c r="V1816" s="11"/>
      <c r="W1816" s="11"/>
    </row>
    <row r="1817" spans="2:23" x14ac:dyDescent="0.35">
      <c r="B1817"/>
      <c r="C1817"/>
      <c r="D1817"/>
      <c r="E1817"/>
      <c r="F1817"/>
      <c r="G1817"/>
      <c r="H1817"/>
      <c r="I1817"/>
      <c r="J1817"/>
      <c r="K1817"/>
      <c r="L1817" s="11"/>
      <c r="M1817"/>
      <c r="N1817" s="3"/>
      <c r="O1817" s="11"/>
      <c r="P1817" s="11"/>
      <c r="Q1817" s="11"/>
      <c r="R1817" s="11"/>
      <c r="S1817" s="11"/>
      <c r="T1817" s="11"/>
      <c r="U1817" s="11"/>
      <c r="V1817" s="11"/>
      <c r="W1817" s="11"/>
    </row>
    <row r="1818" spans="2:23" x14ac:dyDescent="0.35">
      <c r="B1818"/>
      <c r="C1818"/>
      <c r="D1818"/>
      <c r="E1818"/>
      <c r="F1818"/>
      <c r="G1818"/>
      <c r="H1818"/>
      <c r="I1818"/>
      <c r="J1818"/>
      <c r="K1818"/>
      <c r="L1818" s="11"/>
      <c r="M1818"/>
      <c r="N1818" s="3"/>
      <c r="O1818" s="11"/>
      <c r="P1818" s="11"/>
      <c r="Q1818" s="11"/>
      <c r="R1818" s="11"/>
      <c r="S1818" s="11"/>
      <c r="T1818" s="11"/>
      <c r="U1818" s="11"/>
      <c r="V1818" s="11"/>
      <c r="W1818" s="11"/>
    </row>
    <row r="1819" spans="2:23" x14ac:dyDescent="0.35">
      <c r="B1819"/>
      <c r="C1819"/>
      <c r="D1819"/>
      <c r="E1819"/>
      <c r="F1819"/>
      <c r="G1819"/>
      <c r="H1819"/>
      <c r="I1819"/>
      <c r="J1819"/>
      <c r="K1819"/>
      <c r="L1819" s="11"/>
      <c r="M1819"/>
      <c r="N1819" s="3"/>
      <c r="O1819" s="11"/>
      <c r="P1819" s="11"/>
      <c r="Q1819" s="11"/>
      <c r="R1819" s="11"/>
      <c r="S1819" s="11"/>
      <c r="T1819" s="11"/>
      <c r="U1819" s="11"/>
      <c r="V1819" s="11"/>
      <c r="W1819" s="11"/>
    </row>
    <row r="1820" spans="2:23" x14ac:dyDescent="0.35">
      <c r="B1820"/>
      <c r="C1820"/>
      <c r="D1820"/>
      <c r="E1820"/>
      <c r="F1820"/>
      <c r="G1820"/>
      <c r="H1820"/>
      <c r="I1820"/>
      <c r="J1820"/>
      <c r="K1820"/>
      <c r="L1820" s="11"/>
      <c r="M1820"/>
      <c r="N1820" s="3"/>
      <c r="O1820" s="11"/>
      <c r="P1820" s="11"/>
      <c r="Q1820" s="11"/>
      <c r="R1820" s="11"/>
      <c r="S1820" s="11"/>
      <c r="T1820" s="11"/>
      <c r="U1820" s="11"/>
      <c r="V1820" s="11"/>
      <c r="W1820" s="11"/>
    </row>
    <row r="1821" spans="2:23" x14ac:dyDescent="0.35">
      <c r="B1821"/>
      <c r="C1821"/>
      <c r="D1821"/>
      <c r="E1821"/>
      <c r="F1821"/>
      <c r="G1821"/>
      <c r="H1821"/>
      <c r="I1821"/>
      <c r="J1821"/>
      <c r="K1821"/>
      <c r="L1821" s="11"/>
      <c r="M1821"/>
      <c r="N1821" s="3"/>
      <c r="O1821" s="11"/>
      <c r="P1821" s="11"/>
      <c r="Q1821" s="11"/>
      <c r="R1821" s="11"/>
      <c r="S1821" s="11"/>
      <c r="T1821" s="11"/>
      <c r="U1821" s="11"/>
      <c r="V1821" s="11"/>
      <c r="W1821" s="11"/>
    </row>
    <row r="1822" spans="2:23" x14ac:dyDescent="0.35">
      <c r="B1822"/>
      <c r="C1822"/>
      <c r="D1822"/>
      <c r="E1822"/>
      <c r="F1822"/>
      <c r="G1822"/>
      <c r="H1822"/>
      <c r="I1822"/>
      <c r="J1822"/>
      <c r="K1822"/>
      <c r="L1822" s="11"/>
      <c r="M1822"/>
      <c r="N1822" s="3"/>
      <c r="O1822" s="11"/>
      <c r="P1822" s="11"/>
      <c r="Q1822" s="11"/>
      <c r="R1822" s="11"/>
      <c r="S1822" s="11"/>
      <c r="T1822" s="11"/>
      <c r="U1822" s="11"/>
      <c r="V1822" s="11"/>
      <c r="W1822" s="11"/>
    </row>
    <row r="1823" spans="2:23" x14ac:dyDescent="0.35">
      <c r="B1823"/>
      <c r="C1823"/>
      <c r="D1823"/>
      <c r="E1823"/>
      <c r="F1823"/>
      <c r="G1823"/>
      <c r="H1823"/>
      <c r="I1823"/>
      <c r="J1823"/>
      <c r="K1823"/>
      <c r="L1823" s="11"/>
      <c r="M1823"/>
      <c r="N1823" s="3"/>
      <c r="O1823" s="11"/>
      <c r="P1823" s="11"/>
      <c r="Q1823" s="11"/>
      <c r="R1823" s="11"/>
      <c r="S1823" s="11"/>
      <c r="T1823" s="11"/>
      <c r="U1823" s="11"/>
      <c r="V1823" s="11"/>
      <c r="W1823" s="11"/>
    </row>
    <row r="1824" spans="2:23" x14ac:dyDescent="0.35">
      <c r="B1824"/>
      <c r="C1824"/>
      <c r="D1824"/>
      <c r="E1824"/>
      <c r="F1824"/>
      <c r="G1824"/>
      <c r="H1824"/>
      <c r="I1824"/>
      <c r="J1824"/>
      <c r="K1824"/>
      <c r="L1824" s="11"/>
      <c r="M1824"/>
      <c r="N1824" s="3"/>
      <c r="O1824" s="11"/>
      <c r="P1824" s="11"/>
      <c r="Q1824" s="11"/>
      <c r="R1824" s="11"/>
      <c r="S1824" s="11"/>
      <c r="T1824" s="11"/>
      <c r="U1824" s="11"/>
      <c r="V1824" s="11"/>
      <c r="W1824" s="11"/>
    </row>
    <row r="1825" spans="2:23" x14ac:dyDescent="0.35">
      <c r="B1825"/>
      <c r="C1825"/>
      <c r="D1825"/>
      <c r="E1825"/>
      <c r="F1825"/>
      <c r="G1825"/>
      <c r="H1825"/>
      <c r="I1825"/>
      <c r="J1825"/>
      <c r="K1825"/>
      <c r="L1825" s="11"/>
      <c r="M1825"/>
      <c r="N1825" s="3"/>
      <c r="O1825" s="11"/>
      <c r="P1825" s="11"/>
      <c r="Q1825" s="11"/>
      <c r="R1825" s="11"/>
      <c r="S1825" s="11"/>
      <c r="T1825" s="11"/>
      <c r="U1825" s="11"/>
      <c r="V1825" s="11"/>
      <c r="W1825" s="11"/>
    </row>
    <row r="1826" spans="2:23" x14ac:dyDescent="0.35">
      <c r="B1826"/>
      <c r="C1826"/>
      <c r="D1826"/>
      <c r="E1826"/>
      <c r="F1826"/>
      <c r="G1826"/>
      <c r="H1826"/>
      <c r="I1826"/>
      <c r="J1826"/>
      <c r="K1826"/>
      <c r="L1826" s="11"/>
      <c r="M1826"/>
      <c r="N1826" s="3"/>
      <c r="O1826" s="11"/>
      <c r="P1826" s="11"/>
      <c r="Q1826" s="11"/>
      <c r="R1826" s="11"/>
      <c r="S1826" s="11"/>
      <c r="T1826" s="11"/>
      <c r="U1826" s="11"/>
      <c r="V1826" s="11"/>
      <c r="W1826" s="11"/>
    </row>
    <row r="1827" spans="2:23" x14ac:dyDescent="0.35">
      <c r="B1827"/>
      <c r="C1827"/>
      <c r="D1827"/>
      <c r="E1827"/>
      <c r="F1827"/>
      <c r="G1827"/>
      <c r="H1827"/>
      <c r="I1827"/>
      <c r="J1827"/>
      <c r="K1827"/>
      <c r="L1827" s="11"/>
      <c r="M1827"/>
      <c r="N1827" s="3"/>
      <c r="O1827" s="11"/>
      <c r="P1827" s="11"/>
      <c r="Q1827" s="11"/>
      <c r="R1827" s="11"/>
      <c r="S1827" s="11"/>
      <c r="T1827" s="11"/>
      <c r="U1827" s="11"/>
      <c r="V1827" s="11"/>
      <c r="W1827" s="11"/>
    </row>
    <row r="1828" spans="2:23" x14ac:dyDescent="0.35">
      <c r="B1828"/>
      <c r="C1828"/>
      <c r="D1828"/>
      <c r="E1828"/>
      <c r="F1828"/>
      <c r="G1828"/>
      <c r="H1828"/>
      <c r="I1828"/>
      <c r="J1828"/>
      <c r="K1828"/>
      <c r="L1828" s="11"/>
      <c r="M1828"/>
      <c r="N1828" s="3"/>
      <c r="O1828" s="11"/>
      <c r="P1828" s="11"/>
      <c r="Q1828" s="11"/>
      <c r="R1828" s="11"/>
      <c r="S1828" s="11"/>
      <c r="T1828" s="11"/>
      <c r="U1828" s="11"/>
      <c r="V1828" s="11"/>
      <c r="W1828" s="11"/>
    </row>
    <row r="1829" spans="2:23" x14ac:dyDescent="0.35">
      <c r="B1829"/>
      <c r="C1829"/>
      <c r="D1829"/>
      <c r="E1829"/>
      <c r="F1829"/>
      <c r="G1829"/>
      <c r="H1829"/>
      <c r="I1829"/>
      <c r="J1829"/>
      <c r="K1829"/>
      <c r="L1829" s="11"/>
      <c r="M1829"/>
      <c r="N1829" s="3"/>
      <c r="O1829" s="11"/>
      <c r="P1829" s="11"/>
      <c r="Q1829" s="11"/>
      <c r="R1829" s="11"/>
      <c r="S1829" s="11"/>
      <c r="T1829" s="11"/>
      <c r="U1829" s="11"/>
      <c r="V1829" s="11"/>
      <c r="W1829" s="11"/>
    </row>
    <row r="1830" spans="2:23" x14ac:dyDescent="0.35">
      <c r="B1830"/>
      <c r="C1830"/>
      <c r="D1830"/>
      <c r="E1830"/>
      <c r="F1830"/>
      <c r="G1830"/>
      <c r="H1830"/>
      <c r="I1830"/>
      <c r="J1830"/>
      <c r="K1830"/>
      <c r="L1830" s="11"/>
      <c r="M1830"/>
      <c r="N1830" s="3"/>
      <c r="O1830" s="11"/>
      <c r="P1830" s="11"/>
      <c r="Q1830" s="11"/>
      <c r="R1830" s="11"/>
      <c r="S1830" s="11"/>
      <c r="T1830" s="11"/>
      <c r="U1830" s="11"/>
      <c r="V1830" s="11"/>
      <c r="W1830" s="11"/>
    </row>
    <row r="1831" spans="2:23" x14ac:dyDescent="0.35">
      <c r="B1831"/>
      <c r="C1831"/>
      <c r="D1831"/>
      <c r="E1831"/>
      <c r="F1831"/>
      <c r="G1831"/>
      <c r="H1831"/>
      <c r="I1831"/>
      <c r="J1831"/>
      <c r="K1831"/>
      <c r="L1831" s="11"/>
      <c r="M1831"/>
      <c r="N1831" s="3"/>
      <c r="O1831" s="11"/>
      <c r="P1831" s="11"/>
      <c r="Q1831" s="11"/>
      <c r="R1831" s="11"/>
      <c r="S1831" s="11"/>
      <c r="T1831" s="11"/>
      <c r="U1831" s="11"/>
      <c r="V1831" s="11"/>
      <c r="W1831" s="11"/>
    </row>
    <row r="1832" spans="2:23" x14ac:dyDescent="0.35">
      <c r="B1832"/>
      <c r="C1832"/>
      <c r="D1832"/>
      <c r="E1832"/>
      <c r="F1832"/>
      <c r="G1832"/>
      <c r="H1832"/>
      <c r="I1832"/>
      <c r="J1832"/>
      <c r="K1832"/>
      <c r="L1832" s="11"/>
      <c r="M1832"/>
      <c r="N1832" s="3"/>
      <c r="O1832" s="11"/>
      <c r="P1832" s="11"/>
      <c r="Q1832" s="11"/>
      <c r="R1832" s="11"/>
      <c r="S1832" s="11"/>
      <c r="T1832" s="11"/>
      <c r="U1832" s="11"/>
      <c r="V1832" s="11"/>
      <c r="W1832" s="11"/>
    </row>
    <row r="1833" spans="2:23" x14ac:dyDescent="0.35">
      <c r="B1833"/>
      <c r="C1833"/>
      <c r="D1833"/>
      <c r="E1833"/>
      <c r="F1833"/>
      <c r="G1833"/>
      <c r="H1833"/>
      <c r="I1833"/>
      <c r="J1833"/>
      <c r="K1833"/>
      <c r="L1833" s="11"/>
      <c r="M1833"/>
      <c r="N1833" s="3"/>
      <c r="O1833" s="11"/>
      <c r="P1833" s="11"/>
      <c r="Q1833" s="11"/>
      <c r="R1833" s="11"/>
      <c r="S1833" s="11"/>
      <c r="T1833" s="11"/>
      <c r="U1833" s="11"/>
      <c r="V1833" s="11"/>
      <c r="W1833" s="11"/>
    </row>
    <row r="1834" spans="2:23" x14ac:dyDescent="0.35">
      <c r="B1834"/>
      <c r="C1834"/>
      <c r="D1834"/>
      <c r="E1834"/>
      <c r="F1834"/>
      <c r="G1834"/>
      <c r="H1834"/>
      <c r="I1834"/>
      <c r="J1834"/>
      <c r="K1834"/>
      <c r="L1834" s="11"/>
      <c r="M1834"/>
      <c r="N1834" s="3"/>
      <c r="O1834" s="11"/>
      <c r="P1834" s="11"/>
      <c r="Q1834" s="11"/>
      <c r="R1834" s="11"/>
      <c r="S1834" s="11"/>
      <c r="T1834" s="11"/>
      <c r="U1834" s="11"/>
      <c r="V1834" s="11"/>
      <c r="W1834" s="11"/>
    </row>
    <row r="1835" spans="2:23" x14ac:dyDescent="0.35">
      <c r="B1835"/>
      <c r="C1835"/>
      <c r="D1835"/>
      <c r="E1835"/>
      <c r="F1835"/>
      <c r="G1835"/>
      <c r="H1835"/>
      <c r="I1835"/>
      <c r="J1835"/>
      <c r="K1835"/>
      <c r="L1835" s="11"/>
      <c r="M1835"/>
      <c r="N1835" s="3"/>
      <c r="O1835" s="11"/>
      <c r="P1835" s="11"/>
      <c r="Q1835" s="11"/>
      <c r="R1835" s="11"/>
      <c r="S1835" s="11"/>
      <c r="T1835" s="11"/>
      <c r="U1835" s="11"/>
      <c r="V1835" s="11"/>
      <c r="W1835" s="11"/>
    </row>
    <row r="1836" spans="2:23" x14ac:dyDescent="0.35">
      <c r="B1836"/>
      <c r="C1836"/>
      <c r="D1836"/>
      <c r="E1836"/>
      <c r="F1836"/>
      <c r="G1836"/>
      <c r="H1836"/>
      <c r="I1836"/>
      <c r="J1836"/>
      <c r="K1836"/>
      <c r="L1836" s="11"/>
      <c r="M1836"/>
      <c r="N1836" s="3"/>
      <c r="O1836" s="11"/>
      <c r="P1836" s="11"/>
      <c r="Q1836" s="11"/>
      <c r="R1836" s="11"/>
      <c r="S1836" s="11"/>
      <c r="T1836" s="11"/>
      <c r="U1836" s="11"/>
      <c r="V1836" s="11"/>
      <c r="W1836" s="11"/>
    </row>
    <row r="1837" spans="2:23" x14ac:dyDescent="0.35">
      <c r="B1837"/>
      <c r="C1837"/>
      <c r="D1837"/>
      <c r="E1837"/>
      <c r="F1837"/>
      <c r="G1837"/>
      <c r="H1837"/>
      <c r="I1837"/>
      <c r="J1837"/>
      <c r="K1837"/>
      <c r="L1837" s="11"/>
      <c r="M1837"/>
      <c r="N1837" s="3"/>
      <c r="O1837" s="11"/>
      <c r="P1837" s="11"/>
      <c r="Q1837" s="11"/>
      <c r="R1837" s="11"/>
      <c r="S1837" s="11"/>
      <c r="T1837" s="11"/>
      <c r="U1837" s="11"/>
      <c r="V1837" s="11"/>
      <c r="W1837" s="11"/>
    </row>
    <row r="1838" spans="2:23" x14ac:dyDescent="0.35">
      <c r="B1838"/>
      <c r="C1838"/>
      <c r="D1838"/>
      <c r="E1838"/>
      <c r="F1838"/>
      <c r="G1838"/>
      <c r="H1838"/>
      <c r="I1838"/>
      <c r="J1838"/>
      <c r="K1838"/>
      <c r="L1838" s="11"/>
      <c r="M1838"/>
      <c r="N1838" s="3"/>
      <c r="O1838" s="11"/>
      <c r="P1838" s="11"/>
      <c r="Q1838" s="11"/>
      <c r="R1838" s="11"/>
      <c r="S1838" s="11"/>
      <c r="T1838" s="11"/>
      <c r="U1838" s="11"/>
      <c r="V1838" s="11"/>
      <c r="W1838" s="11"/>
    </row>
    <row r="1839" spans="2:23" x14ac:dyDescent="0.35">
      <c r="B1839"/>
      <c r="C1839"/>
      <c r="D1839"/>
      <c r="E1839"/>
      <c r="F1839"/>
      <c r="G1839"/>
      <c r="H1839"/>
      <c r="I1839"/>
      <c r="J1839"/>
      <c r="K1839"/>
      <c r="L1839" s="11"/>
      <c r="M1839"/>
      <c r="N1839" s="3"/>
      <c r="O1839" s="11"/>
      <c r="P1839" s="11"/>
      <c r="Q1839" s="11"/>
      <c r="R1839" s="11"/>
      <c r="S1839" s="11"/>
      <c r="T1839" s="11"/>
      <c r="U1839" s="11"/>
      <c r="V1839" s="11"/>
      <c r="W1839" s="11"/>
    </row>
    <row r="1840" spans="2:23" x14ac:dyDescent="0.35">
      <c r="B1840"/>
      <c r="C1840"/>
      <c r="D1840"/>
      <c r="E1840"/>
      <c r="F1840"/>
      <c r="G1840"/>
      <c r="H1840"/>
      <c r="I1840"/>
      <c r="J1840"/>
      <c r="K1840"/>
      <c r="L1840" s="11"/>
      <c r="M1840"/>
      <c r="N1840" s="3"/>
      <c r="O1840" s="11"/>
      <c r="P1840" s="11"/>
      <c r="Q1840" s="11"/>
      <c r="R1840" s="11"/>
      <c r="S1840" s="11"/>
      <c r="T1840" s="11"/>
      <c r="U1840" s="11"/>
      <c r="V1840" s="11"/>
      <c r="W1840" s="11"/>
    </row>
    <row r="1841" spans="2:23" x14ac:dyDescent="0.35">
      <c r="B1841"/>
      <c r="C1841"/>
      <c r="D1841"/>
      <c r="E1841"/>
      <c r="F1841"/>
      <c r="G1841"/>
      <c r="H1841"/>
      <c r="I1841"/>
      <c r="J1841"/>
      <c r="K1841"/>
      <c r="L1841" s="11"/>
      <c r="M1841"/>
      <c r="N1841" s="3"/>
      <c r="O1841" s="11"/>
      <c r="P1841" s="11"/>
      <c r="Q1841" s="11"/>
      <c r="R1841" s="11"/>
      <c r="S1841" s="11"/>
      <c r="T1841" s="11"/>
      <c r="U1841" s="11"/>
      <c r="V1841" s="11"/>
      <c r="W1841" s="11"/>
    </row>
    <row r="1842" spans="2:23" x14ac:dyDescent="0.35">
      <c r="B1842"/>
      <c r="C1842"/>
      <c r="D1842"/>
      <c r="E1842"/>
      <c r="F1842"/>
      <c r="G1842"/>
      <c r="H1842"/>
      <c r="I1842"/>
      <c r="J1842"/>
      <c r="K1842"/>
      <c r="L1842" s="11"/>
      <c r="M1842"/>
      <c r="N1842" s="3"/>
      <c r="O1842" s="11"/>
      <c r="P1842" s="11"/>
      <c r="Q1842" s="11"/>
      <c r="R1842" s="11"/>
      <c r="S1842" s="11"/>
      <c r="T1842" s="11"/>
      <c r="U1842" s="11"/>
      <c r="V1842" s="11"/>
      <c r="W1842" s="11"/>
    </row>
    <row r="1843" spans="2:23" x14ac:dyDescent="0.35">
      <c r="B1843"/>
      <c r="C1843"/>
      <c r="D1843"/>
      <c r="E1843"/>
      <c r="F1843"/>
      <c r="G1843"/>
      <c r="H1843"/>
      <c r="I1843"/>
      <c r="J1843"/>
      <c r="K1843"/>
      <c r="L1843" s="11"/>
      <c r="M1843"/>
      <c r="N1843" s="3"/>
      <c r="O1843" s="11"/>
      <c r="P1843" s="11"/>
      <c r="Q1843" s="11"/>
      <c r="R1843" s="11"/>
      <c r="S1843" s="11"/>
      <c r="T1843" s="11"/>
      <c r="U1843" s="11"/>
      <c r="V1843" s="11"/>
      <c r="W1843" s="11"/>
    </row>
    <row r="1844" spans="2:23" x14ac:dyDescent="0.35">
      <c r="B1844"/>
      <c r="C1844"/>
      <c r="D1844"/>
      <c r="E1844"/>
      <c r="F1844"/>
      <c r="G1844"/>
      <c r="H1844"/>
      <c r="I1844"/>
      <c r="J1844"/>
      <c r="K1844"/>
      <c r="L1844" s="11"/>
      <c r="M1844"/>
      <c r="N1844" s="3"/>
      <c r="O1844" s="11"/>
      <c r="P1844" s="11"/>
      <c r="Q1844" s="11"/>
      <c r="R1844" s="11"/>
      <c r="S1844" s="11"/>
      <c r="T1844" s="11"/>
      <c r="U1844" s="11"/>
      <c r="V1844" s="11"/>
      <c r="W1844" s="11"/>
    </row>
    <row r="1845" spans="2:23" x14ac:dyDescent="0.35">
      <c r="B1845"/>
      <c r="C1845"/>
      <c r="D1845"/>
      <c r="E1845"/>
      <c r="F1845"/>
      <c r="G1845"/>
      <c r="H1845"/>
      <c r="I1845"/>
      <c r="J1845"/>
      <c r="K1845"/>
      <c r="L1845" s="11"/>
      <c r="M1845"/>
      <c r="N1845" s="3"/>
      <c r="O1845" s="11"/>
      <c r="P1845" s="11"/>
      <c r="Q1845" s="11"/>
      <c r="R1845" s="11"/>
      <c r="S1845" s="11"/>
      <c r="T1845" s="11"/>
      <c r="U1845" s="11"/>
      <c r="V1845" s="11"/>
      <c r="W1845" s="11"/>
    </row>
    <row r="1846" spans="2:23" x14ac:dyDescent="0.35">
      <c r="B1846"/>
      <c r="C1846"/>
      <c r="D1846"/>
      <c r="E1846"/>
      <c r="F1846"/>
      <c r="G1846"/>
      <c r="H1846"/>
      <c r="I1846"/>
      <c r="J1846"/>
      <c r="K1846"/>
      <c r="L1846" s="11"/>
      <c r="M1846"/>
      <c r="N1846" s="3"/>
      <c r="O1846" s="11"/>
      <c r="P1846" s="11"/>
      <c r="Q1846" s="11"/>
      <c r="R1846" s="11"/>
      <c r="S1846" s="11"/>
      <c r="T1846" s="11"/>
      <c r="U1846" s="11"/>
      <c r="V1846" s="11"/>
      <c r="W1846" s="11"/>
    </row>
    <row r="1847" spans="2:23" x14ac:dyDescent="0.35">
      <c r="B1847"/>
      <c r="C1847"/>
      <c r="D1847"/>
      <c r="E1847"/>
      <c r="F1847"/>
      <c r="G1847"/>
      <c r="H1847"/>
      <c r="I1847"/>
      <c r="J1847"/>
      <c r="K1847"/>
      <c r="L1847" s="11"/>
      <c r="M1847"/>
      <c r="N1847" s="3"/>
      <c r="O1847" s="11"/>
      <c r="P1847" s="11"/>
      <c r="Q1847" s="11"/>
      <c r="R1847" s="11"/>
      <c r="S1847" s="11"/>
      <c r="T1847" s="11"/>
      <c r="U1847" s="11"/>
      <c r="V1847" s="11"/>
      <c r="W1847" s="11"/>
    </row>
    <row r="1848" spans="2:23" x14ac:dyDescent="0.35">
      <c r="B1848"/>
      <c r="C1848"/>
      <c r="D1848"/>
      <c r="E1848"/>
      <c r="F1848"/>
      <c r="G1848"/>
      <c r="H1848"/>
      <c r="I1848"/>
      <c r="J1848"/>
      <c r="K1848"/>
      <c r="L1848" s="11"/>
      <c r="M1848"/>
      <c r="N1848" s="3"/>
      <c r="O1848" s="11"/>
      <c r="P1848" s="11"/>
      <c r="Q1848" s="11"/>
      <c r="R1848" s="11"/>
      <c r="S1848" s="11"/>
      <c r="T1848" s="11"/>
      <c r="U1848" s="11"/>
      <c r="V1848" s="11"/>
      <c r="W1848" s="11"/>
    </row>
    <row r="1849" spans="2:23" x14ac:dyDescent="0.35">
      <c r="B1849"/>
      <c r="C1849"/>
      <c r="D1849"/>
      <c r="E1849"/>
      <c r="F1849"/>
      <c r="G1849"/>
      <c r="H1849"/>
      <c r="I1849"/>
      <c r="J1849"/>
      <c r="K1849"/>
      <c r="L1849" s="11"/>
      <c r="M1849"/>
      <c r="N1849" s="3"/>
      <c r="O1849" s="11"/>
      <c r="P1849" s="11"/>
      <c r="Q1849" s="11"/>
      <c r="R1849" s="11"/>
      <c r="S1849" s="11"/>
      <c r="T1849" s="11"/>
      <c r="U1849" s="11"/>
      <c r="V1849" s="11"/>
      <c r="W1849" s="11"/>
    </row>
    <row r="1850" spans="2:23" x14ac:dyDescent="0.35">
      <c r="B1850"/>
      <c r="C1850"/>
      <c r="D1850"/>
      <c r="E1850"/>
      <c r="F1850"/>
      <c r="G1850"/>
      <c r="H1850"/>
      <c r="I1850"/>
      <c r="J1850"/>
      <c r="K1850"/>
      <c r="L1850" s="11"/>
      <c r="M1850"/>
      <c r="N1850" s="3"/>
      <c r="O1850" s="11"/>
      <c r="P1850" s="11"/>
      <c r="Q1850" s="11"/>
      <c r="R1850" s="11"/>
      <c r="S1850" s="11"/>
      <c r="T1850" s="11"/>
      <c r="U1850" s="11"/>
      <c r="V1850" s="11"/>
      <c r="W1850" s="11"/>
    </row>
    <row r="1851" spans="2:23" x14ac:dyDescent="0.35">
      <c r="B1851"/>
      <c r="C1851"/>
      <c r="D1851"/>
      <c r="E1851"/>
      <c r="F1851"/>
      <c r="G1851"/>
      <c r="H1851"/>
      <c r="I1851"/>
      <c r="J1851"/>
      <c r="K1851"/>
      <c r="L1851" s="11"/>
      <c r="M1851"/>
      <c r="N1851" s="3"/>
      <c r="O1851" s="11"/>
      <c r="P1851" s="11"/>
      <c r="Q1851" s="11"/>
      <c r="R1851" s="11"/>
      <c r="S1851" s="11"/>
      <c r="T1851" s="11"/>
      <c r="U1851" s="11"/>
      <c r="V1851" s="11"/>
      <c r="W1851" s="11"/>
    </row>
    <row r="1852" spans="2:23" x14ac:dyDescent="0.35">
      <c r="B1852"/>
      <c r="C1852"/>
      <c r="D1852"/>
      <c r="E1852"/>
      <c r="F1852"/>
      <c r="G1852"/>
      <c r="H1852"/>
      <c r="I1852"/>
      <c r="J1852"/>
      <c r="K1852"/>
      <c r="L1852" s="11"/>
      <c r="M1852"/>
      <c r="N1852" s="3"/>
      <c r="O1852" s="11"/>
      <c r="P1852" s="11"/>
      <c r="Q1852" s="11"/>
      <c r="R1852" s="11"/>
      <c r="S1852" s="11"/>
      <c r="T1852" s="11"/>
      <c r="U1852" s="11"/>
      <c r="V1852" s="11"/>
      <c r="W1852" s="11"/>
    </row>
    <row r="1853" spans="2:23" x14ac:dyDescent="0.35">
      <c r="B1853"/>
      <c r="C1853"/>
      <c r="D1853"/>
      <c r="E1853"/>
      <c r="F1853"/>
      <c r="G1853"/>
      <c r="H1853"/>
      <c r="I1853"/>
      <c r="J1853"/>
      <c r="K1853"/>
      <c r="L1853" s="11"/>
      <c r="M1853"/>
      <c r="N1853" s="3"/>
      <c r="O1853" s="11"/>
      <c r="P1853" s="11"/>
      <c r="Q1853" s="11"/>
      <c r="R1853" s="11"/>
      <c r="S1853" s="11"/>
      <c r="T1853" s="11"/>
      <c r="U1853" s="11"/>
      <c r="V1853" s="11"/>
      <c r="W1853" s="11"/>
    </row>
    <row r="1854" spans="2:23" x14ac:dyDescent="0.35">
      <c r="B1854"/>
      <c r="C1854"/>
      <c r="D1854"/>
      <c r="E1854"/>
      <c r="F1854"/>
      <c r="G1854"/>
      <c r="H1854"/>
      <c r="I1854"/>
      <c r="J1854"/>
      <c r="K1854"/>
      <c r="L1854" s="11"/>
      <c r="M1854"/>
      <c r="N1854" s="3"/>
      <c r="O1854" s="11"/>
      <c r="P1854" s="11"/>
      <c r="Q1854" s="11"/>
      <c r="R1854" s="11"/>
      <c r="S1854" s="11"/>
      <c r="T1854" s="11"/>
      <c r="U1854" s="11"/>
      <c r="V1854" s="11"/>
      <c r="W1854" s="11"/>
    </row>
    <row r="1855" spans="2:23" x14ac:dyDescent="0.35">
      <c r="B1855"/>
      <c r="C1855"/>
      <c r="D1855"/>
      <c r="E1855"/>
      <c r="F1855"/>
      <c r="G1855"/>
      <c r="H1855"/>
      <c r="I1855"/>
      <c r="J1855"/>
      <c r="K1855"/>
      <c r="L1855" s="11"/>
      <c r="M1855"/>
      <c r="N1855" s="3"/>
      <c r="O1855" s="11"/>
      <c r="P1855" s="11"/>
      <c r="Q1855" s="11"/>
      <c r="R1855" s="11"/>
      <c r="S1855" s="11"/>
      <c r="T1855" s="11"/>
      <c r="U1855" s="11"/>
      <c r="V1855" s="11"/>
      <c r="W1855" s="11"/>
    </row>
    <row r="1856" spans="2:23" x14ac:dyDescent="0.35">
      <c r="B1856"/>
      <c r="C1856"/>
      <c r="D1856"/>
      <c r="E1856"/>
      <c r="F1856"/>
      <c r="G1856"/>
      <c r="H1856"/>
      <c r="I1856"/>
      <c r="J1856"/>
      <c r="K1856"/>
      <c r="L1856" s="11"/>
      <c r="M1856"/>
      <c r="N1856" s="3"/>
      <c r="O1856" s="11"/>
      <c r="P1856" s="11"/>
      <c r="Q1856" s="11"/>
      <c r="R1856" s="11"/>
      <c r="S1856" s="11"/>
      <c r="T1856" s="11"/>
      <c r="U1856" s="11"/>
      <c r="V1856" s="11"/>
      <c r="W1856" s="11"/>
    </row>
    <row r="1857" spans="2:23" x14ac:dyDescent="0.35">
      <c r="B1857"/>
      <c r="C1857"/>
      <c r="D1857"/>
      <c r="E1857"/>
      <c r="F1857"/>
      <c r="G1857"/>
      <c r="H1857"/>
      <c r="I1857"/>
      <c r="J1857"/>
      <c r="K1857"/>
      <c r="L1857" s="11"/>
      <c r="M1857"/>
      <c r="N1857" s="3"/>
      <c r="O1857" s="11"/>
      <c r="P1857" s="11"/>
      <c r="Q1857" s="11"/>
      <c r="R1857" s="11"/>
      <c r="S1857" s="11"/>
      <c r="T1857" s="11"/>
      <c r="U1857" s="11"/>
      <c r="V1857" s="11"/>
      <c r="W1857" s="11"/>
    </row>
    <row r="1858" spans="2:23" x14ac:dyDescent="0.35">
      <c r="B1858"/>
      <c r="C1858"/>
      <c r="D1858"/>
      <c r="E1858"/>
      <c r="F1858"/>
      <c r="G1858"/>
      <c r="H1858"/>
      <c r="I1858"/>
      <c r="J1858"/>
      <c r="K1858"/>
      <c r="L1858" s="11"/>
      <c r="M1858"/>
      <c r="N1858" s="3"/>
      <c r="O1858" s="11"/>
      <c r="P1858" s="11"/>
      <c r="Q1858" s="11"/>
      <c r="R1858" s="11"/>
      <c r="S1858" s="11"/>
      <c r="T1858" s="11"/>
      <c r="U1858" s="11"/>
      <c r="V1858" s="11"/>
      <c r="W1858" s="11"/>
    </row>
    <row r="1859" spans="2:23" x14ac:dyDescent="0.35">
      <c r="B1859"/>
      <c r="C1859"/>
      <c r="D1859"/>
      <c r="E1859"/>
      <c r="F1859"/>
      <c r="G1859"/>
      <c r="H1859"/>
      <c r="I1859"/>
      <c r="J1859"/>
      <c r="K1859"/>
      <c r="L1859" s="11"/>
      <c r="M1859"/>
      <c r="N1859" s="3"/>
      <c r="O1859" s="11"/>
      <c r="P1859" s="11"/>
      <c r="Q1859" s="11"/>
      <c r="R1859" s="11"/>
      <c r="S1859" s="11"/>
      <c r="T1859" s="11"/>
      <c r="U1859" s="11"/>
      <c r="V1859" s="11"/>
      <c r="W1859" s="11"/>
    </row>
    <row r="1860" spans="2:23" x14ac:dyDescent="0.35">
      <c r="B1860"/>
      <c r="C1860"/>
      <c r="D1860"/>
      <c r="E1860"/>
      <c r="F1860"/>
      <c r="G1860"/>
      <c r="H1860"/>
      <c r="I1860"/>
      <c r="J1860"/>
      <c r="K1860"/>
      <c r="L1860" s="11"/>
      <c r="M1860"/>
      <c r="N1860" s="3"/>
      <c r="O1860" s="11"/>
      <c r="P1860" s="11"/>
      <c r="Q1860" s="11"/>
      <c r="R1860" s="11"/>
      <c r="S1860" s="11"/>
      <c r="T1860" s="11"/>
      <c r="U1860" s="11"/>
      <c r="V1860" s="11"/>
      <c r="W1860" s="11"/>
    </row>
    <row r="1861" spans="2:23" x14ac:dyDescent="0.35">
      <c r="B1861"/>
      <c r="C1861"/>
      <c r="D1861"/>
      <c r="E1861"/>
      <c r="F1861"/>
      <c r="G1861"/>
      <c r="H1861"/>
      <c r="I1861"/>
      <c r="J1861"/>
      <c r="K1861"/>
      <c r="L1861" s="11"/>
      <c r="M1861"/>
      <c r="N1861" s="3"/>
      <c r="O1861" s="11"/>
      <c r="P1861" s="11"/>
      <c r="Q1861" s="11"/>
      <c r="R1861" s="11"/>
      <c r="S1861" s="11"/>
      <c r="T1861" s="11"/>
      <c r="U1861" s="11"/>
      <c r="V1861" s="11"/>
      <c r="W1861" s="11"/>
    </row>
    <row r="1862" spans="2:23" x14ac:dyDescent="0.35">
      <c r="B1862"/>
      <c r="C1862"/>
      <c r="D1862"/>
      <c r="E1862"/>
      <c r="F1862"/>
      <c r="G1862"/>
      <c r="H1862"/>
      <c r="I1862"/>
      <c r="J1862"/>
      <c r="K1862"/>
      <c r="L1862" s="11"/>
      <c r="M1862"/>
      <c r="N1862" s="3"/>
      <c r="O1862" s="11"/>
      <c r="P1862" s="11"/>
      <c r="Q1862" s="11"/>
      <c r="R1862" s="11"/>
      <c r="S1862" s="11"/>
      <c r="T1862" s="11"/>
      <c r="U1862" s="11"/>
      <c r="V1862" s="11"/>
      <c r="W1862" s="11"/>
    </row>
    <row r="1863" spans="2:23" x14ac:dyDescent="0.35">
      <c r="B1863"/>
      <c r="C1863"/>
      <c r="D1863"/>
      <c r="E1863"/>
      <c r="F1863"/>
      <c r="G1863"/>
      <c r="H1863"/>
      <c r="I1863"/>
      <c r="J1863"/>
      <c r="K1863"/>
      <c r="L1863" s="11"/>
      <c r="M1863"/>
      <c r="N1863" s="3"/>
      <c r="O1863" s="11"/>
      <c r="P1863" s="11"/>
      <c r="Q1863" s="11"/>
      <c r="R1863" s="11"/>
      <c r="S1863" s="11"/>
      <c r="T1863" s="11"/>
      <c r="U1863" s="11"/>
      <c r="V1863" s="11"/>
      <c r="W1863" s="11"/>
    </row>
    <row r="1864" spans="2:23" x14ac:dyDescent="0.35">
      <c r="B1864"/>
      <c r="C1864"/>
      <c r="D1864"/>
      <c r="E1864"/>
      <c r="F1864"/>
      <c r="G1864"/>
      <c r="H1864"/>
      <c r="I1864"/>
      <c r="J1864"/>
      <c r="K1864"/>
      <c r="L1864" s="11"/>
      <c r="M1864"/>
      <c r="N1864" s="3"/>
      <c r="O1864" s="11"/>
      <c r="P1864" s="11"/>
      <c r="Q1864" s="11"/>
      <c r="R1864" s="11"/>
      <c r="S1864" s="11"/>
      <c r="T1864" s="11"/>
      <c r="U1864" s="11"/>
      <c r="V1864" s="11"/>
      <c r="W1864" s="11"/>
    </row>
    <row r="1865" spans="2:23" x14ac:dyDescent="0.35">
      <c r="B1865"/>
      <c r="C1865"/>
      <c r="D1865"/>
      <c r="E1865"/>
      <c r="F1865"/>
      <c r="G1865"/>
      <c r="H1865"/>
      <c r="I1865"/>
      <c r="J1865"/>
      <c r="K1865"/>
      <c r="L1865" s="11"/>
      <c r="M1865"/>
      <c r="N1865" s="3"/>
      <c r="O1865" s="11"/>
      <c r="P1865" s="11"/>
      <c r="Q1865" s="11"/>
      <c r="R1865" s="11"/>
      <c r="S1865" s="11"/>
      <c r="T1865" s="11"/>
      <c r="U1865" s="11"/>
      <c r="V1865" s="11"/>
      <c r="W1865" s="11"/>
    </row>
    <row r="1866" spans="2:23" x14ac:dyDescent="0.35">
      <c r="B1866"/>
      <c r="C1866"/>
      <c r="D1866"/>
      <c r="E1866"/>
      <c r="F1866"/>
      <c r="G1866"/>
      <c r="H1866"/>
      <c r="I1866"/>
      <c r="J1866"/>
      <c r="K1866"/>
      <c r="L1866" s="11"/>
      <c r="M1866"/>
      <c r="N1866" s="3"/>
      <c r="O1866" s="11"/>
      <c r="P1866" s="11"/>
      <c r="Q1866" s="11"/>
      <c r="R1866" s="11"/>
      <c r="S1866" s="11"/>
      <c r="T1866" s="11"/>
      <c r="U1866" s="11"/>
      <c r="V1866" s="11"/>
      <c r="W1866" s="11"/>
    </row>
    <row r="1867" spans="2:23" x14ac:dyDescent="0.35">
      <c r="B1867"/>
      <c r="C1867"/>
      <c r="D1867"/>
      <c r="E1867"/>
      <c r="F1867"/>
      <c r="G1867"/>
      <c r="H1867"/>
      <c r="I1867"/>
      <c r="J1867"/>
      <c r="K1867"/>
      <c r="L1867" s="11"/>
      <c r="M1867"/>
      <c r="N1867" s="3"/>
      <c r="O1867" s="11"/>
      <c r="P1867" s="11"/>
      <c r="Q1867" s="11"/>
      <c r="R1867" s="11"/>
      <c r="S1867" s="11"/>
      <c r="T1867" s="11"/>
      <c r="U1867" s="11"/>
      <c r="V1867" s="11"/>
      <c r="W1867" s="11"/>
    </row>
    <row r="1868" spans="2:23" x14ac:dyDescent="0.35">
      <c r="B1868"/>
      <c r="C1868"/>
      <c r="D1868"/>
      <c r="E1868"/>
      <c r="F1868"/>
      <c r="G1868"/>
      <c r="H1868"/>
      <c r="I1868"/>
      <c r="J1868"/>
      <c r="K1868"/>
      <c r="L1868" s="11"/>
      <c r="M1868"/>
      <c r="N1868" s="3"/>
      <c r="O1868" s="11"/>
      <c r="P1868" s="11"/>
      <c r="Q1868" s="11"/>
      <c r="R1868" s="11"/>
      <c r="S1868" s="11"/>
      <c r="T1868" s="11"/>
      <c r="U1868" s="11"/>
      <c r="V1868" s="11"/>
      <c r="W1868" s="11"/>
    </row>
    <row r="1869" spans="2:23" x14ac:dyDescent="0.35">
      <c r="B1869"/>
      <c r="C1869"/>
      <c r="D1869"/>
      <c r="E1869"/>
      <c r="F1869"/>
      <c r="G1869"/>
      <c r="H1869"/>
      <c r="I1869"/>
      <c r="J1869"/>
      <c r="K1869"/>
      <c r="L1869" s="11"/>
      <c r="M1869"/>
      <c r="N1869" s="3"/>
      <c r="O1869" s="11"/>
      <c r="P1869" s="11"/>
      <c r="Q1869" s="11"/>
      <c r="R1869" s="11"/>
      <c r="S1869" s="11"/>
      <c r="T1869" s="11"/>
      <c r="U1869" s="11"/>
      <c r="V1869" s="11"/>
      <c r="W1869" s="11"/>
    </row>
    <row r="1870" spans="2:23" x14ac:dyDescent="0.35">
      <c r="B1870"/>
      <c r="C1870"/>
      <c r="D1870"/>
      <c r="E1870"/>
      <c r="F1870"/>
      <c r="G1870"/>
      <c r="H1870"/>
      <c r="I1870"/>
      <c r="J1870"/>
      <c r="K1870"/>
      <c r="L1870" s="11"/>
      <c r="M1870"/>
      <c r="N1870" s="3"/>
      <c r="O1870" s="11"/>
      <c r="P1870" s="11"/>
      <c r="Q1870" s="11"/>
      <c r="R1870" s="11"/>
      <c r="S1870" s="11"/>
      <c r="T1870" s="11"/>
      <c r="U1870" s="11"/>
      <c r="V1870" s="11"/>
      <c r="W1870" s="11"/>
    </row>
    <row r="1871" spans="2:23" x14ac:dyDescent="0.35">
      <c r="B1871"/>
      <c r="C1871"/>
      <c r="D1871"/>
      <c r="E1871"/>
      <c r="F1871"/>
      <c r="G1871"/>
      <c r="H1871"/>
      <c r="I1871"/>
      <c r="J1871"/>
      <c r="K1871"/>
      <c r="L1871" s="11"/>
      <c r="M1871"/>
      <c r="N1871" s="3"/>
      <c r="O1871" s="11"/>
      <c r="P1871" s="11"/>
      <c r="Q1871" s="11"/>
      <c r="R1871" s="11"/>
      <c r="S1871" s="11"/>
      <c r="T1871" s="11"/>
      <c r="U1871" s="11"/>
      <c r="V1871" s="11"/>
      <c r="W1871" s="11"/>
    </row>
    <row r="1872" spans="2:23" x14ac:dyDescent="0.35">
      <c r="B1872"/>
      <c r="C1872"/>
      <c r="D1872"/>
      <c r="E1872"/>
      <c r="F1872"/>
      <c r="G1872"/>
      <c r="H1872"/>
      <c r="I1872"/>
      <c r="J1872"/>
      <c r="K1872"/>
      <c r="L1872" s="11"/>
      <c r="M1872"/>
      <c r="N1872" s="3"/>
      <c r="O1872" s="11"/>
      <c r="P1872" s="11"/>
      <c r="Q1872" s="11"/>
      <c r="R1872" s="11"/>
      <c r="S1872" s="11"/>
      <c r="T1872" s="11"/>
      <c r="U1872" s="11"/>
      <c r="V1872" s="11"/>
      <c r="W1872" s="11"/>
    </row>
    <row r="1873" spans="2:23" x14ac:dyDescent="0.35">
      <c r="B1873"/>
      <c r="C1873"/>
      <c r="D1873"/>
      <c r="E1873"/>
      <c r="F1873"/>
      <c r="G1873"/>
      <c r="H1873"/>
      <c r="I1873"/>
      <c r="J1873"/>
      <c r="K1873"/>
      <c r="L1873" s="11"/>
      <c r="M1873"/>
      <c r="N1873" s="3"/>
      <c r="O1873" s="11"/>
      <c r="P1873" s="11"/>
      <c r="Q1873" s="11"/>
      <c r="R1873" s="11"/>
      <c r="S1873" s="11"/>
      <c r="T1873" s="11"/>
      <c r="U1873" s="11"/>
      <c r="V1873" s="11"/>
      <c r="W1873" s="11"/>
    </row>
    <row r="1874" spans="2:23" x14ac:dyDescent="0.35">
      <c r="B1874"/>
      <c r="C1874"/>
      <c r="D1874"/>
      <c r="E1874"/>
      <c r="F1874"/>
      <c r="G1874"/>
      <c r="H1874"/>
      <c r="I1874"/>
      <c r="J1874"/>
      <c r="K1874"/>
      <c r="L1874" s="11"/>
      <c r="M1874"/>
      <c r="N1874" s="3"/>
      <c r="O1874" s="11"/>
      <c r="P1874" s="11"/>
      <c r="Q1874" s="11"/>
      <c r="R1874" s="11"/>
      <c r="S1874" s="11"/>
      <c r="T1874" s="11"/>
      <c r="U1874" s="11"/>
      <c r="V1874" s="11"/>
      <c r="W1874" s="11"/>
    </row>
    <row r="1875" spans="2:23" x14ac:dyDescent="0.35">
      <c r="B1875"/>
      <c r="C1875"/>
      <c r="D1875"/>
      <c r="E1875"/>
      <c r="F1875"/>
      <c r="G1875"/>
      <c r="H1875"/>
      <c r="I1875"/>
      <c r="J1875"/>
      <c r="K1875"/>
      <c r="L1875" s="11"/>
      <c r="M1875"/>
      <c r="N1875" s="3"/>
      <c r="O1875" s="11"/>
      <c r="P1875" s="11"/>
      <c r="Q1875" s="11"/>
      <c r="R1875" s="11"/>
      <c r="S1875" s="11"/>
      <c r="T1875" s="11"/>
      <c r="U1875" s="11"/>
      <c r="V1875" s="11"/>
      <c r="W1875" s="11"/>
    </row>
    <row r="1876" spans="2:23" x14ac:dyDescent="0.35">
      <c r="B1876"/>
      <c r="C1876"/>
      <c r="D1876"/>
      <c r="E1876"/>
      <c r="F1876"/>
      <c r="G1876"/>
      <c r="H1876"/>
      <c r="I1876"/>
      <c r="J1876"/>
      <c r="K1876"/>
      <c r="L1876" s="11"/>
      <c r="M1876"/>
      <c r="N1876" s="3"/>
      <c r="O1876" s="11"/>
      <c r="P1876" s="11"/>
      <c r="Q1876" s="11"/>
      <c r="R1876" s="11"/>
      <c r="S1876" s="11"/>
      <c r="T1876" s="11"/>
      <c r="U1876" s="11"/>
      <c r="V1876" s="11"/>
      <c r="W1876" s="11"/>
    </row>
    <row r="1877" spans="2:23" x14ac:dyDescent="0.35">
      <c r="B1877"/>
      <c r="C1877"/>
      <c r="D1877"/>
      <c r="E1877"/>
      <c r="F1877"/>
      <c r="G1877"/>
      <c r="H1877"/>
      <c r="I1877"/>
      <c r="J1877"/>
      <c r="K1877"/>
      <c r="L1877" s="11"/>
      <c r="M1877"/>
      <c r="N1877" s="3"/>
      <c r="O1877" s="11"/>
      <c r="P1877" s="11"/>
      <c r="Q1877" s="11"/>
      <c r="R1877" s="11"/>
      <c r="S1877" s="11"/>
      <c r="T1877" s="11"/>
      <c r="U1877" s="11"/>
      <c r="V1877" s="11"/>
      <c r="W1877" s="11"/>
    </row>
    <row r="1878" spans="2:23" x14ac:dyDescent="0.35">
      <c r="B1878"/>
      <c r="C1878"/>
      <c r="D1878"/>
      <c r="E1878"/>
      <c r="F1878"/>
      <c r="G1878"/>
      <c r="H1878"/>
      <c r="I1878"/>
      <c r="J1878"/>
      <c r="K1878"/>
      <c r="L1878" s="11"/>
      <c r="M1878"/>
      <c r="N1878" s="3"/>
      <c r="O1878" s="11"/>
      <c r="P1878" s="11"/>
      <c r="Q1878" s="11"/>
      <c r="R1878" s="11"/>
      <c r="S1878" s="11"/>
      <c r="T1878" s="11"/>
      <c r="U1878" s="11"/>
      <c r="V1878" s="11"/>
      <c r="W1878" s="11"/>
    </row>
    <row r="1879" spans="2:23" x14ac:dyDescent="0.35">
      <c r="B1879"/>
      <c r="C1879"/>
      <c r="D1879"/>
      <c r="E1879"/>
      <c r="F1879"/>
      <c r="G1879"/>
      <c r="H1879"/>
      <c r="I1879"/>
      <c r="J1879"/>
      <c r="K1879"/>
      <c r="L1879" s="11"/>
      <c r="M1879"/>
      <c r="N1879" s="3"/>
      <c r="O1879" s="11"/>
      <c r="P1879" s="11"/>
      <c r="Q1879" s="11"/>
      <c r="R1879" s="11"/>
      <c r="S1879" s="11"/>
      <c r="T1879" s="11"/>
      <c r="U1879" s="11"/>
      <c r="V1879" s="11"/>
      <c r="W1879" s="11"/>
    </row>
    <row r="1880" spans="2:23" x14ac:dyDescent="0.35">
      <c r="B1880"/>
      <c r="C1880"/>
      <c r="D1880"/>
      <c r="E1880"/>
      <c r="F1880"/>
      <c r="G1880"/>
      <c r="H1880"/>
      <c r="I1880"/>
      <c r="J1880"/>
      <c r="K1880"/>
      <c r="L1880" s="11"/>
      <c r="M1880"/>
      <c r="N1880" s="3"/>
      <c r="O1880" s="11"/>
      <c r="P1880" s="11"/>
      <c r="Q1880" s="11"/>
      <c r="R1880" s="11"/>
      <c r="S1880" s="11"/>
      <c r="T1880" s="11"/>
      <c r="U1880" s="11"/>
      <c r="V1880" s="11"/>
      <c r="W1880" s="11"/>
    </row>
    <row r="1881" spans="2:23" x14ac:dyDescent="0.35">
      <c r="B1881"/>
      <c r="C1881"/>
      <c r="D1881"/>
      <c r="E1881"/>
      <c r="F1881"/>
      <c r="G1881"/>
      <c r="H1881"/>
      <c r="I1881"/>
      <c r="J1881"/>
      <c r="K1881"/>
      <c r="L1881" s="11"/>
      <c r="M1881"/>
      <c r="N1881" s="3"/>
      <c r="O1881" s="11"/>
      <c r="P1881" s="11"/>
      <c r="Q1881" s="11"/>
      <c r="R1881" s="11"/>
      <c r="S1881" s="11"/>
      <c r="T1881" s="11"/>
      <c r="U1881" s="11"/>
      <c r="V1881" s="11"/>
      <c r="W1881" s="11"/>
    </row>
    <row r="1882" spans="2:23" x14ac:dyDescent="0.35">
      <c r="B1882"/>
      <c r="C1882"/>
      <c r="D1882"/>
      <c r="E1882"/>
      <c r="F1882"/>
      <c r="G1882"/>
      <c r="H1882"/>
      <c r="I1882"/>
      <c r="J1882"/>
      <c r="K1882"/>
      <c r="L1882" s="11"/>
      <c r="M1882"/>
      <c r="N1882" s="3"/>
      <c r="O1882" s="11"/>
      <c r="P1882" s="11"/>
      <c r="Q1882" s="11"/>
      <c r="R1882" s="11"/>
      <c r="S1882" s="11"/>
      <c r="T1882" s="11"/>
      <c r="U1882" s="11"/>
      <c r="V1882" s="11"/>
      <c r="W1882" s="11"/>
    </row>
    <row r="1883" spans="2:23" x14ac:dyDescent="0.35">
      <c r="B1883"/>
      <c r="C1883"/>
      <c r="D1883"/>
      <c r="E1883"/>
      <c r="F1883"/>
      <c r="G1883"/>
      <c r="H1883"/>
      <c r="I1883"/>
      <c r="J1883"/>
      <c r="K1883"/>
      <c r="L1883" s="11"/>
      <c r="M1883"/>
      <c r="N1883" s="3"/>
      <c r="O1883" s="11"/>
      <c r="P1883" s="11"/>
      <c r="Q1883" s="11"/>
      <c r="R1883" s="11"/>
      <c r="S1883" s="11"/>
      <c r="T1883" s="11"/>
      <c r="U1883" s="11"/>
      <c r="V1883" s="11"/>
      <c r="W1883" s="11"/>
    </row>
    <row r="1884" spans="2:23" x14ac:dyDescent="0.35">
      <c r="B1884"/>
      <c r="C1884"/>
      <c r="D1884"/>
      <c r="E1884"/>
      <c r="F1884"/>
      <c r="G1884"/>
      <c r="H1884"/>
      <c r="I1884"/>
      <c r="J1884"/>
      <c r="K1884"/>
      <c r="L1884" s="11"/>
      <c r="M1884"/>
      <c r="N1884" s="3"/>
      <c r="O1884" s="11"/>
      <c r="P1884" s="11"/>
      <c r="Q1884" s="11"/>
      <c r="R1884" s="11"/>
      <c r="S1884" s="11"/>
      <c r="T1884" s="11"/>
      <c r="U1884" s="11"/>
      <c r="V1884" s="11"/>
      <c r="W1884" s="11"/>
    </row>
    <row r="1885" spans="2:23" x14ac:dyDescent="0.35">
      <c r="B1885"/>
      <c r="C1885"/>
      <c r="D1885"/>
      <c r="E1885"/>
      <c r="F1885"/>
      <c r="G1885"/>
      <c r="H1885"/>
      <c r="I1885"/>
      <c r="J1885"/>
      <c r="K1885"/>
      <c r="L1885" s="11"/>
      <c r="M1885"/>
      <c r="N1885" s="3"/>
      <c r="O1885" s="11"/>
      <c r="P1885" s="11"/>
      <c r="Q1885" s="11"/>
      <c r="R1885" s="11"/>
      <c r="S1885" s="11"/>
      <c r="T1885" s="11"/>
      <c r="U1885" s="11"/>
      <c r="V1885" s="11"/>
      <c r="W1885" s="11"/>
    </row>
    <row r="1886" spans="2:23" x14ac:dyDescent="0.35">
      <c r="B1886"/>
      <c r="C1886"/>
      <c r="D1886"/>
      <c r="E1886"/>
      <c r="F1886"/>
      <c r="G1886"/>
      <c r="H1886"/>
      <c r="I1886"/>
      <c r="J1886"/>
      <c r="K1886"/>
      <c r="L1886" s="11"/>
      <c r="M1886"/>
      <c r="N1886" s="3"/>
      <c r="O1886" s="11"/>
      <c r="P1886" s="11"/>
      <c r="Q1886" s="11"/>
      <c r="R1886" s="11"/>
      <c r="S1886" s="11"/>
      <c r="T1886" s="11"/>
      <c r="U1886" s="11"/>
      <c r="V1886" s="11"/>
      <c r="W1886" s="11"/>
    </row>
    <row r="1887" spans="2:23" x14ac:dyDescent="0.35">
      <c r="B1887"/>
      <c r="C1887"/>
      <c r="D1887"/>
      <c r="E1887"/>
      <c r="F1887"/>
      <c r="G1887"/>
      <c r="H1887"/>
      <c r="I1887"/>
      <c r="J1887"/>
      <c r="K1887"/>
      <c r="L1887" s="11"/>
      <c r="M1887"/>
      <c r="N1887" s="3"/>
      <c r="O1887" s="11"/>
      <c r="P1887" s="11"/>
      <c r="Q1887" s="11"/>
      <c r="R1887" s="11"/>
      <c r="S1887" s="11"/>
      <c r="T1887" s="11"/>
      <c r="U1887" s="11"/>
      <c r="V1887" s="11"/>
      <c r="W1887" s="11"/>
    </row>
    <row r="1888" spans="2:23" x14ac:dyDescent="0.35">
      <c r="B1888"/>
      <c r="C1888"/>
      <c r="D1888"/>
      <c r="E1888"/>
      <c r="F1888"/>
      <c r="G1888"/>
      <c r="H1888"/>
      <c r="I1888"/>
      <c r="J1888"/>
      <c r="K1888"/>
      <c r="L1888" s="11"/>
      <c r="M1888"/>
      <c r="N1888" s="3"/>
      <c r="O1888" s="11"/>
      <c r="P1888" s="11"/>
      <c r="Q1888" s="11"/>
      <c r="R1888" s="11"/>
      <c r="S1888" s="11"/>
      <c r="T1888" s="11"/>
      <c r="U1888" s="11"/>
      <c r="V1888" s="11"/>
      <c r="W1888" s="11"/>
    </row>
    <row r="1889" spans="2:23" x14ac:dyDescent="0.35">
      <c r="B1889"/>
      <c r="C1889"/>
      <c r="D1889"/>
      <c r="E1889"/>
      <c r="F1889"/>
      <c r="G1889"/>
      <c r="H1889"/>
      <c r="I1889"/>
      <c r="J1889"/>
      <c r="K1889"/>
      <c r="L1889" s="11"/>
      <c r="M1889"/>
      <c r="N1889" s="3"/>
      <c r="O1889" s="11"/>
      <c r="P1889" s="11"/>
      <c r="Q1889" s="11"/>
      <c r="R1889" s="11"/>
      <c r="S1889" s="11"/>
      <c r="T1889" s="11"/>
      <c r="U1889" s="11"/>
      <c r="V1889" s="11"/>
      <c r="W1889" s="11"/>
    </row>
    <row r="1890" spans="2:23" x14ac:dyDescent="0.35">
      <c r="B1890"/>
      <c r="C1890"/>
      <c r="D1890"/>
      <c r="E1890"/>
      <c r="F1890"/>
      <c r="G1890"/>
      <c r="H1890"/>
      <c r="I1890"/>
      <c r="J1890"/>
      <c r="K1890"/>
      <c r="L1890" s="11"/>
      <c r="M1890"/>
      <c r="N1890" s="3"/>
      <c r="O1890" s="11"/>
      <c r="P1890" s="11"/>
      <c r="Q1890" s="11"/>
      <c r="R1890" s="11"/>
      <c r="S1890" s="11"/>
      <c r="T1890" s="11"/>
      <c r="U1890" s="11"/>
      <c r="V1890" s="11"/>
      <c r="W1890" s="11"/>
    </row>
    <row r="1891" spans="2:23" x14ac:dyDescent="0.35">
      <c r="B1891"/>
      <c r="C1891"/>
      <c r="D1891"/>
      <c r="E1891"/>
      <c r="F1891"/>
      <c r="G1891"/>
      <c r="H1891"/>
      <c r="I1891"/>
      <c r="J1891"/>
      <c r="K1891"/>
      <c r="L1891" s="11"/>
      <c r="M1891"/>
      <c r="N1891" s="3"/>
      <c r="O1891" s="11"/>
      <c r="P1891" s="11"/>
      <c r="Q1891" s="11"/>
      <c r="R1891" s="11"/>
      <c r="S1891" s="11"/>
      <c r="T1891" s="11"/>
      <c r="U1891" s="11"/>
      <c r="V1891" s="11"/>
      <c r="W1891" s="11"/>
    </row>
    <row r="1892" spans="2:23" x14ac:dyDescent="0.35">
      <c r="B1892"/>
      <c r="C1892"/>
      <c r="D1892"/>
      <c r="E1892"/>
      <c r="F1892"/>
      <c r="G1892"/>
      <c r="H1892"/>
      <c r="I1892"/>
      <c r="J1892"/>
      <c r="K1892"/>
      <c r="L1892" s="11"/>
      <c r="M1892"/>
      <c r="N1892" s="3"/>
      <c r="O1892" s="11"/>
      <c r="P1892" s="11"/>
      <c r="Q1892" s="11"/>
      <c r="R1892" s="11"/>
      <c r="S1892" s="11"/>
      <c r="T1892" s="11"/>
      <c r="U1892" s="11"/>
      <c r="V1892" s="11"/>
      <c r="W1892" s="11"/>
    </row>
    <row r="1893" spans="2:23" x14ac:dyDescent="0.35">
      <c r="B1893"/>
      <c r="C1893"/>
      <c r="D1893"/>
      <c r="E1893"/>
      <c r="F1893"/>
      <c r="G1893"/>
      <c r="H1893"/>
      <c r="I1893"/>
      <c r="J1893"/>
      <c r="K1893"/>
      <c r="L1893" s="11"/>
      <c r="M1893"/>
      <c r="N1893" s="3"/>
      <c r="O1893" s="11"/>
      <c r="P1893" s="11"/>
      <c r="Q1893" s="11"/>
      <c r="R1893" s="11"/>
      <c r="S1893" s="11"/>
      <c r="T1893" s="11"/>
      <c r="U1893" s="11"/>
      <c r="V1893" s="11"/>
      <c r="W1893" s="11"/>
    </row>
    <row r="1894" spans="2:23" x14ac:dyDescent="0.35">
      <c r="B1894"/>
      <c r="C1894"/>
      <c r="D1894"/>
      <c r="E1894"/>
      <c r="F1894"/>
      <c r="G1894"/>
      <c r="H1894"/>
      <c r="I1894"/>
      <c r="J1894"/>
      <c r="K1894"/>
      <c r="L1894" s="11"/>
      <c r="M1894"/>
      <c r="N1894" s="3"/>
      <c r="O1894" s="11"/>
      <c r="P1894" s="11"/>
      <c r="Q1894" s="11"/>
      <c r="R1894" s="11"/>
      <c r="S1894" s="11"/>
      <c r="T1894" s="11"/>
      <c r="U1894" s="11"/>
      <c r="V1894" s="11"/>
      <c r="W1894" s="11"/>
    </row>
    <row r="1895" spans="2:23" x14ac:dyDescent="0.35">
      <c r="B1895"/>
      <c r="C1895"/>
      <c r="D1895"/>
      <c r="E1895"/>
      <c r="F1895"/>
      <c r="G1895"/>
      <c r="H1895"/>
      <c r="I1895"/>
      <c r="J1895"/>
      <c r="K1895"/>
      <c r="L1895" s="11"/>
      <c r="M1895"/>
      <c r="N1895" s="3"/>
      <c r="O1895" s="11"/>
      <c r="P1895" s="11"/>
      <c r="Q1895" s="11"/>
      <c r="R1895" s="11"/>
      <c r="S1895" s="11"/>
      <c r="T1895" s="11"/>
      <c r="U1895" s="11"/>
      <c r="V1895" s="11"/>
      <c r="W1895" s="11"/>
    </row>
    <row r="1896" spans="2:23" x14ac:dyDescent="0.35">
      <c r="B1896"/>
      <c r="C1896"/>
      <c r="D1896"/>
      <c r="E1896"/>
      <c r="F1896"/>
      <c r="G1896"/>
      <c r="H1896"/>
      <c r="I1896"/>
      <c r="J1896"/>
      <c r="K1896"/>
      <c r="L1896" s="11"/>
      <c r="M1896"/>
      <c r="N1896" s="3"/>
      <c r="O1896" s="11"/>
      <c r="P1896" s="11"/>
      <c r="Q1896" s="11"/>
      <c r="R1896" s="11"/>
      <c r="S1896" s="11"/>
      <c r="T1896" s="11"/>
      <c r="U1896" s="11"/>
      <c r="V1896" s="11"/>
      <c r="W1896" s="11"/>
    </row>
    <row r="1897" spans="2:23" x14ac:dyDescent="0.35">
      <c r="B1897"/>
      <c r="C1897"/>
      <c r="D1897"/>
      <c r="E1897"/>
      <c r="F1897"/>
      <c r="G1897"/>
      <c r="H1897"/>
      <c r="I1897"/>
      <c r="J1897"/>
      <c r="K1897"/>
      <c r="L1897" s="11"/>
      <c r="M1897"/>
      <c r="N1897" s="3"/>
      <c r="O1897" s="11"/>
      <c r="P1897" s="11"/>
      <c r="Q1897" s="11"/>
      <c r="R1897" s="11"/>
      <c r="S1897" s="11"/>
      <c r="T1897" s="11"/>
      <c r="U1897" s="11"/>
      <c r="V1897" s="11"/>
      <c r="W1897" s="11"/>
    </row>
    <row r="1898" spans="2:23" x14ac:dyDescent="0.35">
      <c r="B1898"/>
      <c r="C1898"/>
      <c r="D1898"/>
      <c r="E1898"/>
      <c r="F1898"/>
      <c r="G1898"/>
      <c r="H1898"/>
      <c r="I1898"/>
      <c r="J1898"/>
      <c r="K1898"/>
      <c r="L1898" s="11"/>
      <c r="M1898"/>
      <c r="N1898" s="3"/>
      <c r="O1898" s="11"/>
      <c r="P1898" s="11"/>
      <c r="Q1898" s="11"/>
      <c r="R1898" s="11"/>
      <c r="S1898" s="11"/>
      <c r="T1898" s="11"/>
      <c r="U1898" s="11"/>
      <c r="V1898" s="11"/>
      <c r="W1898" s="11"/>
    </row>
    <row r="1899" spans="2:23" x14ac:dyDescent="0.35">
      <c r="B1899"/>
      <c r="C1899"/>
      <c r="D1899"/>
      <c r="E1899"/>
      <c r="F1899"/>
      <c r="G1899"/>
      <c r="H1899"/>
      <c r="I1899"/>
      <c r="J1899"/>
      <c r="K1899"/>
      <c r="L1899" s="11"/>
      <c r="M1899"/>
      <c r="N1899" s="3"/>
      <c r="O1899" s="11"/>
      <c r="P1899" s="11"/>
      <c r="Q1899" s="11"/>
      <c r="R1899" s="11"/>
      <c r="S1899" s="11"/>
      <c r="T1899" s="11"/>
      <c r="U1899" s="11"/>
      <c r="V1899" s="11"/>
      <c r="W1899" s="11"/>
    </row>
    <row r="1900" spans="2:23" x14ac:dyDescent="0.35">
      <c r="B1900"/>
      <c r="C1900"/>
      <c r="D1900"/>
      <c r="E1900"/>
      <c r="F1900"/>
      <c r="G1900"/>
      <c r="H1900"/>
      <c r="I1900"/>
      <c r="J1900"/>
      <c r="K1900"/>
      <c r="L1900" s="11"/>
      <c r="M1900"/>
      <c r="N1900" s="3"/>
      <c r="O1900" s="11"/>
      <c r="P1900" s="11"/>
      <c r="Q1900" s="11"/>
      <c r="R1900" s="11"/>
      <c r="S1900" s="11"/>
      <c r="T1900" s="11"/>
      <c r="U1900" s="11"/>
      <c r="V1900" s="11"/>
      <c r="W1900" s="11"/>
    </row>
    <row r="1901" spans="2:23" x14ac:dyDescent="0.35">
      <c r="B1901"/>
      <c r="C1901"/>
      <c r="D1901"/>
      <c r="E1901"/>
      <c r="F1901"/>
      <c r="G1901"/>
      <c r="H1901"/>
      <c r="I1901"/>
      <c r="J1901"/>
      <c r="K1901"/>
      <c r="L1901" s="11"/>
      <c r="M1901"/>
      <c r="N1901" s="3"/>
      <c r="O1901" s="11"/>
      <c r="P1901" s="11"/>
      <c r="Q1901" s="11"/>
      <c r="R1901" s="11"/>
      <c r="S1901" s="11"/>
      <c r="T1901" s="11"/>
      <c r="U1901" s="11"/>
      <c r="V1901" s="11"/>
      <c r="W1901" s="11"/>
    </row>
    <row r="1902" spans="2:23" x14ac:dyDescent="0.35">
      <c r="B1902"/>
      <c r="C1902"/>
      <c r="D1902"/>
      <c r="E1902"/>
      <c r="F1902"/>
      <c r="G1902"/>
      <c r="H1902"/>
      <c r="I1902"/>
      <c r="J1902"/>
      <c r="K1902"/>
      <c r="L1902" s="11"/>
      <c r="M1902"/>
      <c r="N1902" s="3"/>
      <c r="O1902" s="11"/>
      <c r="P1902" s="11"/>
      <c r="Q1902" s="11"/>
      <c r="R1902" s="11"/>
      <c r="S1902" s="11"/>
      <c r="T1902" s="11"/>
      <c r="U1902" s="11"/>
      <c r="V1902" s="11"/>
      <c r="W1902" s="11"/>
    </row>
    <row r="1903" spans="2:23" x14ac:dyDescent="0.35">
      <c r="B1903"/>
      <c r="C1903"/>
      <c r="D1903"/>
      <c r="E1903"/>
      <c r="F1903"/>
      <c r="G1903"/>
      <c r="H1903"/>
      <c r="I1903"/>
      <c r="J1903"/>
      <c r="K1903"/>
      <c r="L1903" s="11"/>
      <c r="M1903"/>
      <c r="N1903" s="3"/>
      <c r="O1903" s="11"/>
      <c r="P1903" s="11"/>
      <c r="Q1903" s="11"/>
      <c r="R1903" s="11"/>
      <c r="S1903" s="11"/>
      <c r="T1903" s="11"/>
      <c r="U1903" s="11"/>
      <c r="V1903" s="11"/>
      <c r="W1903" s="11"/>
    </row>
    <row r="1904" spans="2:23" x14ac:dyDescent="0.35">
      <c r="B1904"/>
      <c r="C1904"/>
      <c r="D1904"/>
      <c r="E1904"/>
      <c r="F1904"/>
      <c r="G1904"/>
      <c r="H1904"/>
      <c r="I1904"/>
      <c r="J1904"/>
      <c r="K1904"/>
      <c r="L1904" s="11"/>
      <c r="M1904"/>
      <c r="N1904" s="3"/>
      <c r="O1904" s="11"/>
      <c r="P1904" s="11"/>
      <c r="Q1904" s="11"/>
      <c r="R1904" s="11"/>
      <c r="S1904" s="11"/>
      <c r="T1904" s="11"/>
      <c r="U1904" s="11"/>
      <c r="V1904" s="11"/>
      <c r="W1904" s="11"/>
    </row>
    <row r="1905" spans="2:23" x14ac:dyDescent="0.35">
      <c r="B1905"/>
      <c r="C1905"/>
      <c r="D1905"/>
      <c r="E1905"/>
      <c r="F1905"/>
      <c r="G1905"/>
      <c r="H1905"/>
      <c r="I1905"/>
      <c r="J1905"/>
      <c r="K1905"/>
      <c r="L1905" s="11"/>
      <c r="M1905"/>
      <c r="N1905" s="3"/>
      <c r="O1905" s="11"/>
      <c r="P1905" s="11"/>
      <c r="Q1905" s="11"/>
      <c r="R1905" s="11"/>
      <c r="S1905" s="11"/>
      <c r="T1905" s="11"/>
      <c r="U1905" s="11"/>
      <c r="V1905" s="11"/>
      <c r="W1905" s="11"/>
    </row>
    <row r="1906" spans="2:23" x14ac:dyDescent="0.35">
      <c r="B1906"/>
      <c r="C1906"/>
      <c r="D1906"/>
      <c r="E1906"/>
      <c r="F1906"/>
      <c r="G1906"/>
      <c r="H1906"/>
      <c r="I1906"/>
      <c r="J1906"/>
      <c r="K1906"/>
      <c r="L1906" s="11"/>
      <c r="M1906"/>
      <c r="N1906" s="3"/>
      <c r="O1906" s="11"/>
      <c r="P1906" s="11"/>
      <c r="Q1906" s="11"/>
      <c r="R1906" s="11"/>
      <c r="S1906" s="11"/>
      <c r="T1906" s="11"/>
      <c r="U1906" s="11"/>
      <c r="V1906" s="11"/>
      <c r="W1906" s="11"/>
    </row>
    <row r="1907" spans="2:23" x14ac:dyDescent="0.35">
      <c r="B1907"/>
      <c r="C1907"/>
      <c r="D1907"/>
      <c r="E1907"/>
      <c r="F1907"/>
      <c r="G1907"/>
      <c r="H1907"/>
      <c r="I1907"/>
      <c r="J1907"/>
      <c r="K1907"/>
      <c r="L1907" s="11"/>
      <c r="M1907"/>
      <c r="N1907" s="3"/>
      <c r="O1907" s="11"/>
      <c r="P1907" s="11"/>
      <c r="Q1907" s="11"/>
      <c r="R1907" s="11"/>
      <c r="S1907" s="11"/>
      <c r="T1907" s="11"/>
      <c r="U1907" s="11"/>
      <c r="V1907" s="11"/>
      <c r="W1907" s="11"/>
    </row>
    <row r="1908" spans="2:23" x14ac:dyDescent="0.35">
      <c r="B1908"/>
      <c r="C1908"/>
      <c r="D1908"/>
      <c r="E1908"/>
      <c r="F1908"/>
      <c r="G1908"/>
      <c r="H1908"/>
      <c r="I1908"/>
      <c r="J1908"/>
      <c r="K1908"/>
      <c r="L1908" s="11"/>
      <c r="M1908"/>
      <c r="N1908" s="3"/>
      <c r="O1908" s="11"/>
      <c r="P1908" s="11"/>
      <c r="Q1908" s="11"/>
      <c r="R1908" s="11"/>
      <c r="S1908" s="11"/>
      <c r="T1908" s="11"/>
      <c r="U1908" s="11"/>
      <c r="V1908" s="11"/>
      <c r="W1908" s="11"/>
    </row>
    <row r="1909" spans="2:23" x14ac:dyDescent="0.35">
      <c r="B1909"/>
      <c r="C1909"/>
      <c r="D1909"/>
      <c r="E1909"/>
      <c r="F1909"/>
      <c r="G1909"/>
      <c r="H1909"/>
      <c r="I1909"/>
      <c r="J1909"/>
      <c r="K1909"/>
      <c r="L1909" s="11"/>
      <c r="M1909"/>
      <c r="N1909" s="3"/>
      <c r="O1909" s="11"/>
      <c r="P1909" s="11"/>
      <c r="Q1909" s="11"/>
      <c r="R1909" s="11"/>
      <c r="S1909" s="11"/>
      <c r="T1909" s="11"/>
      <c r="U1909" s="11"/>
      <c r="V1909" s="11"/>
      <c r="W1909" s="11"/>
    </row>
    <row r="1910" spans="2:23" x14ac:dyDescent="0.35">
      <c r="B1910"/>
      <c r="C1910"/>
      <c r="D1910"/>
      <c r="E1910"/>
      <c r="F1910"/>
      <c r="G1910"/>
      <c r="H1910"/>
      <c r="I1910"/>
      <c r="J1910"/>
      <c r="K1910"/>
      <c r="L1910" s="11"/>
      <c r="M1910"/>
      <c r="N1910" s="3"/>
      <c r="O1910" s="11"/>
      <c r="P1910" s="11"/>
      <c r="Q1910" s="11"/>
      <c r="R1910" s="11"/>
      <c r="S1910" s="11"/>
      <c r="T1910" s="11"/>
      <c r="U1910" s="11"/>
      <c r="V1910" s="11"/>
      <c r="W1910" s="11"/>
    </row>
    <row r="1911" spans="2:23" x14ac:dyDescent="0.35">
      <c r="B1911"/>
      <c r="C1911"/>
      <c r="D1911"/>
      <c r="E1911"/>
      <c r="F1911"/>
      <c r="G1911"/>
      <c r="H1911"/>
      <c r="I1911"/>
      <c r="J1911"/>
      <c r="K1911"/>
      <c r="L1911" s="11"/>
      <c r="M1911"/>
      <c r="N1911" s="3"/>
      <c r="O1911" s="11"/>
      <c r="P1911" s="11"/>
      <c r="Q1911" s="11"/>
      <c r="R1911" s="11"/>
      <c r="S1911" s="11"/>
      <c r="T1911" s="11"/>
      <c r="U1911" s="11"/>
      <c r="V1911" s="11"/>
      <c r="W1911" s="11"/>
    </row>
    <row r="1912" spans="2:23" x14ac:dyDescent="0.35">
      <c r="B1912"/>
      <c r="C1912"/>
      <c r="D1912"/>
      <c r="E1912"/>
      <c r="F1912"/>
      <c r="G1912"/>
      <c r="H1912"/>
      <c r="I1912"/>
      <c r="J1912"/>
      <c r="K1912"/>
      <c r="L1912" s="11"/>
      <c r="M1912"/>
      <c r="N1912" s="3"/>
      <c r="O1912" s="11"/>
      <c r="P1912" s="11"/>
      <c r="Q1912" s="11"/>
      <c r="R1912" s="11"/>
      <c r="S1912" s="11"/>
      <c r="T1912" s="11"/>
      <c r="U1912" s="11"/>
      <c r="V1912" s="11"/>
      <c r="W1912" s="11"/>
    </row>
    <row r="1913" spans="2:23" x14ac:dyDescent="0.35">
      <c r="B1913"/>
      <c r="C1913"/>
      <c r="D1913"/>
      <c r="E1913"/>
      <c r="F1913"/>
      <c r="G1913"/>
      <c r="H1913"/>
      <c r="I1913"/>
      <c r="J1913"/>
      <c r="K1913"/>
      <c r="L1913" s="11"/>
      <c r="M1913"/>
      <c r="N1913" s="3"/>
      <c r="O1913" s="11"/>
      <c r="P1913" s="11"/>
      <c r="Q1913" s="11"/>
      <c r="R1913" s="11"/>
      <c r="S1913" s="11"/>
      <c r="T1913" s="11"/>
      <c r="U1913" s="11"/>
      <c r="V1913" s="11"/>
      <c r="W1913" s="11"/>
    </row>
    <row r="1914" spans="2:23" x14ac:dyDescent="0.35">
      <c r="B1914"/>
      <c r="C1914"/>
      <c r="D1914"/>
      <c r="E1914"/>
      <c r="F1914"/>
      <c r="G1914"/>
      <c r="H1914"/>
      <c r="I1914"/>
      <c r="J1914"/>
      <c r="K1914"/>
      <c r="L1914" s="11"/>
      <c r="M1914"/>
      <c r="N1914" s="3"/>
      <c r="O1914" s="11"/>
      <c r="P1914" s="11"/>
      <c r="Q1914" s="11"/>
      <c r="R1914" s="11"/>
      <c r="S1914" s="11"/>
      <c r="T1914" s="11"/>
      <c r="U1914" s="11"/>
      <c r="V1914" s="11"/>
      <c r="W1914" s="11"/>
    </row>
    <row r="1915" spans="2:23" x14ac:dyDescent="0.35">
      <c r="B1915"/>
      <c r="C1915"/>
      <c r="D1915"/>
      <c r="E1915"/>
      <c r="F1915"/>
      <c r="G1915"/>
      <c r="H1915"/>
      <c r="I1915"/>
      <c r="J1915"/>
      <c r="K1915"/>
      <c r="L1915" s="11"/>
      <c r="M1915"/>
      <c r="N1915" s="3"/>
      <c r="O1915" s="11"/>
      <c r="P1915" s="11"/>
      <c r="Q1915" s="11"/>
      <c r="R1915" s="11"/>
      <c r="S1915" s="11"/>
      <c r="T1915" s="11"/>
      <c r="U1915" s="11"/>
      <c r="V1915" s="11"/>
      <c r="W1915" s="11"/>
    </row>
    <row r="1916" spans="2:23" x14ac:dyDescent="0.35">
      <c r="B1916"/>
      <c r="C1916"/>
      <c r="D1916"/>
      <c r="E1916"/>
      <c r="F1916"/>
      <c r="G1916"/>
      <c r="H1916"/>
      <c r="I1916"/>
      <c r="J1916"/>
      <c r="K1916"/>
      <c r="L1916" s="11"/>
      <c r="M1916"/>
      <c r="N1916" s="3"/>
      <c r="O1916" s="11"/>
      <c r="P1916" s="11"/>
      <c r="Q1916" s="11"/>
      <c r="R1916" s="11"/>
      <c r="S1916" s="11"/>
      <c r="T1916" s="11"/>
      <c r="U1916" s="11"/>
      <c r="V1916" s="11"/>
      <c r="W1916" s="11"/>
    </row>
    <row r="1917" spans="2:23" x14ac:dyDescent="0.35">
      <c r="B1917"/>
      <c r="C1917"/>
      <c r="D1917"/>
      <c r="E1917"/>
      <c r="F1917"/>
      <c r="G1917"/>
      <c r="H1917"/>
      <c r="I1917"/>
      <c r="J1917"/>
      <c r="K1917"/>
      <c r="L1917" s="11"/>
      <c r="M1917"/>
      <c r="N1917" s="3"/>
      <c r="O1917" s="11"/>
      <c r="P1917" s="11"/>
      <c r="Q1917" s="11"/>
      <c r="R1917" s="11"/>
      <c r="S1917" s="11"/>
      <c r="T1917" s="11"/>
      <c r="U1917" s="11"/>
      <c r="V1917" s="11"/>
      <c r="W1917" s="11"/>
    </row>
    <row r="1918" spans="2:23" x14ac:dyDescent="0.35">
      <c r="B1918"/>
      <c r="C1918"/>
      <c r="D1918"/>
      <c r="E1918"/>
      <c r="F1918"/>
      <c r="G1918"/>
      <c r="H1918"/>
      <c r="I1918"/>
      <c r="J1918"/>
      <c r="K1918"/>
      <c r="L1918" s="11"/>
      <c r="M1918"/>
      <c r="N1918" s="3"/>
      <c r="O1918" s="11"/>
      <c r="P1918" s="11"/>
      <c r="Q1918" s="11"/>
      <c r="R1918" s="11"/>
      <c r="S1918" s="11"/>
      <c r="T1918" s="11"/>
      <c r="U1918" s="11"/>
      <c r="V1918" s="11"/>
      <c r="W1918" s="11"/>
    </row>
    <row r="1919" spans="2:23" x14ac:dyDescent="0.35">
      <c r="B1919"/>
      <c r="C1919"/>
      <c r="D1919"/>
      <c r="E1919"/>
      <c r="F1919"/>
      <c r="G1919"/>
      <c r="H1919"/>
      <c r="I1919"/>
      <c r="J1919"/>
      <c r="K1919"/>
      <c r="L1919" s="11"/>
      <c r="M1919"/>
      <c r="N1919" s="3"/>
      <c r="O1919" s="11"/>
      <c r="P1919" s="11"/>
      <c r="Q1919" s="11"/>
      <c r="R1919" s="11"/>
      <c r="S1919" s="11"/>
      <c r="T1919" s="11"/>
      <c r="U1919" s="11"/>
      <c r="V1919" s="11"/>
      <c r="W1919" s="11"/>
    </row>
    <row r="1920" spans="2:23" x14ac:dyDescent="0.35">
      <c r="B1920"/>
      <c r="C1920"/>
      <c r="D1920"/>
      <c r="E1920"/>
      <c r="F1920"/>
      <c r="G1920"/>
      <c r="H1920"/>
      <c r="I1920"/>
      <c r="J1920"/>
      <c r="K1920"/>
      <c r="L1920" s="11"/>
      <c r="M1920"/>
      <c r="N1920" s="3"/>
      <c r="O1920" s="11"/>
      <c r="P1920" s="11"/>
      <c r="Q1920" s="11"/>
      <c r="R1920" s="11"/>
      <c r="S1920" s="11"/>
      <c r="T1920" s="11"/>
      <c r="U1920" s="11"/>
      <c r="V1920" s="11"/>
      <c r="W1920" s="11"/>
    </row>
    <row r="1921" spans="2:23" x14ac:dyDescent="0.35">
      <c r="B1921"/>
      <c r="C1921"/>
      <c r="D1921"/>
      <c r="E1921"/>
      <c r="F1921"/>
      <c r="G1921"/>
      <c r="H1921"/>
      <c r="I1921"/>
      <c r="J1921"/>
      <c r="K1921"/>
      <c r="L1921" s="11"/>
      <c r="M1921"/>
      <c r="N1921" s="3"/>
      <c r="O1921" s="11"/>
      <c r="P1921" s="11"/>
      <c r="Q1921" s="11"/>
      <c r="R1921" s="11"/>
      <c r="S1921" s="11"/>
      <c r="T1921" s="11"/>
      <c r="U1921" s="11"/>
      <c r="V1921" s="11"/>
      <c r="W1921" s="11"/>
    </row>
    <row r="1922" spans="2:23" x14ac:dyDescent="0.35">
      <c r="B1922"/>
      <c r="C1922"/>
      <c r="D1922"/>
      <c r="E1922"/>
      <c r="F1922"/>
      <c r="G1922"/>
      <c r="H1922"/>
      <c r="I1922"/>
      <c r="J1922"/>
      <c r="K1922"/>
      <c r="L1922" s="11"/>
      <c r="M1922"/>
      <c r="N1922" s="3"/>
      <c r="O1922" s="11"/>
      <c r="P1922" s="11"/>
      <c r="Q1922" s="11"/>
      <c r="R1922" s="11"/>
      <c r="S1922" s="11"/>
      <c r="T1922" s="11"/>
      <c r="U1922" s="11"/>
      <c r="V1922" s="11"/>
      <c r="W1922" s="11"/>
    </row>
    <row r="1923" spans="2:23" x14ac:dyDescent="0.35">
      <c r="B1923"/>
      <c r="C1923"/>
      <c r="D1923"/>
      <c r="E1923"/>
      <c r="F1923"/>
      <c r="G1923"/>
      <c r="H1923"/>
      <c r="I1923"/>
      <c r="J1923"/>
      <c r="K1923"/>
      <c r="L1923" s="11"/>
      <c r="M1923"/>
      <c r="N1923" s="3"/>
      <c r="O1923" s="11"/>
      <c r="P1923" s="11"/>
      <c r="Q1923" s="11"/>
      <c r="R1923" s="11"/>
      <c r="S1923" s="11"/>
      <c r="T1923" s="11"/>
      <c r="U1923" s="11"/>
      <c r="V1923" s="11"/>
      <c r="W1923" s="11"/>
    </row>
    <row r="1924" spans="2:23" x14ac:dyDescent="0.35">
      <c r="B1924"/>
      <c r="C1924"/>
      <c r="D1924"/>
      <c r="E1924"/>
      <c r="F1924"/>
      <c r="G1924"/>
      <c r="H1924"/>
      <c r="I1924"/>
      <c r="J1924"/>
      <c r="K1924"/>
      <c r="L1924" s="11"/>
      <c r="M1924"/>
      <c r="N1924" s="3"/>
      <c r="O1924" s="11"/>
      <c r="P1924" s="11"/>
      <c r="Q1924" s="11"/>
      <c r="R1924" s="11"/>
      <c r="S1924" s="11"/>
      <c r="T1924" s="11"/>
      <c r="U1924" s="11"/>
      <c r="V1924" s="11"/>
      <c r="W1924" s="11"/>
    </row>
    <row r="1925" spans="2:23" x14ac:dyDescent="0.35">
      <c r="B1925"/>
      <c r="C1925"/>
      <c r="D1925"/>
      <c r="E1925"/>
      <c r="F1925"/>
      <c r="G1925"/>
      <c r="H1925"/>
      <c r="I1925"/>
      <c r="J1925"/>
      <c r="K1925"/>
      <c r="L1925" s="11"/>
      <c r="M1925"/>
      <c r="N1925" s="3"/>
      <c r="O1925" s="11"/>
      <c r="P1925" s="11"/>
      <c r="Q1925" s="11"/>
      <c r="R1925" s="11"/>
      <c r="S1925" s="11"/>
      <c r="T1925" s="11"/>
      <c r="U1925" s="11"/>
      <c r="V1925" s="11"/>
      <c r="W1925" s="11"/>
    </row>
    <row r="1926" spans="2:23" x14ac:dyDescent="0.35">
      <c r="B1926"/>
      <c r="C1926"/>
      <c r="D1926"/>
      <c r="E1926"/>
      <c r="F1926"/>
      <c r="G1926"/>
      <c r="H1926"/>
      <c r="I1926"/>
      <c r="J1926"/>
      <c r="K1926"/>
      <c r="L1926" s="11"/>
      <c r="M1926"/>
      <c r="N1926" s="3"/>
      <c r="O1926" s="11"/>
      <c r="P1926" s="11"/>
      <c r="Q1926" s="11"/>
      <c r="R1926" s="11"/>
      <c r="S1926" s="11"/>
      <c r="T1926" s="11"/>
      <c r="U1926" s="11"/>
      <c r="V1926" s="11"/>
      <c r="W1926" s="11"/>
    </row>
    <row r="1927" spans="2:23" x14ac:dyDescent="0.35">
      <c r="B1927"/>
      <c r="C1927"/>
      <c r="D1927"/>
      <c r="E1927"/>
      <c r="F1927"/>
      <c r="G1927"/>
      <c r="H1927"/>
      <c r="I1927"/>
      <c r="J1927"/>
      <c r="K1927"/>
      <c r="L1927" s="11"/>
      <c r="M1927"/>
      <c r="N1927" s="3"/>
      <c r="O1927" s="11"/>
      <c r="P1927" s="11"/>
      <c r="Q1927" s="11"/>
      <c r="R1927" s="11"/>
      <c r="S1927" s="11"/>
      <c r="T1927" s="11"/>
      <c r="U1927" s="11"/>
      <c r="V1927" s="11"/>
      <c r="W1927" s="11"/>
    </row>
    <row r="1928" spans="2:23" x14ac:dyDescent="0.35">
      <c r="B1928"/>
      <c r="C1928"/>
      <c r="D1928"/>
      <c r="E1928"/>
      <c r="F1928"/>
      <c r="G1928"/>
      <c r="H1928"/>
      <c r="I1928"/>
      <c r="J1928"/>
      <c r="K1928"/>
      <c r="L1928" s="11"/>
      <c r="M1928"/>
      <c r="N1928" s="3"/>
      <c r="O1928" s="11"/>
      <c r="P1928" s="11"/>
      <c r="Q1928" s="11"/>
      <c r="R1928" s="11"/>
      <c r="S1928" s="11"/>
      <c r="T1928" s="11"/>
      <c r="U1928" s="11"/>
      <c r="V1928" s="11"/>
      <c r="W1928" s="11"/>
    </row>
    <row r="1929" spans="2:23" x14ac:dyDescent="0.35">
      <c r="B1929"/>
      <c r="C1929"/>
      <c r="D1929"/>
      <c r="E1929"/>
      <c r="F1929"/>
      <c r="G1929"/>
      <c r="H1929"/>
      <c r="I1929"/>
      <c r="J1929"/>
      <c r="K1929"/>
      <c r="L1929" s="11"/>
      <c r="M1929"/>
      <c r="N1929" s="3"/>
      <c r="O1929" s="11"/>
      <c r="P1929" s="11"/>
      <c r="Q1929" s="11"/>
      <c r="R1929" s="11"/>
      <c r="S1929" s="11"/>
      <c r="T1929" s="11"/>
      <c r="U1929" s="11"/>
      <c r="V1929" s="11"/>
      <c r="W1929" s="11"/>
    </row>
    <row r="1930" spans="2:23" x14ac:dyDescent="0.35">
      <c r="B1930"/>
      <c r="C1930"/>
      <c r="D1930"/>
      <c r="E1930"/>
      <c r="F1930"/>
      <c r="G1930"/>
      <c r="H1930"/>
      <c r="I1930"/>
      <c r="J1930"/>
      <c r="K1930"/>
      <c r="L1930" s="11"/>
      <c r="M1930"/>
      <c r="N1930" s="3"/>
      <c r="O1930" s="11"/>
      <c r="P1930" s="11"/>
      <c r="Q1930" s="11"/>
      <c r="R1930" s="11"/>
      <c r="S1930" s="11"/>
      <c r="T1930" s="11"/>
      <c r="U1930" s="11"/>
      <c r="V1930" s="11"/>
      <c r="W1930" s="11"/>
    </row>
    <row r="1931" spans="2:23" x14ac:dyDescent="0.35">
      <c r="B1931"/>
      <c r="C1931"/>
      <c r="D1931"/>
      <c r="E1931"/>
      <c r="F1931"/>
      <c r="G1931"/>
      <c r="H1931"/>
      <c r="I1931"/>
      <c r="J1931"/>
      <c r="K1931"/>
      <c r="L1931" s="11"/>
      <c r="M1931"/>
      <c r="N1931" s="3"/>
      <c r="O1931" s="11"/>
      <c r="P1931" s="11"/>
      <c r="Q1931" s="11"/>
      <c r="R1931" s="11"/>
      <c r="S1931" s="11"/>
      <c r="T1931" s="11"/>
      <c r="U1931" s="11"/>
      <c r="V1931" s="11"/>
      <c r="W1931" s="11"/>
    </row>
    <row r="1932" spans="2:23" x14ac:dyDescent="0.35">
      <c r="B1932"/>
      <c r="C1932"/>
      <c r="D1932"/>
      <c r="E1932"/>
      <c r="F1932"/>
      <c r="G1932"/>
      <c r="H1932"/>
      <c r="I1932"/>
      <c r="J1932"/>
      <c r="K1932"/>
      <c r="L1932" s="11"/>
      <c r="M1932"/>
      <c r="N1932" s="3"/>
      <c r="O1932" s="11"/>
      <c r="P1932" s="11"/>
      <c r="Q1932" s="11"/>
      <c r="R1932" s="11"/>
      <c r="S1932" s="11"/>
      <c r="T1932" s="11"/>
      <c r="U1932" s="11"/>
      <c r="V1932" s="11"/>
      <c r="W1932" s="11"/>
    </row>
    <row r="1933" spans="2:23" x14ac:dyDescent="0.35">
      <c r="B1933"/>
      <c r="C1933"/>
      <c r="D1933"/>
      <c r="E1933"/>
      <c r="F1933"/>
      <c r="G1933"/>
      <c r="H1933"/>
      <c r="I1933"/>
      <c r="J1933"/>
      <c r="K1933"/>
      <c r="L1933" s="11"/>
      <c r="M1933"/>
      <c r="N1933" s="3"/>
      <c r="O1933" s="11"/>
      <c r="P1933" s="11"/>
      <c r="Q1933" s="11"/>
      <c r="R1933" s="11"/>
      <c r="S1933" s="11"/>
      <c r="T1933" s="11"/>
      <c r="U1933" s="11"/>
      <c r="V1933" s="11"/>
      <c r="W1933" s="11"/>
    </row>
    <row r="1934" spans="2:23" x14ac:dyDescent="0.35">
      <c r="B1934"/>
      <c r="C1934"/>
      <c r="D1934"/>
      <c r="E1934"/>
      <c r="F1934"/>
      <c r="G1934"/>
      <c r="H1934"/>
      <c r="I1934"/>
      <c r="J1934"/>
      <c r="K1934"/>
      <c r="L1934" s="11"/>
      <c r="M1934"/>
      <c r="N1934" s="3"/>
      <c r="O1934" s="11"/>
      <c r="P1934" s="11"/>
      <c r="Q1934" s="11"/>
      <c r="R1934" s="11"/>
      <c r="S1934" s="11"/>
      <c r="T1934" s="11"/>
      <c r="U1934" s="11"/>
      <c r="V1934" s="11"/>
      <c r="W1934" s="11"/>
    </row>
    <row r="1935" spans="2:23" x14ac:dyDescent="0.35">
      <c r="B1935"/>
      <c r="C1935"/>
      <c r="D1935"/>
      <c r="E1935"/>
      <c r="F1935"/>
      <c r="G1935"/>
      <c r="H1935"/>
      <c r="I1935"/>
      <c r="J1935"/>
      <c r="K1935"/>
      <c r="L1935" s="11"/>
      <c r="M1935"/>
      <c r="N1935" s="3"/>
      <c r="O1935" s="11"/>
      <c r="P1935" s="11"/>
      <c r="Q1935" s="11"/>
      <c r="R1935" s="11"/>
      <c r="S1935" s="11"/>
      <c r="T1935" s="11"/>
      <c r="U1935" s="11"/>
      <c r="V1935" s="11"/>
      <c r="W1935" s="11"/>
    </row>
    <row r="1936" spans="2:23" x14ac:dyDescent="0.35">
      <c r="B1936"/>
      <c r="C1936"/>
      <c r="D1936"/>
      <c r="E1936"/>
      <c r="F1936"/>
      <c r="G1936"/>
      <c r="H1936"/>
      <c r="I1936"/>
      <c r="J1936"/>
      <c r="K1936"/>
      <c r="L1936" s="11"/>
      <c r="M1936"/>
      <c r="N1936" s="3"/>
      <c r="O1936" s="11"/>
      <c r="P1936" s="11"/>
      <c r="Q1936" s="11"/>
      <c r="R1936" s="11"/>
      <c r="S1936" s="11"/>
      <c r="T1936" s="11"/>
      <c r="U1936" s="11"/>
      <c r="V1936" s="11"/>
      <c r="W1936" s="11"/>
    </row>
    <row r="1937" spans="2:23" x14ac:dyDescent="0.35">
      <c r="B1937"/>
      <c r="C1937"/>
      <c r="D1937"/>
      <c r="E1937"/>
      <c r="F1937"/>
      <c r="G1937"/>
      <c r="H1937"/>
      <c r="I1937"/>
      <c r="J1937"/>
      <c r="K1937"/>
      <c r="L1937" s="11"/>
      <c r="M1937"/>
      <c r="N1937" s="3"/>
      <c r="O1937" s="11"/>
      <c r="P1937" s="11"/>
      <c r="Q1937" s="11"/>
      <c r="R1937" s="11"/>
      <c r="S1937" s="11"/>
      <c r="T1937" s="11"/>
      <c r="U1937" s="11"/>
      <c r="V1937" s="11"/>
      <c r="W1937" s="11"/>
    </row>
    <row r="1938" spans="2:23" x14ac:dyDescent="0.35">
      <c r="B1938"/>
      <c r="C1938"/>
      <c r="D1938"/>
      <c r="E1938"/>
      <c r="F1938"/>
      <c r="G1938"/>
      <c r="H1938"/>
      <c r="I1938"/>
      <c r="J1938"/>
      <c r="K1938"/>
      <c r="L1938" s="11"/>
      <c r="M1938"/>
      <c r="N1938" s="3"/>
      <c r="O1938" s="11"/>
      <c r="P1938" s="11"/>
      <c r="Q1938" s="11"/>
      <c r="R1938" s="11"/>
      <c r="S1938" s="11"/>
      <c r="T1938" s="11"/>
      <c r="U1938" s="11"/>
      <c r="V1938" s="11"/>
      <c r="W1938" s="11"/>
    </row>
    <row r="1939" spans="2:23" x14ac:dyDescent="0.35">
      <c r="B1939"/>
      <c r="C1939"/>
      <c r="D1939"/>
      <c r="E1939"/>
      <c r="F1939"/>
      <c r="G1939"/>
      <c r="H1939"/>
      <c r="I1939"/>
      <c r="J1939"/>
      <c r="K1939"/>
      <c r="L1939" s="11"/>
      <c r="M1939"/>
      <c r="N1939" s="3"/>
      <c r="O1939" s="11"/>
      <c r="P1939" s="11"/>
      <c r="Q1939" s="11"/>
      <c r="R1939" s="11"/>
      <c r="S1939" s="11"/>
      <c r="T1939" s="11"/>
      <c r="U1939" s="11"/>
      <c r="V1939" s="11"/>
      <c r="W1939" s="11"/>
    </row>
    <row r="1940" spans="2:23" x14ac:dyDescent="0.35">
      <c r="B1940"/>
      <c r="C1940"/>
      <c r="D1940"/>
      <c r="E1940"/>
      <c r="F1940"/>
      <c r="G1940"/>
      <c r="H1940"/>
      <c r="I1940"/>
      <c r="J1940"/>
      <c r="K1940"/>
      <c r="L1940" s="11"/>
      <c r="M1940"/>
      <c r="N1940" s="3"/>
      <c r="O1940" s="11"/>
      <c r="P1940" s="11"/>
      <c r="Q1940" s="11"/>
      <c r="R1940" s="11"/>
      <c r="S1940" s="11"/>
      <c r="T1940" s="11"/>
      <c r="U1940" s="11"/>
      <c r="V1940" s="11"/>
      <c r="W1940" s="11"/>
    </row>
    <row r="1941" spans="2:23" x14ac:dyDescent="0.35">
      <c r="B1941"/>
      <c r="C1941"/>
      <c r="D1941"/>
      <c r="E1941"/>
      <c r="F1941"/>
      <c r="G1941"/>
      <c r="H1941"/>
      <c r="I1941"/>
      <c r="J1941"/>
      <c r="K1941"/>
      <c r="L1941" s="11"/>
      <c r="M1941"/>
      <c r="N1941" s="3"/>
      <c r="O1941" s="11"/>
      <c r="P1941" s="11"/>
      <c r="Q1941" s="11"/>
      <c r="R1941" s="11"/>
      <c r="S1941" s="11"/>
      <c r="T1941" s="11"/>
      <c r="U1941" s="11"/>
      <c r="V1941" s="11"/>
      <c r="W1941" s="11"/>
    </row>
    <row r="1942" spans="2:23" x14ac:dyDescent="0.35">
      <c r="B1942"/>
      <c r="C1942"/>
      <c r="D1942"/>
      <c r="E1942"/>
      <c r="F1942"/>
      <c r="G1942"/>
      <c r="H1942"/>
      <c r="I1942"/>
      <c r="J1942"/>
      <c r="K1942"/>
      <c r="L1942" s="11"/>
      <c r="M1942"/>
      <c r="N1942" s="3"/>
      <c r="O1942" s="11"/>
      <c r="P1942" s="11"/>
      <c r="Q1942" s="11"/>
      <c r="R1942" s="11"/>
      <c r="S1942" s="11"/>
      <c r="T1942" s="11"/>
      <c r="U1942" s="11"/>
      <c r="V1942" s="11"/>
      <c r="W1942" s="11"/>
    </row>
    <row r="1943" spans="2:23" x14ac:dyDescent="0.35">
      <c r="B1943"/>
      <c r="C1943"/>
      <c r="D1943"/>
      <c r="E1943"/>
      <c r="F1943"/>
      <c r="G1943"/>
      <c r="H1943"/>
      <c r="I1943"/>
      <c r="J1943"/>
      <c r="K1943"/>
      <c r="L1943" s="11"/>
      <c r="M1943"/>
      <c r="N1943" s="3"/>
      <c r="O1943" s="11"/>
      <c r="P1943" s="11"/>
      <c r="Q1943" s="11"/>
      <c r="R1943" s="11"/>
      <c r="S1943" s="11"/>
      <c r="T1943" s="11"/>
      <c r="U1943" s="11"/>
      <c r="V1943" s="11"/>
      <c r="W1943" s="11"/>
    </row>
    <row r="1944" spans="2:23" x14ac:dyDescent="0.35">
      <c r="B1944"/>
      <c r="C1944"/>
      <c r="D1944"/>
      <c r="E1944"/>
      <c r="F1944"/>
      <c r="G1944"/>
      <c r="H1944"/>
      <c r="I1944"/>
      <c r="J1944"/>
      <c r="K1944"/>
      <c r="L1944" s="11"/>
      <c r="M1944"/>
      <c r="N1944" s="3"/>
      <c r="O1944" s="11"/>
      <c r="P1944" s="11"/>
      <c r="Q1944" s="11"/>
      <c r="R1944" s="11"/>
      <c r="S1944" s="11"/>
      <c r="T1944" s="11"/>
      <c r="U1944" s="11"/>
      <c r="V1944" s="11"/>
      <c r="W1944" s="11"/>
    </row>
    <row r="1945" spans="2:23" x14ac:dyDescent="0.35">
      <c r="B1945"/>
      <c r="C1945"/>
      <c r="D1945"/>
      <c r="E1945"/>
      <c r="F1945"/>
      <c r="G1945"/>
      <c r="H1945"/>
      <c r="I1945"/>
      <c r="J1945"/>
      <c r="K1945"/>
      <c r="L1945" s="11"/>
      <c r="M1945"/>
      <c r="N1945" s="3"/>
      <c r="O1945" s="11"/>
      <c r="P1945" s="11"/>
      <c r="Q1945" s="11"/>
      <c r="R1945" s="11"/>
      <c r="S1945" s="11"/>
      <c r="T1945" s="11"/>
      <c r="U1945" s="11"/>
      <c r="V1945" s="11"/>
      <c r="W1945" s="11"/>
    </row>
    <row r="1946" spans="2:23" x14ac:dyDescent="0.35">
      <c r="B1946"/>
      <c r="C1946"/>
      <c r="D1946"/>
      <c r="E1946"/>
      <c r="F1946"/>
      <c r="G1946"/>
      <c r="H1946"/>
      <c r="I1946"/>
      <c r="J1946"/>
      <c r="K1946"/>
      <c r="L1946" s="11"/>
      <c r="M1946"/>
      <c r="N1946" s="3"/>
      <c r="O1946" s="11"/>
      <c r="P1946" s="11"/>
      <c r="Q1946" s="11"/>
      <c r="R1946" s="11"/>
      <c r="S1946" s="11"/>
      <c r="T1946" s="11"/>
      <c r="U1946" s="11"/>
      <c r="V1946" s="11"/>
      <c r="W1946" s="11"/>
    </row>
    <row r="1947" spans="2:23" x14ac:dyDescent="0.35">
      <c r="B1947"/>
      <c r="C1947"/>
      <c r="D1947"/>
      <c r="E1947"/>
      <c r="F1947"/>
      <c r="G1947"/>
      <c r="H1947"/>
      <c r="I1947"/>
      <c r="J1947"/>
      <c r="K1947"/>
      <c r="L1947" s="11"/>
      <c r="M1947"/>
      <c r="N1947" s="3"/>
      <c r="O1947" s="11"/>
      <c r="P1947" s="11"/>
      <c r="Q1947" s="11"/>
      <c r="R1947" s="11"/>
      <c r="S1947" s="11"/>
      <c r="T1947" s="11"/>
      <c r="U1947" s="11"/>
      <c r="V1947" s="11"/>
      <c r="W1947" s="11"/>
    </row>
    <row r="1948" spans="2:23" x14ac:dyDescent="0.35">
      <c r="B1948"/>
      <c r="C1948"/>
      <c r="D1948"/>
      <c r="E1948"/>
      <c r="F1948"/>
      <c r="G1948"/>
      <c r="H1948"/>
      <c r="I1948"/>
      <c r="J1948"/>
      <c r="K1948"/>
      <c r="L1948" s="11"/>
      <c r="M1948"/>
      <c r="N1948" s="3"/>
      <c r="O1948" s="11"/>
      <c r="P1948" s="11"/>
      <c r="Q1948" s="11"/>
      <c r="R1948" s="11"/>
      <c r="S1948" s="11"/>
      <c r="T1948" s="11"/>
      <c r="U1948" s="11"/>
      <c r="V1948" s="11"/>
      <c r="W1948" s="11"/>
    </row>
    <row r="1949" spans="2:23" x14ac:dyDescent="0.35">
      <c r="B1949"/>
      <c r="C1949"/>
      <c r="D1949"/>
      <c r="E1949"/>
      <c r="F1949"/>
      <c r="G1949"/>
      <c r="H1949"/>
      <c r="I1949"/>
      <c r="J1949"/>
      <c r="K1949"/>
      <c r="L1949" s="11"/>
      <c r="M1949"/>
      <c r="N1949" s="3"/>
      <c r="O1949" s="11"/>
      <c r="P1949" s="11"/>
      <c r="Q1949" s="11"/>
      <c r="R1949" s="11"/>
      <c r="S1949" s="11"/>
      <c r="T1949" s="11"/>
      <c r="U1949" s="11"/>
      <c r="V1949" s="11"/>
      <c r="W1949" s="11"/>
    </row>
    <row r="1950" spans="2:23" x14ac:dyDescent="0.35">
      <c r="B1950"/>
      <c r="C1950"/>
      <c r="D1950"/>
      <c r="E1950"/>
      <c r="F1950"/>
      <c r="G1950"/>
      <c r="H1950"/>
      <c r="I1950"/>
      <c r="J1950"/>
      <c r="K1950"/>
      <c r="L1950" s="11"/>
      <c r="M1950"/>
      <c r="N1950" s="3"/>
      <c r="O1950" s="11"/>
      <c r="P1950" s="11"/>
      <c r="Q1950" s="11"/>
      <c r="R1950" s="11"/>
      <c r="S1950" s="11"/>
      <c r="T1950" s="11"/>
      <c r="U1950" s="11"/>
      <c r="V1950" s="11"/>
      <c r="W1950" s="11"/>
    </row>
    <row r="1951" spans="2:23" x14ac:dyDescent="0.35">
      <c r="B1951"/>
      <c r="C1951"/>
      <c r="D1951"/>
      <c r="E1951"/>
      <c r="F1951"/>
      <c r="G1951"/>
      <c r="H1951"/>
      <c r="I1951"/>
      <c r="J1951"/>
      <c r="K1951"/>
      <c r="L1951" s="11"/>
      <c r="M1951"/>
      <c r="N1951" s="3"/>
      <c r="O1951" s="11"/>
      <c r="P1951" s="11"/>
      <c r="Q1951" s="11"/>
      <c r="R1951" s="11"/>
      <c r="S1951" s="11"/>
      <c r="T1951" s="11"/>
      <c r="U1951" s="11"/>
      <c r="V1951" s="11"/>
      <c r="W1951" s="11"/>
    </row>
    <row r="1952" spans="2:23" x14ac:dyDescent="0.35">
      <c r="B1952"/>
      <c r="C1952"/>
      <c r="D1952"/>
      <c r="E1952"/>
      <c r="F1952"/>
      <c r="G1952"/>
      <c r="H1952"/>
      <c r="I1952"/>
      <c r="J1952"/>
      <c r="K1952"/>
      <c r="L1952" s="11"/>
      <c r="M1952"/>
      <c r="N1952" s="3"/>
      <c r="O1952" s="11"/>
      <c r="P1952" s="11"/>
      <c r="Q1952" s="11"/>
      <c r="R1952" s="11"/>
      <c r="S1952" s="11"/>
      <c r="T1952" s="11"/>
      <c r="U1952" s="11"/>
      <c r="V1952" s="11"/>
      <c r="W1952" s="11"/>
    </row>
    <row r="1953" spans="2:23" x14ac:dyDescent="0.35">
      <c r="B1953"/>
      <c r="C1953"/>
      <c r="D1953"/>
      <c r="E1953"/>
      <c r="F1953"/>
      <c r="G1953"/>
      <c r="H1953"/>
      <c r="I1953"/>
      <c r="J1953"/>
      <c r="K1953"/>
      <c r="L1953" s="11"/>
      <c r="M1953"/>
      <c r="N1953" s="3"/>
      <c r="O1953" s="11"/>
      <c r="P1953" s="11"/>
      <c r="Q1953" s="11"/>
      <c r="R1953" s="11"/>
      <c r="S1953" s="11"/>
      <c r="T1953" s="11"/>
      <c r="U1953" s="11"/>
      <c r="V1953" s="11"/>
      <c r="W1953" s="11"/>
    </row>
    <row r="1954" spans="2:23" x14ac:dyDescent="0.35">
      <c r="B1954"/>
      <c r="C1954"/>
      <c r="D1954"/>
      <c r="E1954"/>
      <c r="F1954"/>
      <c r="G1954"/>
      <c r="H1954"/>
      <c r="I1954"/>
      <c r="J1954"/>
      <c r="K1954"/>
      <c r="L1954" s="11"/>
      <c r="M1954"/>
      <c r="N1954" s="3"/>
      <c r="O1954" s="11"/>
      <c r="P1954" s="11"/>
      <c r="Q1954" s="11"/>
      <c r="R1954" s="11"/>
      <c r="S1954" s="11"/>
      <c r="T1954" s="11"/>
      <c r="U1954" s="11"/>
      <c r="V1954" s="11"/>
      <c r="W1954" s="11"/>
    </row>
    <row r="1955" spans="2:23" x14ac:dyDescent="0.35">
      <c r="B1955"/>
      <c r="C1955"/>
      <c r="D1955"/>
      <c r="E1955"/>
      <c r="F1955"/>
      <c r="G1955"/>
      <c r="H1955"/>
      <c r="I1955"/>
      <c r="J1955"/>
      <c r="K1955"/>
      <c r="L1955" s="11"/>
      <c r="M1955"/>
      <c r="N1955" s="3"/>
      <c r="O1955" s="11"/>
      <c r="P1955" s="11"/>
      <c r="Q1955" s="11"/>
      <c r="R1955" s="11"/>
      <c r="S1955" s="11"/>
      <c r="T1955" s="11"/>
      <c r="U1955" s="11"/>
      <c r="V1955" s="11"/>
      <c r="W1955" s="11"/>
    </row>
    <row r="1956" spans="2:23" x14ac:dyDescent="0.35">
      <c r="B1956"/>
      <c r="C1956"/>
      <c r="D1956"/>
      <c r="E1956"/>
      <c r="F1956"/>
      <c r="G1956"/>
      <c r="H1956"/>
      <c r="I1956"/>
      <c r="J1956"/>
      <c r="K1956"/>
      <c r="L1956" s="11"/>
      <c r="M1956"/>
      <c r="N1956" s="3"/>
      <c r="O1956" s="11"/>
      <c r="P1956" s="11"/>
      <c r="Q1956" s="11"/>
      <c r="R1956" s="11"/>
      <c r="S1956" s="11"/>
      <c r="T1956" s="11"/>
      <c r="U1956" s="11"/>
      <c r="V1956" s="11"/>
      <c r="W1956" s="11"/>
    </row>
    <row r="1957" spans="2:23" x14ac:dyDescent="0.35">
      <c r="B1957"/>
      <c r="C1957"/>
      <c r="D1957"/>
      <c r="E1957"/>
      <c r="F1957"/>
      <c r="G1957"/>
      <c r="H1957"/>
      <c r="I1957"/>
      <c r="J1957"/>
      <c r="K1957"/>
      <c r="L1957" s="11"/>
      <c r="M1957"/>
      <c r="N1957" s="3"/>
      <c r="O1957" s="11"/>
      <c r="P1957" s="11"/>
      <c r="Q1957" s="11"/>
      <c r="R1957" s="11"/>
      <c r="S1957" s="11"/>
      <c r="T1957" s="11"/>
      <c r="U1957" s="11"/>
      <c r="V1957" s="11"/>
      <c r="W1957" s="11"/>
    </row>
    <row r="1958" spans="2:23" x14ac:dyDescent="0.35">
      <c r="B1958"/>
      <c r="C1958"/>
      <c r="D1958"/>
      <c r="E1958"/>
      <c r="F1958"/>
      <c r="G1958"/>
      <c r="H1958"/>
      <c r="I1958"/>
      <c r="J1958"/>
      <c r="K1958"/>
      <c r="L1958" s="11"/>
      <c r="M1958"/>
      <c r="N1958" s="3"/>
      <c r="O1958" s="11"/>
      <c r="P1958" s="11"/>
      <c r="Q1958" s="11"/>
      <c r="R1958" s="11"/>
      <c r="S1958" s="11"/>
      <c r="T1958" s="11"/>
      <c r="U1958" s="11"/>
      <c r="V1958" s="11"/>
      <c r="W1958" s="11"/>
    </row>
    <row r="1959" spans="2:23" x14ac:dyDescent="0.35">
      <c r="B1959"/>
      <c r="C1959"/>
      <c r="D1959"/>
      <c r="E1959"/>
      <c r="F1959"/>
      <c r="G1959"/>
      <c r="H1959"/>
      <c r="I1959"/>
      <c r="J1959"/>
      <c r="K1959"/>
      <c r="L1959" s="11"/>
      <c r="M1959"/>
      <c r="N1959" s="3"/>
      <c r="O1959" s="11"/>
      <c r="P1959" s="11"/>
      <c r="Q1959" s="11"/>
      <c r="R1959" s="11"/>
      <c r="S1959" s="11"/>
      <c r="T1959" s="11"/>
      <c r="U1959" s="11"/>
      <c r="V1959" s="11"/>
      <c r="W1959" s="11"/>
    </row>
    <row r="1960" spans="2:23" x14ac:dyDescent="0.35">
      <c r="B1960"/>
      <c r="C1960"/>
      <c r="D1960"/>
      <c r="E1960"/>
      <c r="F1960"/>
      <c r="G1960"/>
      <c r="H1960"/>
      <c r="I1960"/>
      <c r="J1960"/>
      <c r="K1960"/>
      <c r="L1960" s="11"/>
      <c r="M1960"/>
      <c r="N1960" s="3"/>
      <c r="O1960" s="11"/>
      <c r="P1960" s="11"/>
      <c r="Q1960" s="11"/>
      <c r="R1960" s="11"/>
      <c r="S1960" s="11"/>
      <c r="T1960" s="11"/>
      <c r="U1960" s="11"/>
      <c r="V1960" s="11"/>
      <c r="W1960" s="11"/>
    </row>
    <row r="1961" spans="2:23" x14ac:dyDescent="0.35">
      <c r="B1961"/>
      <c r="C1961"/>
      <c r="D1961"/>
      <c r="E1961"/>
      <c r="F1961"/>
      <c r="G1961"/>
      <c r="H1961"/>
      <c r="I1961"/>
      <c r="J1961"/>
      <c r="K1961"/>
      <c r="L1961" s="11"/>
      <c r="M1961"/>
      <c r="N1961" s="3"/>
      <c r="O1961" s="11"/>
      <c r="P1961" s="11"/>
      <c r="Q1961" s="11"/>
      <c r="R1961" s="11"/>
      <c r="S1961" s="11"/>
      <c r="T1961" s="11"/>
      <c r="U1961" s="11"/>
      <c r="V1961" s="11"/>
      <c r="W1961" s="11"/>
    </row>
    <row r="1962" spans="2:23" x14ac:dyDescent="0.35">
      <c r="B1962"/>
      <c r="C1962"/>
      <c r="D1962"/>
      <c r="E1962"/>
      <c r="F1962"/>
      <c r="G1962"/>
      <c r="H1962"/>
      <c r="I1962"/>
      <c r="J1962"/>
      <c r="K1962"/>
      <c r="L1962" s="11"/>
      <c r="M1962"/>
      <c r="N1962" s="3"/>
      <c r="O1962" s="11"/>
      <c r="P1962" s="11"/>
      <c r="Q1962" s="11"/>
      <c r="R1962" s="11"/>
      <c r="S1962" s="11"/>
      <c r="T1962" s="11"/>
      <c r="U1962" s="11"/>
      <c r="V1962" s="11"/>
      <c r="W1962" s="11"/>
    </row>
    <row r="1963" spans="2:23" x14ac:dyDescent="0.35">
      <c r="B1963"/>
      <c r="C1963"/>
      <c r="D1963"/>
      <c r="E1963"/>
      <c r="F1963"/>
      <c r="G1963"/>
      <c r="H1963"/>
      <c r="I1963"/>
      <c r="J1963"/>
      <c r="K1963"/>
      <c r="L1963" s="11"/>
      <c r="M1963"/>
      <c r="N1963" s="3"/>
      <c r="O1963" s="11"/>
      <c r="P1963" s="11"/>
      <c r="Q1963" s="11"/>
      <c r="R1963" s="11"/>
      <c r="S1963" s="11"/>
      <c r="T1963" s="11"/>
      <c r="U1963" s="11"/>
      <c r="V1963" s="11"/>
      <c r="W1963" s="11"/>
    </row>
    <row r="1964" spans="2:23" x14ac:dyDescent="0.35">
      <c r="B1964"/>
      <c r="C1964"/>
      <c r="D1964"/>
      <c r="E1964"/>
      <c r="F1964"/>
      <c r="G1964"/>
      <c r="H1964"/>
      <c r="I1964"/>
      <c r="J1964"/>
      <c r="K1964"/>
      <c r="L1964" s="11"/>
      <c r="M1964"/>
      <c r="N1964" s="3"/>
      <c r="O1964" s="11"/>
      <c r="P1964" s="11"/>
      <c r="Q1964" s="11"/>
      <c r="R1964" s="11"/>
      <c r="S1964" s="11"/>
      <c r="T1964" s="11"/>
      <c r="U1964" s="11"/>
      <c r="V1964" s="11"/>
      <c r="W1964" s="11"/>
    </row>
    <row r="1965" spans="2:23" x14ac:dyDescent="0.35">
      <c r="B1965"/>
      <c r="C1965"/>
      <c r="D1965"/>
      <c r="E1965"/>
      <c r="F1965"/>
      <c r="G1965"/>
      <c r="H1965"/>
      <c r="I1965"/>
      <c r="J1965"/>
      <c r="K1965"/>
      <c r="L1965" s="11"/>
      <c r="M1965"/>
      <c r="N1965" s="3"/>
      <c r="O1965" s="11"/>
      <c r="P1965" s="11"/>
      <c r="Q1965" s="11"/>
      <c r="R1965" s="11"/>
      <c r="S1965" s="11"/>
      <c r="T1965" s="11"/>
      <c r="U1965" s="11"/>
      <c r="V1965" s="11"/>
      <c r="W1965" s="11"/>
    </row>
    <row r="1966" spans="2:23" x14ac:dyDescent="0.35">
      <c r="B1966"/>
      <c r="C1966"/>
      <c r="D1966"/>
      <c r="E1966"/>
      <c r="F1966"/>
      <c r="G1966"/>
      <c r="H1966"/>
      <c r="I1966"/>
      <c r="J1966"/>
      <c r="K1966"/>
      <c r="L1966" s="11"/>
      <c r="M1966"/>
      <c r="N1966" s="3"/>
      <c r="O1966" s="11"/>
      <c r="P1966" s="11"/>
      <c r="Q1966" s="11"/>
      <c r="R1966" s="11"/>
      <c r="S1966" s="11"/>
      <c r="T1966" s="11"/>
      <c r="U1966" s="11"/>
      <c r="V1966" s="11"/>
      <c r="W1966" s="11"/>
    </row>
    <row r="1967" spans="2:23" x14ac:dyDescent="0.35">
      <c r="B1967"/>
      <c r="C1967"/>
      <c r="D1967"/>
      <c r="E1967"/>
      <c r="F1967"/>
      <c r="G1967"/>
      <c r="H1967"/>
      <c r="I1967"/>
      <c r="J1967"/>
      <c r="K1967"/>
      <c r="L1967" s="11"/>
      <c r="M1967"/>
      <c r="N1967" s="3"/>
      <c r="O1967" s="11"/>
      <c r="P1967" s="11"/>
      <c r="Q1967" s="11"/>
      <c r="R1967" s="11"/>
      <c r="S1967" s="11"/>
      <c r="T1967" s="11"/>
      <c r="U1967" s="11"/>
      <c r="V1967" s="11"/>
      <c r="W1967" s="11"/>
    </row>
    <row r="1968" spans="2:23" x14ac:dyDescent="0.35">
      <c r="B1968"/>
      <c r="C1968"/>
      <c r="D1968"/>
      <c r="E1968"/>
      <c r="F1968"/>
      <c r="G1968"/>
      <c r="H1968"/>
      <c r="I1968"/>
      <c r="J1968"/>
      <c r="K1968"/>
      <c r="L1968" s="11"/>
      <c r="M1968"/>
      <c r="N1968" s="3"/>
      <c r="O1968" s="11"/>
      <c r="P1968" s="11"/>
      <c r="Q1968" s="11"/>
      <c r="R1968" s="11"/>
      <c r="S1968" s="11"/>
      <c r="T1968" s="11"/>
      <c r="U1968" s="11"/>
      <c r="V1968" s="11"/>
      <c r="W1968" s="11"/>
    </row>
    <row r="1969" spans="2:23" x14ac:dyDescent="0.35">
      <c r="B1969"/>
      <c r="C1969"/>
      <c r="D1969"/>
      <c r="E1969"/>
      <c r="F1969"/>
      <c r="G1969"/>
      <c r="H1969"/>
      <c r="I1969"/>
      <c r="J1969"/>
      <c r="K1969"/>
      <c r="L1969" s="11"/>
      <c r="M1969"/>
      <c r="N1969" s="3"/>
      <c r="O1969" s="11"/>
      <c r="P1969" s="11"/>
      <c r="Q1969" s="11"/>
      <c r="R1969" s="11"/>
      <c r="S1969" s="11"/>
      <c r="T1969" s="11"/>
      <c r="U1969" s="11"/>
      <c r="V1969" s="11"/>
      <c r="W1969" s="11"/>
    </row>
    <row r="1970" spans="2:23" x14ac:dyDescent="0.35">
      <c r="B1970"/>
      <c r="C1970"/>
      <c r="D1970"/>
      <c r="E1970"/>
      <c r="F1970"/>
      <c r="G1970"/>
      <c r="H1970"/>
      <c r="I1970"/>
      <c r="J1970"/>
      <c r="K1970"/>
      <c r="L1970" s="11"/>
      <c r="M1970"/>
      <c r="N1970" s="3"/>
      <c r="O1970" s="11"/>
      <c r="P1970" s="11"/>
      <c r="Q1970" s="11"/>
      <c r="R1970" s="11"/>
      <c r="S1970" s="11"/>
      <c r="T1970" s="11"/>
      <c r="U1970" s="11"/>
      <c r="V1970" s="11"/>
      <c r="W1970" s="11"/>
    </row>
    <row r="1971" spans="2:23" x14ac:dyDescent="0.35">
      <c r="B1971"/>
      <c r="C1971"/>
      <c r="D1971"/>
      <c r="E1971"/>
      <c r="F1971"/>
      <c r="G1971"/>
      <c r="H1971"/>
      <c r="I1971"/>
      <c r="J1971"/>
      <c r="K1971"/>
      <c r="L1971" s="11"/>
      <c r="M1971"/>
      <c r="N1971" s="3"/>
      <c r="O1971" s="11"/>
      <c r="P1971" s="11"/>
      <c r="Q1971" s="11"/>
      <c r="R1971" s="11"/>
      <c r="S1971" s="11"/>
      <c r="T1971" s="11"/>
      <c r="U1971" s="11"/>
      <c r="V1971" s="11"/>
      <c r="W1971" s="11"/>
    </row>
    <row r="1972" spans="2:23" x14ac:dyDescent="0.35">
      <c r="B1972"/>
      <c r="C1972"/>
      <c r="D1972"/>
      <c r="E1972"/>
      <c r="F1972"/>
      <c r="G1972"/>
      <c r="H1972"/>
      <c r="I1972"/>
      <c r="J1972"/>
      <c r="K1972"/>
      <c r="L1972" s="11"/>
      <c r="M1972"/>
      <c r="N1972" s="3"/>
      <c r="O1972" s="11"/>
      <c r="P1972" s="11"/>
      <c r="Q1972" s="11"/>
      <c r="R1972" s="11"/>
      <c r="S1972" s="11"/>
      <c r="T1972" s="11"/>
      <c r="U1972" s="11"/>
      <c r="V1972" s="11"/>
      <c r="W1972" s="11"/>
    </row>
    <row r="1973" spans="2:23" x14ac:dyDescent="0.35">
      <c r="B1973"/>
      <c r="C1973"/>
      <c r="D1973"/>
      <c r="E1973"/>
      <c r="F1973"/>
      <c r="G1973"/>
      <c r="H1973"/>
      <c r="I1973"/>
      <c r="J1973"/>
      <c r="K1973"/>
      <c r="L1973" s="11"/>
      <c r="M1973"/>
      <c r="N1973" s="3"/>
      <c r="O1973" s="11"/>
      <c r="P1973" s="11"/>
      <c r="Q1973" s="11"/>
      <c r="R1973" s="11"/>
      <c r="S1973" s="11"/>
      <c r="T1973" s="11"/>
      <c r="U1973" s="11"/>
      <c r="V1973" s="11"/>
      <c r="W1973" s="11"/>
    </row>
    <row r="1974" spans="2:23" x14ac:dyDescent="0.35">
      <c r="B1974"/>
      <c r="C1974"/>
      <c r="D1974"/>
      <c r="E1974"/>
      <c r="F1974"/>
      <c r="G1974"/>
      <c r="H1974"/>
      <c r="I1974"/>
      <c r="J1974"/>
      <c r="K1974"/>
      <c r="L1974" s="11"/>
      <c r="M1974"/>
      <c r="N1974" s="3"/>
      <c r="O1974" s="11"/>
      <c r="P1974" s="11"/>
      <c r="Q1974" s="11"/>
      <c r="R1974" s="11"/>
      <c r="S1974" s="11"/>
      <c r="T1974" s="11"/>
      <c r="U1974" s="11"/>
      <c r="V1974" s="11"/>
      <c r="W1974" s="11"/>
    </row>
    <row r="1975" spans="2:23" x14ac:dyDescent="0.35">
      <c r="B1975"/>
      <c r="C1975"/>
      <c r="D1975"/>
      <c r="E1975"/>
      <c r="F1975"/>
      <c r="G1975"/>
      <c r="H1975"/>
      <c r="I1975"/>
      <c r="J1975"/>
      <c r="K1975"/>
      <c r="L1975" s="11"/>
      <c r="M1975"/>
      <c r="N1975" s="3"/>
      <c r="O1975" s="11"/>
      <c r="P1975" s="11"/>
      <c r="Q1975" s="11"/>
      <c r="R1975" s="11"/>
      <c r="S1975" s="11"/>
      <c r="T1975" s="11"/>
      <c r="U1975" s="11"/>
      <c r="V1975" s="11"/>
      <c r="W1975" s="11"/>
    </row>
    <row r="1976" spans="2:23" x14ac:dyDescent="0.35">
      <c r="B1976"/>
      <c r="C1976"/>
      <c r="D1976"/>
      <c r="E1976"/>
      <c r="F1976"/>
      <c r="G1976"/>
      <c r="H1976"/>
      <c r="I1976"/>
      <c r="J1976"/>
      <c r="K1976"/>
      <c r="L1976" s="11"/>
      <c r="M1976"/>
      <c r="N1976" s="3"/>
      <c r="O1976" s="11"/>
      <c r="P1976" s="11"/>
      <c r="Q1976" s="11"/>
      <c r="R1976" s="11"/>
      <c r="S1976" s="11"/>
      <c r="T1976" s="11"/>
      <c r="U1976" s="11"/>
      <c r="V1976" s="11"/>
      <c r="W1976" s="11"/>
    </row>
    <row r="1977" spans="2:23" x14ac:dyDescent="0.35">
      <c r="B1977"/>
      <c r="C1977"/>
      <c r="D1977"/>
      <c r="E1977"/>
      <c r="F1977"/>
      <c r="G1977"/>
      <c r="H1977"/>
      <c r="I1977"/>
      <c r="J1977"/>
      <c r="K1977"/>
      <c r="L1977" s="11"/>
      <c r="M1977"/>
      <c r="N1977" s="3"/>
      <c r="O1977" s="11"/>
      <c r="P1977" s="11"/>
      <c r="Q1977" s="11"/>
      <c r="R1977" s="11"/>
      <c r="S1977" s="11"/>
      <c r="T1977" s="11"/>
      <c r="U1977" s="11"/>
      <c r="V1977" s="11"/>
      <c r="W1977" s="11"/>
    </row>
    <row r="1978" spans="2:23" x14ac:dyDescent="0.35">
      <c r="B1978"/>
      <c r="C1978"/>
      <c r="D1978"/>
      <c r="E1978"/>
      <c r="F1978"/>
      <c r="G1978"/>
      <c r="H1978"/>
      <c r="I1978"/>
      <c r="J1978"/>
      <c r="K1978"/>
      <c r="L1978" s="11"/>
      <c r="M1978"/>
      <c r="N1978" s="3"/>
      <c r="O1978" s="11"/>
      <c r="P1978" s="11"/>
      <c r="Q1978" s="11"/>
      <c r="R1978" s="11"/>
      <c r="S1978" s="11"/>
      <c r="T1978" s="11"/>
      <c r="U1978" s="11"/>
      <c r="V1978" s="11"/>
      <c r="W1978" s="11"/>
    </row>
    <row r="1979" spans="2:23" x14ac:dyDescent="0.35">
      <c r="B1979"/>
      <c r="C1979"/>
      <c r="D1979"/>
      <c r="E1979"/>
      <c r="F1979"/>
      <c r="G1979"/>
      <c r="H1979"/>
      <c r="I1979"/>
      <c r="J1979"/>
      <c r="K1979"/>
      <c r="L1979" s="11"/>
      <c r="M1979"/>
      <c r="N1979" s="3"/>
      <c r="O1979" s="11"/>
      <c r="P1979" s="11"/>
      <c r="Q1979" s="11"/>
      <c r="R1979" s="11"/>
      <c r="S1979" s="11"/>
      <c r="T1979" s="11"/>
      <c r="U1979" s="11"/>
      <c r="V1979" s="11"/>
      <c r="W1979" s="11"/>
    </row>
    <row r="1980" spans="2:23" x14ac:dyDescent="0.35">
      <c r="B1980"/>
      <c r="C1980"/>
      <c r="D1980"/>
      <c r="E1980"/>
      <c r="F1980"/>
      <c r="G1980"/>
      <c r="H1980"/>
      <c r="I1980"/>
      <c r="J1980"/>
      <c r="K1980"/>
      <c r="L1980" s="11"/>
      <c r="M1980"/>
      <c r="N1980" s="3"/>
      <c r="O1980" s="11"/>
      <c r="P1980" s="11"/>
      <c r="Q1980" s="11"/>
      <c r="R1980" s="11"/>
      <c r="S1980" s="11"/>
      <c r="T1980" s="11"/>
      <c r="U1980" s="11"/>
      <c r="V1980" s="11"/>
      <c r="W1980" s="11"/>
    </row>
    <row r="1981" spans="2:23" x14ac:dyDescent="0.35">
      <c r="B1981"/>
      <c r="C1981"/>
      <c r="D1981"/>
      <c r="E1981"/>
      <c r="F1981"/>
      <c r="G1981"/>
      <c r="H1981"/>
      <c r="I1981"/>
      <c r="J1981"/>
      <c r="K1981"/>
      <c r="L1981" s="11"/>
      <c r="M1981"/>
      <c r="N1981" s="3"/>
      <c r="O1981" s="11"/>
      <c r="P1981" s="11"/>
      <c r="Q1981" s="11"/>
      <c r="R1981" s="11"/>
      <c r="S1981" s="11"/>
      <c r="T1981" s="11"/>
      <c r="U1981" s="11"/>
      <c r="V1981" s="11"/>
      <c r="W1981" s="11"/>
    </row>
    <row r="1982" spans="2:23" x14ac:dyDescent="0.35">
      <c r="B1982"/>
      <c r="C1982"/>
      <c r="D1982"/>
      <c r="E1982"/>
      <c r="F1982"/>
      <c r="G1982"/>
      <c r="H1982"/>
      <c r="I1982"/>
      <c r="J1982"/>
      <c r="K1982"/>
      <c r="L1982" s="11"/>
      <c r="M1982"/>
      <c r="N1982" s="3"/>
      <c r="O1982" s="11"/>
      <c r="P1982" s="11"/>
      <c r="Q1982" s="11"/>
      <c r="R1982" s="11"/>
      <c r="S1982" s="11"/>
      <c r="T1982" s="11"/>
      <c r="U1982" s="11"/>
      <c r="V1982" s="11"/>
      <c r="W1982" s="11"/>
    </row>
    <row r="1983" spans="2:23" x14ac:dyDescent="0.35">
      <c r="B1983"/>
      <c r="C1983"/>
      <c r="D1983"/>
      <c r="E1983"/>
      <c r="F1983"/>
      <c r="G1983"/>
      <c r="H1983"/>
      <c r="I1983"/>
      <c r="J1983"/>
      <c r="K1983"/>
      <c r="L1983" s="11"/>
      <c r="M1983"/>
      <c r="N1983" s="3"/>
      <c r="O1983" s="11"/>
      <c r="P1983" s="11"/>
      <c r="Q1983" s="11"/>
      <c r="R1983" s="11"/>
      <c r="S1983" s="11"/>
      <c r="T1983" s="11"/>
      <c r="U1983" s="11"/>
      <c r="V1983" s="11"/>
      <c r="W1983" s="11"/>
    </row>
    <row r="1984" spans="2:23" x14ac:dyDescent="0.35">
      <c r="B1984"/>
      <c r="C1984"/>
      <c r="D1984"/>
      <c r="E1984"/>
      <c r="F1984"/>
      <c r="G1984"/>
      <c r="H1984"/>
      <c r="I1984"/>
      <c r="J1984"/>
      <c r="K1984"/>
      <c r="L1984" s="11"/>
      <c r="M1984"/>
      <c r="N1984" s="3"/>
      <c r="O1984" s="11"/>
      <c r="P1984" s="11"/>
      <c r="Q1984" s="11"/>
      <c r="R1984" s="11"/>
      <c r="S1984" s="11"/>
      <c r="T1984" s="11"/>
      <c r="U1984" s="11"/>
      <c r="V1984" s="11"/>
      <c r="W1984" s="11"/>
    </row>
    <row r="1985" spans="2:23" x14ac:dyDescent="0.35">
      <c r="B1985"/>
      <c r="C1985"/>
      <c r="D1985"/>
      <c r="E1985"/>
      <c r="F1985"/>
      <c r="G1985"/>
      <c r="H1985"/>
      <c r="I1985"/>
      <c r="J1985"/>
      <c r="K1985"/>
      <c r="L1985" s="11"/>
      <c r="M1985"/>
      <c r="N1985" s="3"/>
      <c r="O1985" s="11"/>
      <c r="P1985" s="11"/>
      <c r="Q1985" s="11"/>
      <c r="R1985" s="11"/>
      <c r="S1985" s="11"/>
      <c r="T1985" s="11"/>
      <c r="U1985" s="11"/>
      <c r="V1985" s="11"/>
      <c r="W1985" s="11"/>
    </row>
    <row r="1986" spans="2:23" x14ac:dyDescent="0.35">
      <c r="B1986"/>
      <c r="C1986"/>
      <c r="D1986"/>
      <c r="E1986"/>
      <c r="F1986"/>
      <c r="G1986"/>
      <c r="H1986"/>
      <c r="I1986"/>
      <c r="J1986"/>
      <c r="K1986"/>
      <c r="L1986" s="11"/>
      <c r="M1986"/>
      <c r="N1986" s="3"/>
      <c r="O1986" s="11"/>
      <c r="P1986" s="11"/>
      <c r="Q1986" s="11"/>
      <c r="R1986" s="11"/>
      <c r="S1986" s="11"/>
      <c r="T1986" s="11"/>
      <c r="U1986" s="11"/>
      <c r="V1986" s="11"/>
      <c r="W1986" s="11"/>
    </row>
    <row r="1987" spans="2:23" x14ac:dyDescent="0.35">
      <c r="B1987"/>
      <c r="C1987"/>
      <c r="D1987"/>
      <c r="E1987"/>
      <c r="F1987"/>
      <c r="G1987"/>
      <c r="H1987"/>
      <c r="I1987"/>
      <c r="J1987"/>
      <c r="K1987"/>
      <c r="L1987" s="11"/>
      <c r="M1987"/>
      <c r="N1987" s="3"/>
      <c r="O1987" s="11"/>
      <c r="P1987" s="11"/>
      <c r="Q1987" s="11"/>
      <c r="R1987" s="11"/>
      <c r="S1987" s="11"/>
      <c r="T1987" s="11"/>
      <c r="U1987" s="11"/>
      <c r="V1987" s="11"/>
      <c r="W1987" s="11"/>
    </row>
    <row r="1988" spans="2:23" x14ac:dyDescent="0.35">
      <c r="B1988"/>
      <c r="C1988"/>
      <c r="D1988"/>
      <c r="E1988"/>
      <c r="F1988"/>
      <c r="G1988"/>
      <c r="H1988"/>
      <c r="I1988"/>
      <c r="J1988"/>
      <c r="K1988"/>
      <c r="L1988" s="11"/>
      <c r="M1988"/>
      <c r="N1988" s="3"/>
      <c r="O1988" s="11"/>
      <c r="P1988" s="11"/>
      <c r="Q1988" s="11"/>
      <c r="R1988" s="11"/>
      <c r="S1988" s="11"/>
      <c r="T1988" s="11"/>
      <c r="U1988" s="11"/>
      <c r="V1988" s="11"/>
      <c r="W1988" s="11"/>
    </row>
    <row r="1989" spans="2:23" x14ac:dyDescent="0.35">
      <c r="B1989"/>
      <c r="C1989"/>
      <c r="D1989"/>
      <c r="E1989"/>
      <c r="F1989"/>
      <c r="G1989"/>
      <c r="H1989"/>
      <c r="I1989"/>
      <c r="J1989"/>
      <c r="K1989"/>
      <c r="L1989" s="11"/>
      <c r="M1989"/>
      <c r="N1989" s="3"/>
      <c r="O1989" s="11"/>
      <c r="P1989" s="11"/>
      <c r="Q1989" s="11"/>
      <c r="R1989" s="11"/>
      <c r="S1989" s="11"/>
      <c r="T1989" s="11"/>
      <c r="U1989" s="11"/>
      <c r="V1989" s="11"/>
      <c r="W1989" s="11"/>
    </row>
    <row r="1990" spans="2:23" x14ac:dyDescent="0.35">
      <c r="B1990"/>
      <c r="C1990"/>
      <c r="D1990"/>
      <c r="E1990"/>
      <c r="F1990"/>
      <c r="G1990"/>
      <c r="H1990"/>
      <c r="I1990"/>
      <c r="J1990"/>
      <c r="K1990"/>
      <c r="L1990" s="11"/>
      <c r="M1990"/>
      <c r="N1990" s="3"/>
      <c r="O1990" s="11"/>
      <c r="P1990" s="11"/>
      <c r="Q1990" s="11"/>
      <c r="R1990" s="11"/>
      <c r="S1990" s="11"/>
      <c r="T1990" s="11"/>
      <c r="U1990" s="11"/>
      <c r="V1990" s="11"/>
      <c r="W1990" s="11"/>
    </row>
    <row r="1991" spans="2:23" x14ac:dyDescent="0.35">
      <c r="B1991"/>
      <c r="C1991"/>
      <c r="D1991"/>
      <c r="E1991"/>
      <c r="F1991"/>
      <c r="G1991"/>
      <c r="H1991"/>
      <c r="I1991"/>
      <c r="J1991"/>
      <c r="K1991"/>
      <c r="L1991" s="11"/>
      <c r="M1991"/>
      <c r="N1991" s="3"/>
      <c r="O1991" s="11"/>
      <c r="P1991" s="11"/>
      <c r="Q1991" s="11"/>
      <c r="R1991" s="11"/>
      <c r="S1991" s="11"/>
      <c r="T1991" s="11"/>
      <c r="U1991" s="11"/>
      <c r="V1991" s="11"/>
      <c r="W1991" s="11"/>
    </row>
    <row r="1992" spans="2:23" x14ac:dyDescent="0.35">
      <c r="B1992"/>
      <c r="C1992"/>
      <c r="D1992"/>
      <c r="E1992"/>
      <c r="F1992"/>
      <c r="G1992"/>
      <c r="H1992"/>
      <c r="I1992"/>
      <c r="J1992"/>
      <c r="K1992"/>
      <c r="L1992" s="11"/>
      <c r="M1992"/>
      <c r="N1992" s="3"/>
      <c r="O1992" s="11"/>
      <c r="P1992" s="11"/>
      <c r="Q1992" s="11"/>
      <c r="R1992" s="11"/>
      <c r="S1992" s="11"/>
      <c r="T1992" s="11"/>
      <c r="U1992" s="11"/>
      <c r="V1992" s="11"/>
      <c r="W1992" s="11"/>
    </row>
    <row r="1993" spans="2:23" x14ac:dyDescent="0.35">
      <c r="B1993"/>
      <c r="C1993"/>
      <c r="D1993"/>
      <c r="E1993"/>
      <c r="F1993"/>
      <c r="G1993"/>
      <c r="H1993"/>
      <c r="I1993"/>
      <c r="J1993"/>
      <c r="K1993"/>
      <c r="L1993" s="11"/>
      <c r="M1993"/>
      <c r="N1993" s="3"/>
      <c r="O1993" s="11"/>
      <c r="P1993" s="11"/>
      <c r="Q1993" s="11"/>
      <c r="R1993" s="11"/>
      <c r="S1993" s="11"/>
      <c r="T1993" s="11"/>
      <c r="U1993" s="11"/>
      <c r="V1993" s="11"/>
      <c r="W1993" s="11"/>
    </row>
    <row r="1994" spans="2:23" x14ac:dyDescent="0.35">
      <c r="B1994"/>
      <c r="C1994"/>
      <c r="D1994"/>
      <c r="E1994"/>
      <c r="F1994"/>
      <c r="G1994"/>
      <c r="H1994"/>
      <c r="I1994"/>
      <c r="J1994"/>
      <c r="K1994"/>
      <c r="L1994" s="11"/>
      <c r="M1994"/>
      <c r="N1994" s="3"/>
      <c r="O1994" s="11"/>
      <c r="P1994" s="11"/>
      <c r="Q1994" s="11"/>
      <c r="R1994" s="11"/>
      <c r="S1994" s="11"/>
      <c r="T1994" s="11"/>
      <c r="U1994" s="11"/>
      <c r="V1994" s="11"/>
      <c r="W1994" s="11"/>
    </row>
    <row r="1995" spans="2:23" x14ac:dyDescent="0.35">
      <c r="B1995"/>
      <c r="C1995"/>
      <c r="D1995"/>
      <c r="E1995"/>
      <c r="F1995"/>
      <c r="G1995"/>
      <c r="H1995"/>
      <c r="I1995"/>
      <c r="J1995"/>
      <c r="K1995"/>
      <c r="L1995" s="11"/>
      <c r="M1995"/>
      <c r="N1995" s="3"/>
      <c r="O1995" s="11"/>
      <c r="P1995" s="11"/>
      <c r="Q1995" s="11"/>
      <c r="R1995" s="11"/>
      <c r="S1995" s="11"/>
      <c r="T1995" s="11"/>
      <c r="U1995" s="11"/>
      <c r="V1995" s="11"/>
      <c r="W1995" s="11"/>
    </row>
    <row r="1996" spans="2:23" x14ac:dyDescent="0.35">
      <c r="B1996"/>
      <c r="C1996"/>
      <c r="D1996"/>
      <c r="E1996"/>
      <c r="F1996"/>
      <c r="G1996"/>
      <c r="H1996"/>
      <c r="I1996"/>
      <c r="J1996"/>
      <c r="K1996"/>
      <c r="L1996" s="11"/>
      <c r="M1996"/>
      <c r="N1996" s="3"/>
      <c r="O1996" s="11"/>
      <c r="P1996" s="11"/>
      <c r="Q1996" s="11"/>
      <c r="R1996" s="11"/>
      <c r="S1996" s="11"/>
      <c r="T1996" s="11"/>
      <c r="U1996" s="11"/>
      <c r="V1996" s="11"/>
      <c r="W1996" s="11"/>
    </row>
    <row r="1997" spans="2:23" x14ac:dyDescent="0.35">
      <c r="B1997"/>
      <c r="C1997"/>
      <c r="D1997"/>
      <c r="E1997"/>
      <c r="F1997"/>
      <c r="G1997"/>
      <c r="H1997"/>
      <c r="I1997"/>
      <c r="J1997"/>
      <c r="K1997"/>
      <c r="L1997" s="11"/>
      <c r="M1997"/>
      <c r="N1997" s="3"/>
      <c r="O1997" s="11"/>
      <c r="P1997" s="11"/>
      <c r="Q1997" s="11"/>
      <c r="R1997" s="11"/>
      <c r="S1997" s="11"/>
      <c r="T1997" s="11"/>
      <c r="U1997" s="11"/>
      <c r="V1997" s="11"/>
      <c r="W1997" s="11"/>
    </row>
    <row r="1998" spans="2:23" x14ac:dyDescent="0.35">
      <c r="B1998"/>
      <c r="C1998"/>
      <c r="D1998"/>
      <c r="E1998"/>
      <c r="F1998"/>
      <c r="G1998"/>
      <c r="H1998"/>
      <c r="I1998"/>
      <c r="J1998"/>
      <c r="K1998"/>
      <c r="L1998" s="11"/>
      <c r="M1998"/>
      <c r="N1998" s="3"/>
      <c r="O1998" s="11"/>
      <c r="P1998" s="11"/>
      <c r="Q1998" s="11"/>
      <c r="R1998" s="11"/>
      <c r="S1998" s="11"/>
      <c r="T1998" s="11"/>
      <c r="U1998" s="11"/>
      <c r="V1998" s="11"/>
      <c r="W1998" s="11"/>
    </row>
    <row r="1999" spans="2:23" x14ac:dyDescent="0.35">
      <c r="B1999"/>
      <c r="C1999"/>
      <c r="D1999"/>
      <c r="E1999"/>
      <c r="F1999"/>
      <c r="G1999"/>
      <c r="H1999"/>
      <c r="I1999"/>
      <c r="J1999"/>
      <c r="K1999"/>
      <c r="L1999" s="11"/>
      <c r="M1999"/>
      <c r="N1999" s="3"/>
      <c r="O1999" s="11"/>
      <c r="P1999" s="11"/>
      <c r="Q1999" s="11"/>
      <c r="R1999" s="11"/>
      <c r="S1999" s="11"/>
      <c r="T1999" s="11"/>
      <c r="U1999" s="11"/>
      <c r="V1999" s="11"/>
      <c r="W1999" s="11"/>
    </row>
    <row r="2000" spans="2:23" x14ac:dyDescent="0.35">
      <c r="B2000"/>
      <c r="C2000"/>
      <c r="D2000"/>
      <c r="E2000"/>
      <c r="F2000"/>
      <c r="G2000"/>
      <c r="H2000"/>
      <c r="I2000"/>
      <c r="J2000"/>
      <c r="K2000"/>
      <c r="L2000" s="11"/>
      <c r="M2000"/>
      <c r="N2000" s="3"/>
      <c r="O2000" s="11"/>
      <c r="P2000" s="11"/>
      <c r="Q2000" s="11"/>
      <c r="R2000" s="11"/>
      <c r="S2000" s="11"/>
      <c r="T2000" s="11"/>
      <c r="U2000" s="11"/>
      <c r="V2000" s="11"/>
      <c r="W2000" s="11"/>
    </row>
    <row r="2001" spans="2:23" x14ac:dyDescent="0.35">
      <c r="B2001"/>
      <c r="C2001"/>
      <c r="D2001"/>
      <c r="E2001"/>
      <c r="F2001"/>
      <c r="G2001"/>
      <c r="H2001"/>
      <c r="I2001"/>
      <c r="J2001"/>
      <c r="K2001"/>
      <c r="L2001" s="11"/>
      <c r="M2001"/>
      <c r="N2001" s="3"/>
      <c r="O2001" s="11"/>
      <c r="P2001" s="11"/>
      <c r="Q2001" s="11"/>
      <c r="R2001" s="11"/>
      <c r="S2001" s="11"/>
      <c r="T2001" s="11"/>
      <c r="U2001" s="11"/>
      <c r="V2001" s="11"/>
      <c r="W2001" s="11"/>
    </row>
    <row r="2002" spans="2:23" x14ac:dyDescent="0.35">
      <c r="B2002"/>
      <c r="C2002"/>
      <c r="D2002"/>
      <c r="E2002"/>
      <c r="F2002"/>
      <c r="G2002"/>
      <c r="H2002"/>
      <c r="I2002"/>
      <c r="J2002"/>
      <c r="K2002"/>
      <c r="L2002" s="11"/>
      <c r="M2002"/>
      <c r="N2002" s="3"/>
      <c r="O2002" s="11"/>
      <c r="P2002" s="11"/>
      <c r="Q2002" s="11"/>
      <c r="R2002" s="11"/>
      <c r="S2002" s="11"/>
      <c r="T2002" s="11"/>
      <c r="U2002" s="11"/>
      <c r="V2002" s="11"/>
      <c r="W2002" s="11"/>
    </row>
    <row r="2003" spans="2:23" x14ac:dyDescent="0.35">
      <c r="B2003"/>
      <c r="C2003"/>
      <c r="D2003"/>
      <c r="E2003"/>
      <c r="F2003"/>
      <c r="G2003"/>
      <c r="H2003"/>
      <c r="I2003"/>
      <c r="J2003"/>
      <c r="K2003"/>
      <c r="L2003" s="11"/>
      <c r="M2003"/>
      <c r="N2003" s="3"/>
      <c r="O2003" s="11"/>
      <c r="P2003" s="11"/>
      <c r="Q2003" s="11"/>
      <c r="R2003" s="11"/>
      <c r="S2003" s="11"/>
      <c r="T2003" s="11"/>
      <c r="U2003" s="11"/>
      <c r="V2003" s="11"/>
      <c r="W2003" s="11"/>
    </row>
    <row r="2004" spans="2:23" x14ac:dyDescent="0.35">
      <c r="B2004"/>
      <c r="C2004"/>
      <c r="D2004"/>
      <c r="E2004"/>
      <c r="F2004"/>
      <c r="G2004"/>
      <c r="H2004"/>
      <c r="I2004"/>
      <c r="J2004"/>
      <c r="K2004"/>
      <c r="L2004" s="11"/>
      <c r="M2004"/>
      <c r="N2004" s="3"/>
      <c r="O2004" s="11"/>
      <c r="P2004" s="11"/>
      <c r="Q2004" s="11"/>
      <c r="R2004" s="11"/>
      <c r="S2004" s="11"/>
      <c r="T2004" s="11"/>
      <c r="U2004" s="11"/>
      <c r="V2004" s="11"/>
      <c r="W2004" s="11"/>
    </row>
    <row r="2005" spans="2:23" x14ac:dyDescent="0.35">
      <c r="B2005"/>
      <c r="C2005"/>
      <c r="D2005"/>
      <c r="E2005"/>
      <c r="F2005"/>
      <c r="G2005"/>
      <c r="H2005"/>
      <c r="I2005"/>
      <c r="J2005"/>
      <c r="K2005"/>
      <c r="L2005" s="11"/>
      <c r="M2005"/>
      <c r="N2005" s="3"/>
      <c r="O2005" s="11"/>
      <c r="P2005" s="11"/>
      <c r="Q2005" s="11"/>
      <c r="R2005" s="11"/>
      <c r="S2005" s="11"/>
      <c r="T2005" s="11"/>
      <c r="U2005" s="11"/>
      <c r="V2005" s="11"/>
      <c r="W2005" s="11"/>
    </row>
    <row r="2006" spans="2:23" x14ac:dyDescent="0.35">
      <c r="B2006"/>
      <c r="C2006"/>
      <c r="D2006"/>
      <c r="E2006"/>
      <c r="F2006"/>
      <c r="G2006"/>
      <c r="H2006"/>
      <c r="I2006"/>
      <c r="J2006"/>
      <c r="K2006"/>
      <c r="L2006" s="11"/>
      <c r="M2006"/>
      <c r="N2006" s="3"/>
      <c r="O2006" s="11"/>
      <c r="P2006" s="11"/>
      <c r="Q2006" s="11"/>
      <c r="R2006" s="11"/>
      <c r="S2006" s="11"/>
      <c r="T2006" s="11"/>
      <c r="U2006" s="11"/>
      <c r="V2006" s="11"/>
      <c r="W2006" s="11"/>
    </row>
    <row r="2007" spans="2:23" x14ac:dyDescent="0.35">
      <c r="B2007"/>
      <c r="C2007"/>
      <c r="D2007"/>
      <c r="E2007"/>
      <c r="F2007"/>
      <c r="G2007"/>
      <c r="H2007"/>
      <c r="I2007"/>
      <c r="J2007"/>
      <c r="K2007"/>
      <c r="L2007" s="11"/>
      <c r="M2007"/>
      <c r="N2007" s="3"/>
      <c r="O2007" s="11"/>
      <c r="P2007" s="11"/>
      <c r="Q2007" s="11"/>
      <c r="R2007" s="11"/>
      <c r="S2007" s="11"/>
      <c r="T2007" s="11"/>
      <c r="U2007" s="11"/>
      <c r="V2007" s="11"/>
      <c r="W2007" s="11"/>
    </row>
    <row r="2008" spans="2:23" x14ac:dyDescent="0.35">
      <c r="B2008"/>
      <c r="C2008"/>
      <c r="D2008"/>
      <c r="E2008"/>
      <c r="F2008"/>
      <c r="G2008"/>
      <c r="H2008"/>
      <c r="I2008"/>
      <c r="J2008"/>
      <c r="K2008"/>
      <c r="L2008" s="11"/>
      <c r="M2008"/>
      <c r="N2008" s="3"/>
      <c r="O2008" s="11"/>
      <c r="P2008" s="11"/>
      <c r="Q2008" s="11"/>
      <c r="R2008" s="11"/>
      <c r="S2008" s="11"/>
      <c r="T2008" s="11"/>
      <c r="U2008" s="11"/>
      <c r="V2008" s="11"/>
      <c r="W2008" s="11"/>
    </row>
    <row r="2009" spans="2:23" x14ac:dyDescent="0.35">
      <c r="B2009"/>
      <c r="C2009"/>
      <c r="D2009"/>
      <c r="E2009"/>
      <c r="F2009"/>
      <c r="G2009"/>
      <c r="H2009"/>
      <c r="I2009"/>
      <c r="J2009"/>
      <c r="K2009"/>
      <c r="L2009" s="11"/>
      <c r="M2009"/>
      <c r="N2009" s="3"/>
      <c r="O2009" s="11"/>
      <c r="P2009" s="11"/>
      <c r="Q2009" s="11"/>
      <c r="R2009" s="11"/>
      <c r="S2009" s="11"/>
      <c r="T2009" s="11"/>
      <c r="U2009" s="11"/>
      <c r="V2009" s="11"/>
      <c r="W2009" s="11"/>
    </row>
    <row r="2010" spans="2:23" x14ac:dyDescent="0.35">
      <c r="B2010"/>
      <c r="C2010"/>
      <c r="D2010"/>
      <c r="E2010"/>
      <c r="F2010"/>
      <c r="G2010"/>
      <c r="H2010"/>
      <c r="I2010"/>
      <c r="J2010"/>
      <c r="K2010"/>
      <c r="L2010" s="11"/>
      <c r="M2010"/>
      <c r="N2010" s="3"/>
      <c r="O2010" s="11"/>
      <c r="P2010" s="11"/>
      <c r="Q2010" s="11"/>
      <c r="R2010" s="11"/>
      <c r="S2010" s="11"/>
      <c r="T2010" s="11"/>
      <c r="U2010" s="11"/>
      <c r="V2010" s="11"/>
      <c r="W2010" s="11"/>
    </row>
    <row r="2011" spans="2:23" x14ac:dyDescent="0.35">
      <c r="B2011"/>
      <c r="C2011"/>
      <c r="D2011"/>
      <c r="E2011"/>
      <c r="F2011"/>
      <c r="G2011"/>
      <c r="H2011"/>
      <c r="I2011"/>
      <c r="J2011"/>
      <c r="K2011"/>
      <c r="L2011" s="11"/>
      <c r="M2011"/>
      <c r="N2011" s="3"/>
      <c r="O2011" s="11"/>
      <c r="P2011" s="11"/>
      <c r="Q2011" s="11"/>
      <c r="R2011" s="11"/>
      <c r="S2011" s="11"/>
      <c r="T2011" s="11"/>
      <c r="U2011" s="11"/>
      <c r="V2011" s="11"/>
      <c r="W2011" s="11"/>
    </row>
    <row r="2012" spans="2:23" x14ac:dyDescent="0.35">
      <c r="B2012"/>
      <c r="C2012"/>
      <c r="D2012"/>
      <c r="E2012"/>
      <c r="F2012"/>
      <c r="G2012"/>
      <c r="H2012"/>
      <c r="I2012"/>
      <c r="J2012"/>
      <c r="K2012"/>
      <c r="L2012" s="11"/>
      <c r="M2012"/>
      <c r="N2012" s="3"/>
      <c r="O2012" s="11"/>
      <c r="P2012" s="11"/>
      <c r="Q2012" s="11"/>
      <c r="R2012" s="11"/>
      <c r="S2012" s="11"/>
      <c r="T2012" s="11"/>
      <c r="U2012" s="11"/>
      <c r="V2012" s="11"/>
      <c r="W2012" s="11"/>
    </row>
    <row r="2013" spans="2:23" x14ac:dyDescent="0.35">
      <c r="B2013"/>
      <c r="C2013"/>
      <c r="D2013"/>
      <c r="E2013"/>
      <c r="F2013"/>
      <c r="G2013"/>
      <c r="H2013"/>
      <c r="I2013"/>
      <c r="J2013"/>
      <c r="K2013"/>
      <c r="L2013" s="11"/>
      <c r="M2013"/>
      <c r="N2013" s="3"/>
      <c r="O2013" s="11"/>
      <c r="P2013" s="11"/>
      <c r="Q2013" s="11"/>
      <c r="R2013" s="11"/>
      <c r="S2013" s="11"/>
      <c r="T2013" s="11"/>
      <c r="U2013" s="11"/>
      <c r="V2013" s="11"/>
      <c r="W2013" s="11"/>
    </row>
    <row r="2014" spans="2:23" x14ac:dyDescent="0.35">
      <c r="B2014"/>
      <c r="C2014"/>
      <c r="D2014"/>
      <c r="E2014"/>
      <c r="F2014"/>
      <c r="G2014"/>
      <c r="H2014"/>
      <c r="I2014"/>
      <c r="J2014"/>
      <c r="K2014"/>
      <c r="L2014" s="11"/>
      <c r="M2014"/>
      <c r="N2014" s="3"/>
      <c r="O2014" s="11"/>
      <c r="P2014" s="11"/>
      <c r="Q2014" s="11"/>
      <c r="R2014" s="11"/>
      <c r="S2014" s="11"/>
      <c r="T2014" s="11"/>
      <c r="U2014" s="11"/>
      <c r="V2014" s="11"/>
      <c r="W2014" s="11"/>
    </row>
    <row r="2015" spans="2:23" x14ac:dyDescent="0.35">
      <c r="B2015"/>
      <c r="C2015"/>
      <c r="D2015"/>
      <c r="E2015"/>
      <c r="F2015"/>
      <c r="G2015"/>
      <c r="H2015"/>
      <c r="I2015"/>
      <c r="J2015"/>
      <c r="K2015"/>
      <c r="L2015" s="11"/>
      <c r="M2015"/>
      <c r="N2015" s="3"/>
      <c r="O2015" s="11"/>
      <c r="P2015" s="11"/>
      <c r="Q2015" s="11"/>
      <c r="R2015" s="11"/>
      <c r="S2015" s="11"/>
      <c r="T2015" s="11"/>
      <c r="U2015" s="11"/>
      <c r="V2015" s="11"/>
      <c r="W2015" s="11"/>
    </row>
    <row r="2016" spans="2:23" x14ac:dyDescent="0.35">
      <c r="B2016"/>
      <c r="C2016"/>
      <c r="D2016"/>
      <c r="E2016"/>
      <c r="F2016"/>
      <c r="G2016"/>
      <c r="H2016"/>
      <c r="I2016"/>
      <c r="J2016"/>
      <c r="K2016"/>
      <c r="L2016" s="11"/>
      <c r="M2016"/>
      <c r="N2016" s="3"/>
      <c r="O2016" s="11"/>
      <c r="P2016" s="11"/>
      <c r="Q2016" s="11"/>
      <c r="R2016" s="11"/>
      <c r="S2016" s="11"/>
      <c r="T2016" s="11"/>
      <c r="U2016" s="11"/>
      <c r="V2016" s="11"/>
      <c r="W2016" s="11"/>
    </row>
    <row r="2017" spans="2:23" x14ac:dyDescent="0.35">
      <c r="B2017"/>
      <c r="C2017"/>
      <c r="D2017"/>
      <c r="E2017"/>
      <c r="F2017"/>
      <c r="G2017"/>
      <c r="H2017"/>
      <c r="I2017"/>
      <c r="J2017"/>
      <c r="K2017"/>
      <c r="L2017" s="11"/>
      <c r="M2017"/>
      <c r="N2017" s="3"/>
      <c r="O2017" s="11"/>
      <c r="P2017" s="11"/>
      <c r="Q2017" s="11"/>
      <c r="R2017" s="11"/>
      <c r="S2017" s="11"/>
      <c r="T2017" s="11"/>
      <c r="U2017" s="11"/>
      <c r="V2017" s="11"/>
      <c r="W2017" s="11"/>
    </row>
    <row r="2018" spans="2:23" x14ac:dyDescent="0.35">
      <c r="B2018"/>
      <c r="C2018"/>
      <c r="D2018"/>
      <c r="E2018"/>
      <c r="F2018"/>
      <c r="G2018"/>
      <c r="H2018"/>
      <c r="I2018"/>
      <c r="J2018"/>
      <c r="K2018"/>
      <c r="L2018" s="11"/>
      <c r="M2018"/>
      <c r="N2018" s="3"/>
      <c r="O2018" s="11"/>
      <c r="P2018" s="11"/>
      <c r="Q2018" s="11"/>
      <c r="R2018" s="11"/>
      <c r="S2018" s="11"/>
      <c r="T2018" s="11"/>
      <c r="U2018" s="11"/>
      <c r="V2018" s="11"/>
      <c r="W2018" s="11"/>
    </row>
    <row r="2019" spans="2:23" x14ac:dyDescent="0.35">
      <c r="B2019"/>
      <c r="C2019"/>
      <c r="D2019"/>
      <c r="E2019"/>
      <c r="F2019"/>
      <c r="G2019"/>
      <c r="H2019"/>
      <c r="I2019"/>
      <c r="J2019"/>
      <c r="K2019"/>
      <c r="L2019" s="11"/>
      <c r="M2019"/>
      <c r="N2019" s="3"/>
      <c r="O2019" s="11"/>
      <c r="P2019" s="11"/>
      <c r="Q2019" s="11"/>
      <c r="R2019" s="11"/>
      <c r="S2019" s="11"/>
      <c r="T2019" s="11"/>
      <c r="U2019" s="11"/>
      <c r="V2019" s="11"/>
      <c r="W2019" s="11"/>
    </row>
    <row r="2020" spans="2:23" x14ac:dyDescent="0.35">
      <c r="B2020"/>
      <c r="C2020"/>
      <c r="D2020"/>
      <c r="E2020"/>
      <c r="F2020"/>
      <c r="G2020"/>
      <c r="H2020"/>
      <c r="I2020"/>
      <c r="J2020"/>
      <c r="K2020"/>
      <c r="L2020" s="11"/>
      <c r="M2020"/>
      <c r="N2020" s="3"/>
      <c r="O2020" s="11"/>
      <c r="P2020" s="11"/>
      <c r="Q2020" s="11"/>
      <c r="R2020" s="11"/>
      <c r="S2020" s="11"/>
      <c r="T2020" s="11"/>
      <c r="U2020" s="11"/>
      <c r="V2020" s="11"/>
      <c r="W2020" s="11"/>
    </row>
    <row r="2021" spans="2:23" x14ac:dyDescent="0.35">
      <c r="B2021"/>
      <c r="C2021"/>
      <c r="D2021"/>
      <c r="E2021"/>
      <c r="F2021"/>
      <c r="G2021"/>
      <c r="H2021"/>
      <c r="I2021"/>
      <c r="J2021"/>
      <c r="K2021"/>
      <c r="L2021" s="11"/>
      <c r="M2021"/>
      <c r="N2021" s="3"/>
      <c r="O2021" s="11"/>
      <c r="P2021" s="11"/>
      <c r="Q2021" s="11"/>
      <c r="R2021" s="11"/>
      <c r="S2021" s="11"/>
      <c r="T2021" s="11"/>
      <c r="U2021" s="11"/>
      <c r="V2021" s="11"/>
      <c r="W2021" s="11"/>
    </row>
    <row r="2022" spans="2:23" x14ac:dyDescent="0.35">
      <c r="B2022"/>
      <c r="C2022"/>
      <c r="D2022"/>
      <c r="E2022"/>
      <c r="F2022"/>
      <c r="G2022"/>
      <c r="H2022"/>
      <c r="I2022"/>
      <c r="J2022"/>
      <c r="K2022"/>
      <c r="L2022" s="11"/>
      <c r="M2022"/>
      <c r="N2022" s="3"/>
      <c r="O2022" s="11"/>
      <c r="P2022" s="11"/>
      <c r="Q2022" s="11"/>
      <c r="R2022" s="11"/>
      <c r="S2022" s="11"/>
      <c r="T2022" s="11"/>
      <c r="U2022" s="11"/>
      <c r="V2022" s="11"/>
      <c r="W2022" s="11"/>
    </row>
    <row r="2023" spans="2:23" x14ac:dyDescent="0.35">
      <c r="B2023"/>
      <c r="C2023"/>
      <c r="D2023"/>
      <c r="E2023"/>
      <c r="F2023"/>
      <c r="G2023"/>
      <c r="H2023"/>
      <c r="I2023"/>
      <c r="J2023"/>
      <c r="K2023"/>
      <c r="L2023" s="11"/>
      <c r="M2023"/>
      <c r="N2023" s="3"/>
      <c r="O2023" s="11"/>
      <c r="P2023" s="11"/>
      <c r="Q2023" s="11"/>
      <c r="R2023" s="11"/>
      <c r="S2023" s="11"/>
      <c r="T2023" s="11"/>
      <c r="U2023" s="11"/>
      <c r="V2023" s="11"/>
      <c r="W2023" s="11"/>
    </row>
    <row r="2024" spans="2:23" x14ac:dyDescent="0.35">
      <c r="B2024"/>
      <c r="C2024"/>
      <c r="D2024"/>
      <c r="E2024"/>
      <c r="F2024"/>
      <c r="G2024"/>
      <c r="H2024"/>
      <c r="I2024"/>
      <c r="J2024"/>
      <c r="K2024"/>
      <c r="L2024" s="11"/>
      <c r="M2024"/>
      <c r="N2024" s="3"/>
      <c r="O2024" s="11"/>
      <c r="P2024" s="11"/>
      <c r="Q2024" s="11"/>
      <c r="R2024" s="11"/>
      <c r="S2024" s="11"/>
      <c r="T2024" s="11"/>
      <c r="U2024" s="11"/>
      <c r="V2024" s="11"/>
      <c r="W2024" s="11"/>
    </row>
    <row r="2025" spans="2:23" x14ac:dyDescent="0.35">
      <c r="B2025"/>
      <c r="C2025"/>
      <c r="D2025"/>
      <c r="E2025"/>
      <c r="F2025"/>
      <c r="G2025"/>
      <c r="H2025"/>
      <c r="I2025"/>
      <c r="J2025"/>
      <c r="K2025"/>
      <c r="L2025" s="11"/>
      <c r="M2025"/>
      <c r="N2025" s="3"/>
      <c r="O2025" s="11"/>
      <c r="P2025" s="11"/>
      <c r="Q2025" s="11"/>
      <c r="R2025" s="11"/>
      <c r="S2025" s="11"/>
      <c r="T2025" s="11"/>
      <c r="U2025" s="11"/>
      <c r="V2025" s="11"/>
      <c r="W2025" s="11"/>
    </row>
    <row r="2026" spans="2:23" x14ac:dyDescent="0.35">
      <c r="B2026"/>
      <c r="C2026"/>
      <c r="D2026"/>
      <c r="E2026"/>
      <c r="F2026"/>
      <c r="G2026"/>
      <c r="H2026"/>
      <c r="I2026"/>
      <c r="J2026"/>
      <c r="K2026"/>
      <c r="L2026" s="11"/>
      <c r="M2026"/>
      <c r="N2026" s="3"/>
      <c r="O2026" s="11"/>
      <c r="P2026" s="11"/>
      <c r="Q2026" s="11"/>
      <c r="R2026" s="11"/>
      <c r="S2026" s="11"/>
      <c r="T2026" s="11"/>
      <c r="U2026" s="11"/>
      <c r="V2026" s="11"/>
      <c r="W2026" s="11"/>
    </row>
    <row r="2027" spans="2:23" x14ac:dyDescent="0.35">
      <c r="B2027"/>
      <c r="C2027"/>
      <c r="D2027"/>
      <c r="E2027"/>
      <c r="F2027"/>
      <c r="G2027"/>
      <c r="H2027"/>
      <c r="I2027"/>
      <c r="J2027"/>
      <c r="K2027"/>
      <c r="L2027" s="11"/>
      <c r="M2027"/>
      <c r="N2027" s="3"/>
      <c r="O2027" s="11"/>
      <c r="P2027" s="11"/>
      <c r="Q2027" s="11"/>
      <c r="R2027" s="11"/>
      <c r="S2027" s="11"/>
      <c r="T2027" s="11"/>
      <c r="U2027" s="11"/>
      <c r="V2027" s="11"/>
      <c r="W2027" s="11"/>
    </row>
    <row r="2028" spans="2:23" x14ac:dyDescent="0.35">
      <c r="B2028"/>
      <c r="C2028"/>
      <c r="D2028"/>
      <c r="E2028"/>
      <c r="F2028"/>
      <c r="G2028"/>
      <c r="H2028"/>
      <c r="I2028"/>
      <c r="J2028"/>
      <c r="K2028"/>
      <c r="L2028" s="11"/>
      <c r="M2028"/>
      <c r="N2028" s="3"/>
      <c r="O2028" s="11"/>
      <c r="P2028" s="11"/>
      <c r="Q2028" s="11"/>
      <c r="R2028" s="11"/>
      <c r="S2028" s="11"/>
      <c r="T2028" s="11"/>
      <c r="U2028" s="11"/>
      <c r="V2028" s="11"/>
      <c r="W2028" s="11"/>
    </row>
    <row r="2029" spans="2:23" x14ac:dyDescent="0.35">
      <c r="B2029"/>
      <c r="C2029"/>
      <c r="D2029"/>
      <c r="E2029"/>
      <c r="F2029"/>
      <c r="G2029"/>
      <c r="H2029"/>
      <c r="I2029"/>
      <c r="J2029"/>
      <c r="K2029"/>
      <c r="L2029" s="11"/>
      <c r="M2029"/>
      <c r="N2029" s="3"/>
      <c r="O2029" s="11"/>
      <c r="P2029" s="11"/>
      <c r="Q2029" s="11"/>
      <c r="R2029" s="11"/>
      <c r="S2029" s="11"/>
      <c r="T2029" s="11"/>
      <c r="U2029" s="11"/>
      <c r="V2029" s="11"/>
      <c r="W2029" s="11"/>
    </row>
    <row r="2030" spans="2:23" x14ac:dyDescent="0.35">
      <c r="B2030"/>
      <c r="C2030"/>
      <c r="D2030"/>
      <c r="E2030"/>
      <c r="F2030"/>
      <c r="G2030"/>
      <c r="H2030"/>
      <c r="I2030"/>
      <c r="J2030"/>
      <c r="K2030"/>
      <c r="L2030" s="11"/>
      <c r="M2030"/>
      <c r="N2030" s="3"/>
      <c r="O2030" s="11"/>
      <c r="P2030" s="11"/>
      <c r="Q2030" s="11"/>
      <c r="R2030" s="11"/>
      <c r="S2030" s="11"/>
      <c r="T2030" s="11"/>
      <c r="U2030" s="11"/>
      <c r="V2030" s="11"/>
      <c r="W2030" s="11"/>
    </row>
    <row r="2031" spans="2:23" x14ac:dyDescent="0.35">
      <c r="B2031"/>
      <c r="C2031"/>
      <c r="D2031"/>
      <c r="E2031"/>
      <c r="F2031"/>
      <c r="G2031"/>
      <c r="H2031"/>
      <c r="I2031"/>
      <c r="J2031"/>
      <c r="K2031"/>
      <c r="L2031" s="11"/>
      <c r="M2031"/>
      <c r="N2031" s="3"/>
      <c r="O2031" s="11"/>
      <c r="P2031" s="11"/>
      <c r="Q2031" s="11"/>
      <c r="R2031" s="11"/>
      <c r="S2031" s="11"/>
      <c r="T2031" s="11"/>
      <c r="U2031" s="11"/>
      <c r="V2031" s="11"/>
      <c r="W2031" s="11"/>
    </row>
    <row r="2032" spans="2:23" x14ac:dyDescent="0.35">
      <c r="B2032"/>
      <c r="C2032"/>
      <c r="D2032"/>
      <c r="E2032"/>
      <c r="F2032"/>
      <c r="G2032"/>
      <c r="H2032"/>
      <c r="I2032"/>
      <c r="J2032"/>
      <c r="K2032"/>
      <c r="L2032" s="11"/>
      <c r="M2032"/>
      <c r="N2032" s="3"/>
      <c r="O2032" s="11"/>
      <c r="P2032" s="11"/>
      <c r="Q2032" s="11"/>
      <c r="R2032" s="11"/>
      <c r="S2032" s="11"/>
      <c r="T2032" s="11"/>
      <c r="U2032" s="11"/>
      <c r="V2032" s="11"/>
      <c r="W2032" s="11"/>
    </row>
    <row r="2033" spans="2:23" x14ac:dyDescent="0.35">
      <c r="B2033"/>
      <c r="C2033"/>
      <c r="D2033"/>
      <c r="E2033"/>
      <c r="F2033"/>
      <c r="G2033"/>
      <c r="H2033"/>
      <c r="I2033"/>
      <c r="J2033"/>
      <c r="K2033"/>
      <c r="L2033" s="11"/>
      <c r="M2033"/>
      <c r="N2033" s="3"/>
      <c r="O2033" s="11"/>
      <c r="P2033" s="11"/>
      <c r="Q2033" s="11"/>
      <c r="R2033" s="11"/>
      <c r="S2033" s="11"/>
      <c r="T2033" s="11"/>
      <c r="U2033" s="11"/>
      <c r="V2033" s="11"/>
      <c r="W2033" s="11"/>
    </row>
    <row r="2034" spans="2:23" x14ac:dyDescent="0.35">
      <c r="B2034"/>
      <c r="C2034"/>
      <c r="D2034"/>
      <c r="E2034"/>
      <c r="F2034"/>
      <c r="G2034"/>
      <c r="H2034"/>
      <c r="I2034"/>
      <c r="J2034"/>
      <c r="K2034"/>
      <c r="L2034" s="11"/>
      <c r="M2034"/>
      <c r="N2034" s="3"/>
      <c r="O2034" s="11"/>
      <c r="P2034" s="11"/>
      <c r="Q2034" s="11"/>
      <c r="R2034" s="11"/>
      <c r="S2034" s="11"/>
      <c r="T2034" s="11"/>
      <c r="U2034" s="11"/>
      <c r="V2034" s="11"/>
      <c r="W2034" s="11"/>
    </row>
    <row r="2035" spans="2:23" x14ac:dyDescent="0.35">
      <c r="B2035"/>
      <c r="C2035"/>
      <c r="D2035"/>
      <c r="E2035"/>
      <c r="F2035"/>
      <c r="G2035"/>
      <c r="H2035"/>
      <c r="I2035"/>
      <c r="J2035"/>
      <c r="K2035"/>
      <c r="L2035" s="11"/>
      <c r="M2035"/>
      <c r="N2035" s="3"/>
      <c r="O2035" s="11"/>
      <c r="P2035" s="11"/>
      <c r="Q2035" s="11"/>
      <c r="R2035" s="11"/>
      <c r="S2035" s="11"/>
      <c r="T2035" s="11"/>
      <c r="U2035" s="11"/>
      <c r="V2035" s="11"/>
      <c r="W2035" s="11"/>
    </row>
    <row r="2036" spans="2:23" x14ac:dyDescent="0.35">
      <c r="B2036"/>
      <c r="C2036"/>
      <c r="D2036"/>
      <c r="E2036"/>
      <c r="F2036"/>
      <c r="G2036"/>
      <c r="H2036"/>
      <c r="I2036"/>
      <c r="J2036"/>
      <c r="K2036"/>
      <c r="L2036" s="11"/>
      <c r="M2036"/>
      <c r="N2036" s="3"/>
      <c r="O2036" s="11"/>
      <c r="P2036" s="11"/>
      <c r="Q2036" s="11"/>
      <c r="R2036" s="11"/>
      <c r="S2036" s="11"/>
      <c r="T2036" s="11"/>
      <c r="U2036" s="11"/>
      <c r="V2036" s="11"/>
      <c r="W2036" s="11"/>
    </row>
    <row r="2037" spans="2:23" x14ac:dyDescent="0.35">
      <c r="B2037"/>
      <c r="C2037"/>
      <c r="D2037"/>
      <c r="E2037"/>
      <c r="F2037"/>
      <c r="G2037"/>
      <c r="H2037"/>
      <c r="I2037"/>
      <c r="J2037"/>
      <c r="K2037"/>
      <c r="L2037" s="11"/>
      <c r="M2037"/>
      <c r="N2037" s="3"/>
      <c r="O2037" s="11"/>
      <c r="P2037" s="11"/>
      <c r="Q2037" s="11"/>
      <c r="R2037" s="11"/>
      <c r="S2037" s="11"/>
      <c r="T2037" s="11"/>
      <c r="U2037" s="11"/>
      <c r="V2037" s="11"/>
      <c r="W2037" s="11"/>
    </row>
    <row r="2038" spans="2:23" x14ac:dyDescent="0.35">
      <c r="B2038"/>
      <c r="C2038"/>
      <c r="D2038"/>
      <c r="E2038"/>
      <c r="F2038"/>
      <c r="G2038"/>
      <c r="H2038"/>
      <c r="I2038"/>
      <c r="J2038"/>
      <c r="K2038"/>
      <c r="L2038" s="11"/>
      <c r="M2038"/>
      <c r="N2038" s="3"/>
      <c r="O2038" s="11"/>
      <c r="P2038" s="11"/>
      <c r="Q2038" s="11"/>
      <c r="R2038" s="11"/>
      <c r="S2038" s="11"/>
      <c r="T2038" s="11"/>
      <c r="U2038" s="11"/>
      <c r="V2038" s="11"/>
      <c r="W2038" s="11"/>
    </row>
    <row r="2039" spans="2:23" x14ac:dyDescent="0.35">
      <c r="B2039"/>
      <c r="C2039"/>
      <c r="D2039"/>
      <c r="E2039"/>
      <c r="F2039"/>
      <c r="G2039"/>
      <c r="H2039"/>
      <c r="I2039"/>
      <c r="J2039"/>
      <c r="K2039"/>
      <c r="L2039" s="11"/>
      <c r="M2039"/>
      <c r="N2039" s="3"/>
      <c r="O2039" s="11"/>
      <c r="P2039" s="11"/>
      <c r="Q2039" s="11"/>
      <c r="R2039" s="11"/>
      <c r="S2039" s="11"/>
      <c r="T2039" s="11"/>
      <c r="U2039" s="11"/>
      <c r="V2039" s="11"/>
      <c r="W2039" s="11"/>
    </row>
    <row r="2040" spans="2:23" x14ac:dyDescent="0.35">
      <c r="B2040"/>
      <c r="C2040"/>
      <c r="D2040"/>
      <c r="E2040"/>
      <c r="F2040"/>
      <c r="G2040"/>
      <c r="H2040"/>
      <c r="I2040"/>
      <c r="J2040"/>
      <c r="K2040"/>
      <c r="L2040" s="11"/>
      <c r="M2040"/>
      <c r="N2040" s="3"/>
      <c r="O2040" s="11"/>
      <c r="P2040" s="11"/>
      <c r="Q2040" s="11"/>
      <c r="R2040" s="11"/>
      <c r="S2040" s="11"/>
      <c r="T2040" s="11"/>
      <c r="U2040" s="11"/>
      <c r="V2040" s="11"/>
      <c r="W2040" s="11"/>
    </row>
    <row r="2041" spans="2:23" x14ac:dyDescent="0.35">
      <c r="B2041"/>
      <c r="C2041"/>
      <c r="D2041"/>
      <c r="E2041"/>
      <c r="F2041"/>
      <c r="G2041"/>
      <c r="H2041"/>
      <c r="I2041"/>
      <c r="J2041"/>
      <c r="K2041"/>
      <c r="L2041" s="11"/>
      <c r="M2041"/>
      <c r="N2041" s="3"/>
      <c r="O2041" s="11"/>
      <c r="P2041" s="11"/>
      <c r="Q2041" s="11"/>
      <c r="R2041" s="11"/>
      <c r="S2041" s="11"/>
      <c r="T2041" s="11"/>
      <c r="U2041" s="11"/>
      <c r="V2041" s="11"/>
      <c r="W2041" s="11"/>
    </row>
    <row r="2042" spans="2:23" x14ac:dyDescent="0.35">
      <c r="B2042"/>
      <c r="C2042"/>
      <c r="D2042"/>
      <c r="E2042"/>
      <c r="F2042"/>
      <c r="G2042"/>
      <c r="H2042"/>
      <c r="I2042"/>
      <c r="J2042"/>
      <c r="K2042"/>
      <c r="L2042" s="11"/>
      <c r="M2042"/>
      <c r="N2042" s="3"/>
      <c r="O2042" s="11"/>
      <c r="P2042" s="11"/>
      <c r="Q2042" s="11"/>
      <c r="R2042" s="11"/>
      <c r="S2042" s="11"/>
      <c r="T2042" s="11"/>
      <c r="U2042" s="11"/>
      <c r="V2042" s="11"/>
      <c r="W2042" s="11"/>
    </row>
    <row r="2043" spans="2:23" x14ac:dyDescent="0.35">
      <c r="B2043"/>
      <c r="C2043"/>
      <c r="D2043"/>
      <c r="E2043"/>
      <c r="F2043"/>
      <c r="G2043"/>
      <c r="H2043"/>
      <c r="I2043"/>
      <c r="J2043"/>
      <c r="K2043"/>
      <c r="L2043" s="11"/>
      <c r="M2043"/>
      <c r="N2043" s="3"/>
      <c r="O2043" s="11"/>
      <c r="P2043" s="11"/>
      <c r="Q2043" s="11"/>
      <c r="R2043" s="11"/>
      <c r="S2043" s="11"/>
      <c r="T2043" s="11"/>
      <c r="U2043" s="11"/>
      <c r="V2043" s="11"/>
      <c r="W2043" s="11"/>
    </row>
    <row r="2044" spans="2:23" x14ac:dyDescent="0.35">
      <c r="B2044"/>
      <c r="C2044"/>
      <c r="D2044"/>
      <c r="E2044"/>
      <c r="F2044"/>
      <c r="G2044"/>
      <c r="H2044"/>
      <c r="I2044"/>
      <c r="J2044"/>
      <c r="K2044"/>
      <c r="L2044" s="11"/>
      <c r="M2044"/>
      <c r="N2044" s="3"/>
      <c r="O2044" s="11"/>
      <c r="P2044" s="11"/>
      <c r="Q2044" s="11"/>
      <c r="R2044" s="11"/>
      <c r="S2044" s="11"/>
      <c r="T2044" s="11"/>
      <c r="U2044" s="11"/>
      <c r="V2044" s="11"/>
      <c r="W2044" s="11"/>
    </row>
    <row r="2045" spans="2:23" x14ac:dyDescent="0.35">
      <c r="B2045"/>
      <c r="C2045"/>
      <c r="D2045"/>
      <c r="E2045"/>
      <c r="F2045"/>
      <c r="G2045"/>
      <c r="H2045"/>
      <c r="I2045"/>
      <c r="J2045"/>
      <c r="K2045"/>
      <c r="L2045" s="11"/>
      <c r="M2045"/>
      <c r="N2045" s="3"/>
      <c r="O2045" s="11"/>
      <c r="P2045" s="11"/>
      <c r="Q2045" s="11"/>
      <c r="R2045" s="11"/>
      <c r="S2045" s="11"/>
      <c r="T2045" s="11"/>
      <c r="U2045" s="11"/>
      <c r="V2045" s="11"/>
      <c r="W2045" s="11"/>
    </row>
    <row r="2046" spans="2:23" x14ac:dyDescent="0.35">
      <c r="B2046"/>
      <c r="C2046"/>
      <c r="D2046"/>
      <c r="E2046"/>
      <c r="F2046"/>
      <c r="G2046"/>
      <c r="H2046"/>
      <c r="I2046"/>
      <c r="J2046"/>
      <c r="K2046"/>
      <c r="L2046" s="11"/>
      <c r="M2046"/>
      <c r="N2046" s="3"/>
      <c r="O2046" s="11"/>
      <c r="P2046" s="11"/>
      <c r="Q2046" s="11"/>
      <c r="R2046" s="11"/>
      <c r="S2046" s="11"/>
      <c r="T2046" s="11"/>
      <c r="U2046" s="11"/>
      <c r="V2046" s="11"/>
      <c r="W2046" s="11"/>
    </row>
    <row r="2047" spans="2:23" x14ac:dyDescent="0.35">
      <c r="B2047"/>
      <c r="C2047"/>
      <c r="D2047"/>
      <c r="E2047"/>
      <c r="F2047"/>
      <c r="G2047"/>
      <c r="H2047"/>
      <c r="I2047"/>
      <c r="J2047"/>
      <c r="K2047"/>
      <c r="L2047" s="11"/>
      <c r="M2047"/>
      <c r="N2047" s="3"/>
      <c r="O2047" s="11"/>
      <c r="P2047" s="11"/>
      <c r="Q2047" s="11"/>
      <c r="R2047" s="11"/>
      <c r="S2047" s="11"/>
      <c r="T2047" s="11"/>
      <c r="U2047" s="11"/>
      <c r="V2047" s="11"/>
      <c r="W2047" s="11"/>
    </row>
    <row r="2048" spans="2:23" x14ac:dyDescent="0.35">
      <c r="B2048"/>
      <c r="C2048"/>
      <c r="D2048"/>
      <c r="E2048"/>
      <c r="F2048"/>
      <c r="G2048"/>
      <c r="H2048"/>
      <c r="I2048"/>
      <c r="J2048"/>
      <c r="K2048"/>
      <c r="L2048" s="11"/>
      <c r="M2048"/>
      <c r="N2048" s="3"/>
      <c r="O2048" s="11"/>
      <c r="P2048" s="11"/>
      <c r="Q2048" s="11"/>
      <c r="R2048" s="11"/>
      <c r="S2048" s="11"/>
      <c r="T2048" s="11"/>
      <c r="U2048" s="11"/>
      <c r="V2048" s="11"/>
      <c r="W2048" s="11"/>
    </row>
    <row r="2049" spans="2:23" x14ac:dyDescent="0.35">
      <c r="B2049"/>
      <c r="C2049"/>
      <c r="D2049"/>
      <c r="E2049"/>
      <c r="F2049"/>
      <c r="G2049"/>
      <c r="H2049"/>
      <c r="I2049"/>
      <c r="J2049"/>
      <c r="K2049"/>
      <c r="L2049" s="11"/>
      <c r="M2049"/>
      <c r="N2049" s="3"/>
      <c r="O2049" s="11"/>
      <c r="P2049" s="11"/>
      <c r="Q2049" s="11"/>
      <c r="R2049" s="11"/>
      <c r="S2049" s="11"/>
      <c r="T2049" s="11"/>
      <c r="U2049" s="11"/>
      <c r="V2049" s="11"/>
      <c r="W2049" s="11"/>
    </row>
    <row r="2050" spans="2:23" x14ac:dyDescent="0.35">
      <c r="B2050"/>
      <c r="C2050"/>
      <c r="D2050"/>
      <c r="E2050"/>
      <c r="F2050"/>
      <c r="G2050"/>
      <c r="H2050"/>
      <c r="I2050"/>
      <c r="J2050"/>
      <c r="K2050"/>
      <c r="L2050" s="11"/>
      <c r="M2050"/>
      <c r="N2050" s="3"/>
      <c r="O2050" s="11"/>
      <c r="P2050" s="11"/>
      <c r="Q2050" s="11"/>
      <c r="R2050" s="11"/>
      <c r="S2050" s="11"/>
      <c r="T2050" s="11"/>
      <c r="U2050" s="11"/>
      <c r="V2050" s="11"/>
      <c r="W2050" s="11"/>
    </row>
    <row r="2051" spans="2:23" x14ac:dyDescent="0.35">
      <c r="B2051"/>
      <c r="C2051"/>
      <c r="D2051"/>
      <c r="E2051"/>
      <c r="F2051"/>
      <c r="G2051"/>
      <c r="H2051"/>
      <c r="I2051"/>
      <c r="J2051"/>
      <c r="K2051"/>
      <c r="L2051" s="11"/>
      <c r="M2051"/>
      <c r="N2051" s="3"/>
      <c r="O2051" s="11"/>
      <c r="P2051" s="11"/>
      <c r="Q2051" s="11"/>
      <c r="R2051" s="11"/>
      <c r="S2051" s="11"/>
      <c r="T2051" s="11"/>
      <c r="U2051" s="11"/>
      <c r="V2051" s="11"/>
      <c r="W2051" s="11"/>
    </row>
    <row r="2052" spans="2:23" x14ac:dyDescent="0.35">
      <c r="B2052"/>
      <c r="C2052"/>
      <c r="D2052"/>
      <c r="E2052"/>
      <c r="F2052"/>
      <c r="G2052"/>
      <c r="H2052"/>
      <c r="I2052"/>
      <c r="J2052"/>
      <c r="K2052"/>
      <c r="L2052" s="11"/>
      <c r="M2052"/>
      <c r="N2052" s="3"/>
      <c r="O2052" s="11"/>
      <c r="P2052" s="11"/>
      <c r="Q2052" s="11"/>
      <c r="R2052" s="11"/>
      <c r="S2052" s="11"/>
      <c r="T2052" s="11"/>
      <c r="U2052" s="11"/>
      <c r="V2052" s="11"/>
      <c r="W2052" s="11"/>
    </row>
    <row r="2053" spans="2:23" x14ac:dyDescent="0.35">
      <c r="B2053"/>
      <c r="C2053"/>
      <c r="D2053"/>
      <c r="E2053"/>
      <c r="F2053"/>
      <c r="G2053"/>
      <c r="H2053"/>
      <c r="I2053"/>
      <c r="J2053"/>
      <c r="K2053"/>
      <c r="L2053" s="11"/>
      <c r="M2053"/>
      <c r="N2053" s="3"/>
      <c r="O2053" s="11"/>
      <c r="P2053" s="11"/>
      <c r="Q2053" s="11"/>
      <c r="R2053" s="11"/>
      <c r="S2053" s="11"/>
      <c r="T2053" s="11"/>
      <c r="U2053" s="11"/>
      <c r="V2053" s="11"/>
      <c r="W2053" s="11"/>
    </row>
    <row r="2054" spans="2:23" x14ac:dyDescent="0.35">
      <c r="B2054"/>
      <c r="C2054"/>
      <c r="D2054"/>
      <c r="E2054"/>
      <c r="F2054"/>
      <c r="G2054"/>
      <c r="H2054"/>
      <c r="I2054"/>
      <c r="J2054"/>
      <c r="K2054"/>
      <c r="L2054" s="11"/>
      <c r="M2054"/>
      <c r="N2054" s="3"/>
      <c r="O2054" s="11"/>
      <c r="P2054" s="11"/>
      <c r="Q2054" s="11"/>
      <c r="R2054" s="11"/>
      <c r="S2054" s="11"/>
      <c r="T2054" s="11"/>
      <c r="U2054" s="11"/>
      <c r="V2054" s="11"/>
      <c r="W2054" s="11"/>
    </row>
    <row r="2055" spans="2:23" x14ac:dyDescent="0.35">
      <c r="B2055"/>
      <c r="C2055"/>
      <c r="D2055"/>
      <c r="E2055"/>
      <c r="F2055"/>
      <c r="G2055"/>
      <c r="H2055"/>
      <c r="I2055"/>
      <c r="J2055"/>
      <c r="K2055"/>
      <c r="L2055" s="11"/>
      <c r="M2055"/>
      <c r="N2055" s="3"/>
      <c r="O2055" s="11"/>
      <c r="P2055" s="11"/>
      <c r="Q2055" s="11"/>
      <c r="R2055" s="11"/>
      <c r="S2055" s="11"/>
      <c r="T2055" s="11"/>
      <c r="U2055" s="11"/>
      <c r="V2055" s="11"/>
      <c r="W2055" s="11"/>
    </row>
    <row r="2056" spans="2:23" x14ac:dyDescent="0.35">
      <c r="B2056"/>
      <c r="C2056"/>
      <c r="D2056"/>
      <c r="E2056"/>
      <c r="F2056"/>
      <c r="G2056"/>
      <c r="H2056"/>
      <c r="I2056"/>
      <c r="J2056"/>
      <c r="K2056"/>
      <c r="L2056" s="11"/>
      <c r="M2056"/>
      <c r="N2056" s="3"/>
      <c r="O2056" s="11"/>
      <c r="P2056" s="11"/>
      <c r="Q2056" s="11"/>
      <c r="R2056" s="11"/>
      <c r="S2056" s="11"/>
      <c r="T2056" s="11"/>
      <c r="U2056" s="11"/>
      <c r="V2056" s="11"/>
      <c r="W2056" s="11"/>
    </row>
    <row r="2057" spans="2:23" x14ac:dyDescent="0.35">
      <c r="B2057"/>
      <c r="C2057"/>
      <c r="D2057"/>
      <c r="E2057"/>
      <c r="F2057"/>
      <c r="G2057"/>
      <c r="H2057"/>
      <c r="I2057"/>
      <c r="J2057"/>
      <c r="K2057"/>
      <c r="L2057" s="11"/>
      <c r="M2057"/>
      <c r="N2057" s="3"/>
      <c r="O2057" s="11"/>
      <c r="P2057" s="11"/>
      <c r="Q2057" s="11"/>
      <c r="R2057" s="11"/>
      <c r="S2057" s="11"/>
      <c r="T2057" s="11"/>
      <c r="U2057" s="11"/>
      <c r="V2057" s="11"/>
      <c r="W2057" s="11"/>
    </row>
    <row r="2058" spans="2:23" x14ac:dyDescent="0.35">
      <c r="B2058"/>
      <c r="C2058"/>
      <c r="D2058"/>
      <c r="E2058"/>
      <c r="F2058"/>
      <c r="G2058"/>
      <c r="H2058"/>
      <c r="I2058"/>
      <c r="J2058"/>
      <c r="K2058"/>
      <c r="L2058" s="11"/>
      <c r="M2058"/>
      <c r="N2058" s="3"/>
      <c r="O2058" s="11"/>
      <c r="P2058" s="11"/>
      <c r="Q2058" s="11"/>
      <c r="R2058" s="11"/>
      <c r="S2058" s="11"/>
      <c r="T2058" s="11"/>
      <c r="U2058" s="11"/>
      <c r="V2058" s="11"/>
      <c r="W2058" s="11"/>
    </row>
    <row r="2059" spans="2:23" x14ac:dyDescent="0.35">
      <c r="B2059"/>
      <c r="C2059"/>
      <c r="D2059"/>
      <c r="E2059"/>
      <c r="F2059"/>
      <c r="G2059"/>
      <c r="H2059"/>
      <c r="I2059"/>
      <c r="J2059"/>
      <c r="K2059"/>
      <c r="L2059" s="11"/>
      <c r="M2059"/>
      <c r="N2059" s="3"/>
      <c r="O2059" s="11"/>
      <c r="P2059" s="11"/>
      <c r="Q2059" s="11"/>
      <c r="R2059" s="11"/>
      <c r="S2059" s="11"/>
      <c r="T2059" s="11"/>
      <c r="U2059" s="11"/>
      <c r="V2059" s="11"/>
      <c r="W2059" s="11"/>
    </row>
    <row r="2060" spans="2:23" x14ac:dyDescent="0.35">
      <c r="B2060"/>
      <c r="C2060"/>
      <c r="D2060"/>
      <c r="E2060"/>
      <c r="F2060"/>
      <c r="G2060"/>
      <c r="H2060"/>
      <c r="I2060"/>
      <c r="J2060"/>
      <c r="K2060"/>
      <c r="L2060" s="11"/>
      <c r="M2060"/>
      <c r="N2060" s="3"/>
      <c r="O2060" s="11"/>
      <c r="P2060" s="11"/>
      <c r="Q2060" s="11"/>
      <c r="R2060" s="11"/>
      <c r="S2060" s="11"/>
      <c r="T2060" s="11"/>
      <c r="U2060" s="11"/>
      <c r="V2060" s="11"/>
      <c r="W2060" s="11"/>
    </row>
    <row r="2061" spans="2:23" x14ac:dyDescent="0.35">
      <c r="B2061"/>
      <c r="C2061"/>
      <c r="D2061"/>
      <c r="E2061"/>
      <c r="F2061"/>
      <c r="G2061"/>
      <c r="H2061"/>
      <c r="I2061"/>
      <c r="J2061"/>
      <c r="K2061"/>
      <c r="L2061" s="11"/>
      <c r="M2061"/>
      <c r="N2061" s="3"/>
      <c r="O2061" s="11"/>
      <c r="P2061" s="11"/>
      <c r="Q2061" s="11"/>
      <c r="R2061" s="11"/>
      <c r="S2061" s="11"/>
      <c r="T2061" s="11"/>
      <c r="U2061" s="11"/>
      <c r="V2061" s="11"/>
      <c r="W2061" s="11"/>
    </row>
    <row r="2062" spans="2:23" x14ac:dyDescent="0.35">
      <c r="B2062"/>
      <c r="C2062"/>
      <c r="D2062"/>
      <c r="E2062"/>
      <c r="F2062"/>
      <c r="G2062"/>
      <c r="H2062"/>
      <c r="I2062"/>
      <c r="J2062"/>
      <c r="K2062"/>
      <c r="L2062" s="11"/>
      <c r="M2062"/>
      <c r="N2062" s="3"/>
      <c r="O2062" s="11"/>
      <c r="P2062" s="11"/>
      <c r="Q2062" s="11"/>
      <c r="R2062" s="11"/>
      <c r="S2062" s="11"/>
      <c r="T2062" s="11"/>
      <c r="U2062" s="11"/>
      <c r="V2062" s="11"/>
      <c r="W2062" s="11"/>
    </row>
    <row r="2063" spans="2:23" x14ac:dyDescent="0.35">
      <c r="B2063"/>
      <c r="C2063"/>
      <c r="D2063"/>
      <c r="E2063"/>
      <c r="F2063"/>
      <c r="G2063"/>
      <c r="H2063"/>
      <c r="I2063"/>
      <c r="J2063"/>
      <c r="K2063"/>
      <c r="L2063" s="11"/>
      <c r="M2063"/>
      <c r="N2063" s="3"/>
      <c r="O2063" s="11"/>
      <c r="P2063" s="11"/>
      <c r="Q2063" s="11"/>
      <c r="R2063" s="11"/>
      <c r="S2063" s="11"/>
      <c r="T2063" s="11"/>
      <c r="U2063" s="11"/>
      <c r="V2063" s="11"/>
      <c r="W2063" s="11"/>
    </row>
    <row r="2064" spans="2:23" x14ac:dyDescent="0.35">
      <c r="B2064"/>
      <c r="C2064"/>
      <c r="D2064"/>
      <c r="E2064"/>
      <c r="F2064"/>
      <c r="G2064"/>
      <c r="H2064"/>
      <c r="I2064"/>
      <c r="J2064"/>
      <c r="K2064"/>
      <c r="L2064" s="11"/>
      <c r="M2064"/>
      <c r="N2064" s="3"/>
      <c r="O2064" s="11"/>
      <c r="P2064" s="11"/>
      <c r="Q2064" s="11"/>
      <c r="R2064" s="11"/>
      <c r="S2064" s="11"/>
      <c r="T2064" s="11"/>
      <c r="U2064" s="11"/>
      <c r="V2064" s="11"/>
      <c r="W2064" s="11"/>
    </row>
    <row r="2065" spans="2:23" x14ac:dyDescent="0.35">
      <c r="B2065"/>
      <c r="C2065"/>
      <c r="D2065"/>
      <c r="E2065"/>
      <c r="F2065"/>
      <c r="G2065"/>
      <c r="H2065"/>
      <c r="I2065"/>
      <c r="J2065"/>
      <c r="K2065"/>
      <c r="L2065" s="11"/>
      <c r="M2065"/>
      <c r="N2065" s="3"/>
      <c r="O2065" s="11"/>
      <c r="P2065" s="11"/>
      <c r="Q2065" s="11"/>
      <c r="R2065" s="11"/>
      <c r="S2065" s="11"/>
      <c r="T2065" s="11"/>
      <c r="U2065" s="11"/>
      <c r="V2065" s="11"/>
      <c r="W2065" s="11"/>
    </row>
    <row r="2066" spans="2:23" x14ac:dyDescent="0.35">
      <c r="B2066"/>
      <c r="C2066"/>
      <c r="D2066"/>
      <c r="E2066"/>
      <c r="F2066"/>
      <c r="G2066"/>
      <c r="H2066"/>
      <c r="I2066"/>
      <c r="J2066"/>
      <c r="K2066"/>
      <c r="L2066" s="11"/>
      <c r="M2066"/>
      <c r="N2066" s="3"/>
      <c r="O2066" s="11"/>
      <c r="P2066" s="11"/>
      <c r="Q2066" s="11"/>
      <c r="R2066" s="11"/>
      <c r="S2066" s="11"/>
      <c r="T2066" s="11"/>
      <c r="U2066" s="11"/>
      <c r="V2066" s="11"/>
      <c r="W2066" s="11"/>
    </row>
    <row r="2067" spans="2:23" x14ac:dyDescent="0.35">
      <c r="B2067"/>
      <c r="C2067"/>
      <c r="D2067"/>
      <c r="E2067"/>
      <c r="F2067"/>
      <c r="G2067"/>
      <c r="H2067"/>
      <c r="I2067"/>
      <c r="J2067"/>
      <c r="K2067"/>
      <c r="L2067" s="11"/>
      <c r="M2067"/>
      <c r="N2067" s="3"/>
      <c r="O2067" s="11"/>
      <c r="P2067" s="11"/>
      <c r="Q2067" s="11"/>
      <c r="R2067" s="11"/>
      <c r="S2067" s="11"/>
      <c r="T2067" s="11"/>
      <c r="U2067" s="11"/>
      <c r="V2067" s="11"/>
      <c r="W2067" s="11"/>
    </row>
    <row r="2068" spans="2:23" x14ac:dyDescent="0.35">
      <c r="B2068"/>
      <c r="C2068"/>
      <c r="D2068"/>
      <c r="E2068"/>
      <c r="F2068"/>
      <c r="G2068"/>
      <c r="H2068"/>
      <c r="I2068"/>
      <c r="J2068"/>
      <c r="K2068"/>
      <c r="L2068" s="11"/>
      <c r="M2068"/>
      <c r="N2068" s="3"/>
      <c r="O2068" s="11"/>
      <c r="P2068" s="11"/>
      <c r="Q2068" s="11"/>
      <c r="R2068" s="11"/>
      <c r="S2068" s="11"/>
      <c r="T2068" s="11"/>
      <c r="U2068" s="11"/>
      <c r="V2068" s="11"/>
      <c r="W2068" s="11"/>
    </row>
    <row r="2069" spans="2:23" x14ac:dyDescent="0.35">
      <c r="B2069"/>
      <c r="C2069"/>
      <c r="D2069"/>
      <c r="E2069"/>
      <c r="F2069"/>
      <c r="G2069"/>
      <c r="H2069"/>
      <c r="I2069"/>
      <c r="J2069"/>
      <c r="K2069"/>
      <c r="L2069" s="11"/>
      <c r="M2069"/>
      <c r="N2069" s="3"/>
      <c r="O2069" s="11"/>
      <c r="P2069" s="11"/>
      <c r="Q2069" s="11"/>
      <c r="R2069" s="11"/>
      <c r="S2069" s="11"/>
      <c r="T2069" s="11"/>
      <c r="U2069" s="11"/>
      <c r="V2069" s="11"/>
      <c r="W2069" s="11"/>
    </row>
    <row r="2070" spans="2:23" x14ac:dyDescent="0.35">
      <c r="B2070"/>
      <c r="C2070"/>
      <c r="D2070"/>
      <c r="E2070"/>
      <c r="F2070"/>
      <c r="G2070"/>
      <c r="H2070"/>
      <c r="I2070"/>
      <c r="J2070"/>
      <c r="K2070"/>
      <c r="L2070" s="11"/>
      <c r="M2070"/>
      <c r="N2070" s="3"/>
      <c r="O2070" s="11"/>
      <c r="P2070" s="11"/>
      <c r="Q2070" s="11"/>
      <c r="R2070" s="11"/>
      <c r="S2070" s="11"/>
      <c r="T2070" s="11"/>
      <c r="U2070" s="11"/>
      <c r="V2070" s="11"/>
      <c r="W2070" s="11"/>
    </row>
    <row r="2071" spans="2:23" x14ac:dyDescent="0.35">
      <c r="B2071"/>
      <c r="C2071"/>
      <c r="D2071"/>
      <c r="E2071"/>
      <c r="F2071"/>
      <c r="G2071"/>
      <c r="H2071"/>
      <c r="I2071"/>
      <c r="J2071"/>
      <c r="K2071"/>
      <c r="L2071" s="11"/>
      <c r="M2071"/>
      <c r="N2071" s="3"/>
      <c r="O2071" s="11"/>
      <c r="P2071" s="11"/>
      <c r="Q2071" s="11"/>
      <c r="R2071" s="11"/>
      <c r="S2071" s="11"/>
      <c r="T2071" s="11"/>
      <c r="U2071" s="11"/>
      <c r="V2071" s="11"/>
      <c r="W2071" s="11"/>
    </row>
    <row r="2072" spans="2:23" x14ac:dyDescent="0.35">
      <c r="B2072"/>
      <c r="C2072"/>
      <c r="D2072"/>
      <c r="E2072"/>
      <c r="F2072"/>
      <c r="G2072"/>
      <c r="H2072"/>
      <c r="I2072"/>
      <c r="J2072"/>
      <c r="K2072"/>
      <c r="L2072" s="11"/>
      <c r="M2072"/>
      <c r="N2072" s="3"/>
      <c r="O2072" s="11"/>
      <c r="P2072" s="11"/>
      <c r="Q2072" s="11"/>
      <c r="R2072" s="11"/>
      <c r="S2072" s="11"/>
      <c r="T2072" s="11"/>
      <c r="U2072" s="11"/>
      <c r="V2072" s="11"/>
      <c r="W2072" s="11"/>
    </row>
    <row r="2073" spans="2:23" x14ac:dyDescent="0.35">
      <c r="B2073"/>
      <c r="C2073"/>
      <c r="D2073"/>
      <c r="E2073"/>
      <c r="F2073"/>
      <c r="G2073"/>
      <c r="H2073"/>
      <c r="I2073"/>
      <c r="J2073"/>
      <c r="K2073"/>
      <c r="L2073" s="11"/>
      <c r="M2073"/>
      <c r="N2073" s="3"/>
      <c r="O2073" s="11"/>
      <c r="P2073" s="11"/>
      <c r="Q2073" s="11"/>
      <c r="R2073" s="11"/>
      <c r="S2073" s="11"/>
      <c r="T2073" s="11"/>
      <c r="U2073" s="11"/>
      <c r="V2073" s="11"/>
      <c r="W2073" s="11"/>
    </row>
    <row r="2074" spans="2:23" x14ac:dyDescent="0.35">
      <c r="B2074"/>
      <c r="C2074"/>
      <c r="D2074"/>
      <c r="E2074"/>
      <c r="F2074"/>
      <c r="G2074"/>
      <c r="H2074"/>
      <c r="I2074"/>
      <c r="J2074"/>
      <c r="K2074"/>
      <c r="L2074" s="11"/>
      <c r="M2074"/>
      <c r="N2074" s="3"/>
      <c r="O2074" s="11"/>
      <c r="P2074" s="11"/>
      <c r="Q2074" s="11"/>
      <c r="R2074" s="11"/>
      <c r="S2074" s="11"/>
      <c r="T2074" s="11"/>
      <c r="U2074" s="11"/>
      <c r="V2074" s="11"/>
      <c r="W2074" s="11"/>
    </row>
    <row r="2075" spans="2:23" x14ac:dyDescent="0.35">
      <c r="B2075"/>
      <c r="C2075"/>
      <c r="D2075"/>
      <c r="E2075"/>
      <c r="F2075"/>
      <c r="G2075"/>
      <c r="H2075"/>
      <c r="I2075"/>
      <c r="J2075"/>
      <c r="K2075"/>
      <c r="L2075" s="11"/>
      <c r="M2075"/>
      <c r="N2075" s="3"/>
      <c r="O2075" s="11"/>
      <c r="P2075" s="11"/>
      <c r="Q2075" s="11"/>
      <c r="R2075" s="11"/>
      <c r="S2075" s="11"/>
      <c r="T2075" s="11"/>
      <c r="U2075" s="11"/>
      <c r="V2075" s="11"/>
      <c r="W2075" s="11"/>
    </row>
    <row r="2076" spans="2:23" x14ac:dyDescent="0.35">
      <c r="B2076"/>
      <c r="C2076"/>
      <c r="D2076"/>
      <c r="E2076"/>
      <c r="F2076"/>
      <c r="G2076"/>
      <c r="H2076"/>
      <c r="I2076"/>
      <c r="J2076"/>
      <c r="K2076"/>
      <c r="L2076" s="11"/>
      <c r="M2076"/>
      <c r="N2076" s="3"/>
      <c r="O2076" s="11"/>
      <c r="P2076" s="11"/>
      <c r="Q2076" s="11"/>
      <c r="R2076" s="11"/>
      <c r="S2076" s="11"/>
      <c r="T2076" s="11"/>
      <c r="U2076" s="11"/>
      <c r="V2076" s="11"/>
      <c r="W2076" s="11"/>
    </row>
    <row r="2077" spans="2:23" x14ac:dyDescent="0.35">
      <c r="B2077"/>
      <c r="C2077"/>
      <c r="D2077"/>
      <c r="E2077"/>
      <c r="F2077"/>
      <c r="G2077"/>
      <c r="H2077"/>
      <c r="I2077"/>
      <c r="J2077"/>
      <c r="K2077"/>
      <c r="L2077" s="11"/>
      <c r="M2077"/>
      <c r="N2077" s="3"/>
      <c r="O2077" s="11"/>
      <c r="P2077" s="11"/>
      <c r="Q2077" s="11"/>
      <c r="R2077" s="11"/>
      <c r="S2077" s="11"/>
      <c r="T2077" s="11"/>
      <c r="U2077" s="11"/>
      <c r="V2077" s="11"/>
      <c r="W2077" s="11"/>
    </row>
    <row r="2078" spans="2:23" x14ac:dyDescent="0.35">
      <c r="B2078"/>
      <c r="C2078"/>
      <c r="D2078"/>
      <c r="E2078"/>
      <c r="F2078"/>
      <c r="G2078"/>
      <c r="H2078"/>
      <c r="I2078"/>
      <c r="J2078"/>
      <c r="K2078"/>
      <c r="L2078" s="11"/>
      <c r="M2078"/>
      <c r="N2078" s="3"/>
      <c r="O2078" s="11"/>
      <c r="P2078" s="11"/>
      <c r="Q2078" s="11"/>
      <c r="R2078" s="11"/>
      <c r="S2078" s="11"/>
      <c r="T2078" s="11"/>
      <c r="U2078" s="11"/>
      <c r="V2078" s="11"/>
      <c r="W2078" s="11"/>
    </row>
    <row r="2079" spans="2:23" x14ac:dyDescent="0.35">
      <c r="B2079"/>
      <c r="C2079"/>
      <c r="D2079"/>
      <c r="E2079"/>
      <c r="F2079"/>
      <c r="G2079"/>
      <c r="H2079"/>
      <c r="I2079"/>
      <c r="J2079"/>
      <c r="K2079"/>
      <c r="L2079" s="11"/>
      <c r="M2079"/>
      <c r="N2079" s="3"/>
      <c r="O2079" s="11"/>
      <c r="P2079" s="11"/>
      <c r="Q2079" s="11"/>
      <c r="R2079" s="11"/>
      <c r="S2079" s="11"/>
      <c r="T2079" s="11"/>
      <c r="U2079" s="11"/>
      <c r="V2079" s="11"/>
      <c r="W2079" s="11"/>
    </row>
    <row r="2080" spans="2:23" x14ac:dyDescent="0.35">
      <c r="B2080"/>
      <c r="C2080"/>
      <c r="D2080"/>
      <c r="E2080"/>
      <c r="F2080"/>
      <c r="G2080"/>
      <c r="H2080"/>
      <c r="I2080"/>
      <c r="J2080"/>
      <c r="K2080"/>
      <c r="L2080" s="11"/>
      <c r="M2080"/>
      <c r="N2080" s="3"/>
      <c r="O2080" s="11"/>
      <c r="P2080" s="11"/>
      <c r="Q2080" s="11"/>
      <c r="R2080" s="11"/>
      <c r="S2080" s="11"/>
      <c r="T2080" s="11"/>
      <c r="U2080" s="11"/>
      <c r="V2080" s="11"/>
      <c r="W2080" s="11"/>
    </row>
    <row r="2081" spans="2:23" x14ac:dyDescent="0.35">
      <c r="B2081"/>
      <c r="C2081"/>
      <c r="D2081"/>
      <c r="E2081"/>
      <c r="F2081"/>
      <c r="G2081"/>
      <c r="H2081"/>
      <c r="I2081"/>
      <c r="J2081"/>
      <c r="K2081"/>
      <c r="L2081" s="11"/>
      <c r="M2081"/>
      <c r="N2081" s="3"/>
      <c r="O2081" s="11"/>
      <c r="P2081" s="11"/>
      <c r="Q2081" s="11"/>
      <c r="R2081" s="11"/>
      <c r="S2081" s="11"/>
      <c r="T2081" s="11"/>
      <c r="U2081" s="11"/>
      <c r="V2081" s="11"/>
      <c r="W2081" s="11"/>
    </row>
    <row r="2082" spans="2:23" x14ac:dyDescent="0.35">
      <c r="B2082"/>
      <c r="C2082"/>
      <c r="D2082"/>
      <c r="E2082"/>
      <c r="F2082"/>
      <c r="G2082"/>
      <c r="H2082"/>
      <c r="I2082"/>
      <c r="J2082"/>
      <c r="K2082"/>
      <c r="L2082" s="11"/>
      <c r="M2082"/>
      <c r="N2082" s="3"/>
      <c r="O2082" s="11"/>
      <c r="P2082" s="11"/>
      <c r="Q2082" s="11"/>
      <c r="R2082" s="11"/>
      <c r="S2082" s="11"/>
      <c r="T2082" s="11"/>
      <c r="U2082" s="11"/>
      <c r="V2082" s="11"/>
      <c r="W2082" s="11"/>
    </row>
    <row r="2083" spans="2:23" x14ac:dyDescent="0.35">
      <c r="B2083"/>
      <c r="C2083"/>
      <c r="D2083"/>
      <c r="E2083"/>
      <c r="F2083"/>
      <c r="G2083"/>
      <c r="H2083"/>
      <c r="I2083"/>
      <c r="J2083"/>
      <c r="K2083"/>
      <c r="L2083" s="11"/>
      <c r="M2083"/>
      <c r="N2083" s="3"/>
      <c r="O2083" s="11"/>
      <c r="P2083" s="11"/>
      <c r="Q2083" s="11"/>
      <c r="R2083" s="11"/>
      <c r="S2083" s="11"/>
      <c r="T2083" s="11"/>
      <c r="U2083" s="11"/>
      <c r="V2083" s="11"/>
      <c r="W2083" s="11"/>
    </row>
    <row r="2084" spans="2:23" x14ac:dyDescent="0.35">
      <c r="B2084"/>
      <c r="C2084"/>
      <c r="D2084"/>
      <c r="E2084"/>
      <c r="F2084"/>
      <c r="G2084"/>
      <c r="H2084"/>
      <c r="I2084"/>
      <c r="J2084"/>
      <c r="K2084"/>
      <c r="L2084" s="11"/>
      <c r="M2084"/>
      <c r="N2084" s="3"/>
      <c r="O2084" s="11"/>
      <c r="P2084" s="11"/>
      <c r="Q2084" s="11"/>
      <c r="R2084" s="11"/>
      <c r="S2084" s="11"/>
      <c r="T2084" s="11"/>
      <c r="U2084" s="11"/>
      <c r="V2084" s="11"/>
      <c r="W2084" s="11"/>
    </row>
    <row r="2085" spans="2:23" x14ac:dyDescent="0.35">
      <c r="B2085"/>
      <c r="C2085"/>
      <c r="D2085"/>
      <c r="E2085"/>
      <c r="F2085"/>
      <c r="G2085"/>
      <c r="H2085"/>
      <c r="I2085"/>
      <c r="J2085"/>
      <c r="K2085"/>
      <c r="L2085" s="11"/>
      <c r="M2085"/>
      <c r="N2085" s="3"/>
      <c r="O2085" s="11"/>
      <c r="P2085" s="11"/>
      <c r="Q2085" s="11"/>
      <c r="R2085" s="11"/>
      <c r="S2085" s="11"/>
      <c r="T2085" s="11"/>
      <c r="U2085" s="11"/>
      <c r="V2085" s="11"/>
      <c r="W2085" s="11"/>
    </row>
    <row r="2086" spans="2:23" x14ac:dyDescent="0.35">
      <c r="B2086"/>
      <c r="C2086"/>
      <c r="D2086"/>
      <c r="E2086"/>
      <c r="F2086"/>
      <c r="G2086"/>
      <c r="H2086"/>
      <c r="I2086"/>
      <c r="J2086"/>
      <c r="K2086"/>
      <c r="L2086" s="11"/>
      <c r="M2086"/>
      <c r="N2086" s="3"/>
      <c r="O2086" s="11"/>
      <c r="P2086" s="11"/>
      <c r="Q2086" s="11"/>
      <c r="R2086" s="11"/>
      <c r="S2086" s="11"/>
      <c r="T2086" s="11"/>
      <c r="U2086" s="11"/>
      <c r="V2086" s="11"/>
      <c r="W2086" s="11"/>
    </row>
    <row r="2087" spans="2:23" x14ac:dyDescent="0.35">
      <c r="B2087"/>
      <c r="C2087"/>
      <c r="D2087"/>
      <c r="E2087"/>
      <c r="F2087"/>
      <c r="G2087"/>
      <c r="H2087"/>
      <c r="I2087"/>
      <c r="J2087"/>
      <c r="K2087"/>
      <c r="L2087" s="11"/>
      <c r="M2087"/>
      <c r="N2087" s="3"/>
      <c r="O2087" s="11"/>
      <c r="P2087" s="11"/>
      <c r="Q2087" s="11"/>
      <c r="R2087" s="11"/>
      <c r="S2087" s="11"/>
      <c r="T2087" s="11"/>
      <c r="U2087" s="11"/>
      <c r="V2087" s="11"/>
      <c r="W2087" s="11"/>
    </row>
    <row r="2088" spans="2:23" x14ac:dyDescent="0.35">
      <c r="B2088"/>
      <c r="C2088"/>
      <c r="D2088"/>
      <c r="E2088"/>
      <c r="F2088"/>
      <c r="G2088"/>
      <c r="H2088"/>
      <c r="I2088"/>
      <c r="J2088"/>
      <c r="K2088"/>
      <c r="L2088" s="11"/>
      <c r="M2088"/>
      <c r="N2088" s="3"/>
      <c r="O2088" s="11"/>
      <c r="P2088" s="11"/>
      <c r="Q2088" s="11"/>
      <c r="R2088" s="11"/>
      <c r="S2088" s="11"/>
      <c r="T2088" s="11"/>
      <c r="U2088" s="11"/>
      <c r="V2088" s="11"/>
      <c r="W2088" s="11"/>
    </row>
    <row r="2089" spans="2:23" x14ac:dyDescent="0.35">
      <c r="B2089"/>
      <c r="C2089"/>
      <c r="D2089"/>
      <c r="E2089"/>
      <c r="F2089"/>
      <c r="G2089"/>
      <c r="H2089"/>
      <c r="I2089"/>
      <c r="J2089"/>
      <c r="K2089"/>
      <c r="L2089" s="11"/>
      <c r="M2089"/>
      <c r="N2089" s="3"/>
      <c r="O2089" s="11"/>
      <c r="P2089" s="11"/>
      <c r="Q2089" s="11"/>
      <c r="R2089" s="11"/>
      <c r="S2089" s="11"/>
      <c r="T2089" s="11"/>
      <c r="U2089" s="11"/>
      <c r="V2089" s="11"/>
      <c r="W2089" s="11"/>
    </row>
    <row r="2090" spans="2:23" x14ac:dyDescent="0.35">
      <c r="B2090"/>
      <c r="C2090"/>
      <c r="D2090"/>
      <c r="E2090"/>
      <c r="F2090"/>
      <c r="G2090"/>
      <c r="H2090"/>
      <c r="I2090"/>
      <c r="J2090"/>
      <c r="K2090"/>
      <c r="L2090" s="11"/>
      <c r="M2090"/>
      <c r="N2090" s="3"/>
      <c r="O2090" s="11"/>
      <c r="P2090" s="11"/>
      <c r="Q2090" s="11"/>
      <c r="R2090" s="11"/>
      <c r="S2090" s="11"/>
      <c r="T2090" s="11"/>
      <c r="U2090" s="11"/>
      <c r="V2090" s="11"/>
      <c r="W2090" s="11"/>
    </row>
    <row r="2091" spans="2:23" x14ac:dyDescent="0.35">
      <c r="B2091"/>
      <c r="C2091"/>
      <c r="D2091"/>
      <c r="E2091"/>
      <c r="F2091"/>
      <c r="G2091"/>
      <c r="H2091"/>
      <c r="I2091"/>
      <c r="J2091"/>
      <c r="K2091"/>
      <c r="L2091" s="11"/>
      <c r="M2091"/>
      <c r="N2091" s="3"/>
      <c r="O2091" s="11"/>
      <c r="P2091" s="11"/>
      <c r="Q2091" s="11"/>
      <c r="R2091" s="11"/>
      <c r="S2091" s="11"/>
      <c r="T2091" s="11"/>
      <c r="U2091" s="11"/>
      <c r="V2091" s="11"/>
      <c r="W2091" s="11"/>
    </row>
    <row r="2092" spans="2:23" x14ac:dyDescent="0.35">
      <c r="B2092"/>
      <c r="C2092"/>
      <c r="D2092"/>
      <c r="E2092"/>
      <c r="F2092"/>
      <c r="G2092"/>
      <c r="H2092"/>
      <c r="I2092"/>
      <c r="J2092"/>
      <c r="K2092"/>
      <c r="L2092" s="11"/>
      <c r="M2092"/>
      <c r="N2092" s="3"/>
      <c r="O2092" s="11"/>
      <c r="P2092" s="11"/>
      <c r="Q2092" s="11"/>
      <c r="R2092" s="11"/>
      <c r="S2092" s="11"/>
      <c r="T2092" s="11"/>
      <c r="U2092" s="11"/>
      <c r="V2092" s="11"/>
      <c r="W2092" s="11"/>
    </row>
    <row r="2093" spans="2:23" x14ac:dyDescent="0.35">
      <c r="B2093"/>
      <c r="C2093"/>
      <c r="D2093"/>
      <c r="E2093"/>
      <c r="F2093"/>
      <c r="G2093"/>
      <c r="H2093"/>
      <c r="I2093"/>
      <c r="J2093"/>
      <c r="K2093"/>
      <c r="L2093" s="11"/>
      <c r="M2093"/>
      <c r="N2093" s="3"/>
      <c r="O2093" s="11"/>
      <c r="P2093" s="11"/>
      <c r="Q2093" s="11"/>
      <c r="R2093" s="11"/>
      <c r="S2093" s="11"/>
      <c r="T2093" s="11"/>
      <c r="U2093" s="11"/>
      <c r="V2093" s="11"/>
      <c r="W2093" s="11"/>
    </row>
    <row r="2094" spans="2:23" x14ac:dyDescent="0.35">
      <c r="B2094"/>
      <c r="C2094"/>
      <c r="D2094"/>
      <c r="E2094"/>
      <c r="F2094"/>
      <c r="G2094"/>
      <c r="H2094"/>
      <c r="I2094"/>
      <c r="J2094"/>
      <c r="K2094"/>
      <c r="L2094" s="11"/>
      <c r="M2094"/>
      <c r="N2094" s="3"/>
      <c r="O2094" s="11"/>
      <c r="P2094" s="11"/>
      <c r="Q2094" s="11"/>
      <c r="R2094" s="11"/>
      <c r="S2094" s="11"/>
      <c r="T2094" s="11"/>
      <c r="U2094" s="11"/>
      <c r="V2094" s="11"/>
      <c r="W2094" s="11"/>
    </row>
    <row r="2095" spans="2:23" x14ac:dyDescent="0.35">
      <c r="B2095"/>
      <c r="C2095"/>
      <c r="D2095"/>
      <c r="E2095"/>
      <c r="F2095"/>
      <c r="G2095"/>
      <c r="H2095"/>
      <c r="I2095"/>
      <c r="J2095"/>
      <c r="K2095"/>
      <c r="L2095" s="11"/>
      <c r="M2095"/>
      <c r="N2095" s="3"/>
      <c r="O2095" s="11"/>
      <c r="P2095" s="11"/>
      <c r="Q2095" s="11"/>
      <c r="R2095" s="11"/>
      <c r="S2095" s="11"/>
      <c r="T2095" s="11"/>
      <c r="U2095" s="11"/>
      <c r="V2095" s="11"/>
      <c r="W2095" s="11"/>
    </row>
    <row r="2096" spans="2:23" x14ac:dyDescent="0.35">
      <c r="B2096"/>
      <c r="C2096"/>
      <c r="D2096"/>
      <c r="E2096"/>
      <c r="F2096"/>
      <c r="G2096"/>
      <c r="H2096"/>
      <c r="I2096"/>
      <c r="J2096"/>
      <c r="K2096"/>
      <c r="L2096" s="11"/>
      <c r="M2096"/>
      <c r="N2096" s="3"/>
      <c r="O2096" s="11"/>
      <c r="P2096" s="11"/>
      <c r="Q2096" s="11"/>
      <c r="R2096" s="11"/>
      <c r="S2096" s="11"/>
      <c r="T2096" s="11"/>
      <c r="U2096" s="11"/>
      <c r="V2096" s="11"/>
      <c r="W2096" s="11"/>
    </row>
    <row r="2097" spans="2:23" x14ac:dyDescent="0.35">
      <c r="B2097"/>
      <c r="C2097"/>
      <c r="D2097"/>
      <c r="E2097"/>
      <c r="F2097"/>
      <c r="G2097"/>
      <c r="H2097"/>
      <c r="I2097"/>
      <c r="J2097"/>
      <c r="K2097"/>
      <c r="L2097" s="11"/>
      <c r="M2097"/>
      <c r="N2097" s="3"/>
      <c r="O2097" s="11"/>
      <c r="P2097" s="11"/>
      <c r="Q2097" s="11"/>
      <c r="R2097" s="11"/>
      <c r="S2097" s="11"/>
      <c r="T2097" s="11"/>
      <c r="U2097" s="11"/>
      <c r="V2097" s="11"/>
      <c r="W2097" s="11"/>
    </row>
    <row r="2098" spans="2:23" x14ac:dyDescent="0.35">
      <c r="B2098"/>
      <c r="C2098"/>
      <c r="D2098"/>
      <c r="E2098"/>
      <c r="F2098"/>
      <c r="G2098"/>
      <c r="H2098"/>
      <c r="I2098"/>
      <c r="J2098"/>
      <c r="K2098"/>
      <c r="L2098" s="11"/>
      <c r="M2098"/>
      <c r="N2098" s="3"/>
      <c r="O2098" s="11"/>
      <c r="P2098" s="11"/>
      <c r="Q2098" s="11"/>
      <c r="R2098" s="11"/>
      <c r="S2098" s="11"/>
      <c r="T2098" s="11"/>
      <c r="U2098" s="11"/>
      <c r="V2098" s="11"/>
      <c r="W2098" s="11"/>
    </row>
    <row r="2099" spans="2:23" x14ac:dyDescent="0.35">
      <c r="B2099"/>
      <c r="C2099"/>
      <c r="D2099"/>
      <c r="E2099"/>
      <c r="F2099"/>
      <c r="G2099"/>
      <c r="H2099"/>
      <c r="I2099"/>
      <c r="J2099"/>
      <c r="K2099"/>
      <c r="L2099" s="11"/>
      <c r="M2099"/>
      <c r="N2099" s="3"/>
      <c r="O2099" s="11"/>
      <c r="P2099" s="11"/>
      <c r="Q2099" s="11"/>
      <c r="R2099" s="11"/>
      <c r="S2099" s="11"/>
      <c r="T2099" s="11"/>
      <c r="U2099" s="11"/>
      <c r="V2099" s="11"/>
      <c r="W2099" s="11"/>
    </row>
    <row r="2100" spans="2:23" x14ac:dyDescent="0.35">
      <c r="B2100"/>
      <c r="C2100"/>
      <c r="D2100"/>
      <c r="E2100"/>
      <c r="F2100"/>
      <c r="G2100"/>
      <c r="H2100"/>
      <c r="I2100"/>
      <c r="J2100"/>
      <c r="K2100"/>
      <c r="L2100" s="11"/>
      <c r="M2100"/>
      <c r="N2100" s="3"/>
      <c r="O2100" s="11"/>
      <c r="P2100" s="11"/>
      <c r="Q2100" s="11"/>
      <c r="R2100" s="11"/>
      <c r="S2100" s="11"/>
      <c r="T2100" s="11"/>
      <c r="U2100" s="11"/>
      <c r="V2100" s="11"/>
      <c r="W2100" s="11"/>
    </row>
    <row r="2101" spans="2:23" x14ac:dyDescent="0.35">
      <c r="B2101"/>
      <c r="C2101"/>
      <c r="D2101"/>
      <c r="E2101"/>
      <c r="F2101"/>
      <c r="G2101"/>
      <c r="H2101"/>
      <c r="I2101"/>
      <c r="J2101"/>
      <c r="K2101"/>
      <c r="L2101" s="11"/>
      <c r="M2101"/>
      <c r="N2101" s="3"/>
      <c r="O2101" s="11"/>
      <c r="P2101" s="11"/>
      <c r="Q2101" s="11"/>
      <c r="R2101" s="11"/>
      <c r="S2101" s="11"/>
      <c r="T2101" s="11"/>
      <c r="U2101" s="11"/>
      <c r="V2101" s="11"/>
      <c r="W2101" s="11"/>
    </row>
    <row r="2102" spans="2:23" x14ac:dyDescent="0.35">
      <c r="B2102"/>
      <c r="C2102"/>
      <c r="D2102"/>
      <c r="E2102"/>
      <c r="F2102"/>
      <c r="G2102"/>
      <c r="H2102"/>
      <c r="I2102"/>
      <c r="J2102"/>
      <c r="K2102"/>
      <c r="L2102" s="11"/>
      <c r="M2102"/>
      <c r="N2102" s="3"/>
      <c r="O2102" s="11"/>
      <c r="P2102" s="11"/>
      <c r="Q2102" s="11"/>
      <c r="R2102" s="11"/>
      <c r="S2102" s="11"/>
      <c r="T2102" s="11"/>
      <c r="U2102" s="11"/>
      <c r="V2102" s="11"/>
      <c r="W2102" s="11"/>
    </row>
    <row r="2103" spans="2:23" x14ac:dyDescent="0.35">
      <c r="B2103"/>
      <c r="C2103"/>
      <c r="D2103"/>
      <c r="E2103"/>
      <c r="F2103"/>
      <c r="G2103"/>
      <c r="H2103"/>
      <c r="I2103"/>
      <c r="J2103"/>
      <c r="K2103"/>
      <c r="L2103" s="11"/>
      <c r="M2103"/>
      <c r="N2103" s="3"/>
      <c r="O2103" s="11"/>
      <c r="P2103" s="11"/>
      <c r="Q2103" s="11"/>
      <c r="R2103" s="11"/>
      <c r="S2103" s="11"/>
      <c r="T2103" s="11"/>
      <c r="U2103" s="11"/>
      <c r="V2103" s="11"/>
      <c r="W2103" s="11"/>
    </row>
    <row r="2104" spans="2:23" x14ac:dyDescent="0.35">
      <c r="B2104"/>
      <c r="C2104"/>
      <c r="D2104"/>
      <c r="E2104"/>
      <c r="F2104"/>
      <c r="G2104"/>
      <c r="H2104"/>
      <c r="I2104"/>
      <c r="J2104"/>
      <c r="K2104"/>
      <c r="L2104" s="11"/>
      <c r="M2104"/>
      <c r="N2104" s="3"/>
      <c r="O2104" s="11"/>
      <c r="P2104" s="11"/>
      <c r="Q2104" s="11"/>
      <c r="R2104" s="11"/>
      <c r="S2104" s="11"/>
      <c r="T2104" s="11"/>
      <c r="U2104" s="11"/>
      <c r="V2104" s="11"/>
      <c r="W2104" s="11"/>
    </row>
    <row r="2105" spans="2:23" x14ac:dyDescent="0.35">
      <c r="B2105"/>
      <c r="C2105"/>
      <c r="D2105"/>
      <c r="E2105"/>
      <c r="F2105"/>
      <c r="G2105"/>
      <c r="H2105"/>
      <c r="I2105"/>
      <c r="J2105"/>
      <c r="K2105"/>
      <c r="L2105" s="11"/>
      <c r="M2105"/>
      <c r="N2105" s="3"/>
      <c r="O2105" s="11"/>
      <c r="P2105" s="11"/>
      <c r="Q2105" s="11"/>
      <c r="R2105" s="11"/>
      <c r="S2105" s="11"/>
      <c r="T2105" s="11"/>
      <c r="U2105" s="11"/>
      <c r="V2105" s="11"/>
      <c r="W2105" s="11"/>
    </row>
    <row r="2106" spans="2:23" x14ac:dyDescent="0.35">
      <c r="B2106"/>
      <c r="C2106"/>
      <c r="D2106"/>
      <c r="E2106"/>
      <c r="F2106"/>
      <c r="G2106"/>
      <c r="H2106"/>
      <c r="I2106"/>
      <c r="J2106"/>
      <c r="K2106"/>
      <c r="L2106" s="11"/>
      <c r="M2106"/>
      <c r="N2106" s="3"/>
      <c r="O2106" s="11"/>
      <c r="P2106" s="11"/>
      <c r="Q2106" s="11"/>
      <c r="R2106" s="11"/>
      <c r="S2106" s="11"/>
      <c r="T2106" s="11"/>
      <c r="U2106" s="11"/>
      <c r="V2106" s="11"/>
      <c r="W2106" s="11"/>
    </row>
    <row r="2107" spans="2:23" x14ac:dyDescent="0.35">
      <c r="B2107"/>
      <c r="C2107"/>
      <c r="D2107"/>
      <c r="E2107"/>
      <c r="F2107"/>
      <c r="G2107"/>
      <c r="H2107"/>
      <c r="I2107"/>
      <c r="J2107"/>
      <c r="K2107"/>
      <c r="L2107" s="11"/>
      <c r="M2107"/>
      <c r="N2107" s="3"/>
      <c r="O2107" s="11"/>
      <c r="P2107" s="11"/>
      <c r="Q2107" s="11"/>
      <c r="R2107" s="11"/>
      <c r="S2107" s="11"/>
      <c r="T2107" s="11"/>
      <c r="U2107" s="11"/>
      <c r="V2107" s="11"/>
      <c r="W2107" s="11"/>
    </row>
    <row r="2108" spans="2:23" x14ac:dyDescent="0.35">
      <c r="B2108"/>
      <c r="C2108"/>
      <c r="D2108"/>
      <c r="E2108"/>
      <c r="F2108"/>
      <c r="G2108"/>
      <c r="H2108"/>
      <c r="I2108"/>
      <c r="J2108"/>
      <c r="K2108"/>
      <c r="L2108" s="11"/>
      <c r="M2108"/>
      <c r="N2108" s="3"/>
      <c r="O2108" s="11"/>
      <c r="P2108" s="11"/>
      <c r="Q2108" s="11"/>
      <c r="R2108" s="11"/>
      <c r="S2108" s="11"/>
      <c r="T2108" s="11"/>
      <c r="U2108" s="11"/>
      <c r="V2108" s="11"/>
      <c r="W2108" s="11"/>
    </row>
    <row r="2109" spans="2:23" x14ac:dyDescent="0.35">
      <c r="B2109"/>
      <c r="C2109"/>
      <c r="D2109"/>
      <c r="E2109"/>
      <c r="F2109"/>
      <c r="G2109"/>
      <c r="H2109"/>
      <c r="I2109"/>
      <c r="J2109"/>
      <c r="K2109"/>
      <c r="L2109" s="11"/>
      <c r="M2109"/>
      <c r="N2109" s="3"/>
      <c r="O2109" s="11"/>
      <c r="P2109" s="11"/>
      <c r="Q2109" s="11"/>
      <c r="R2109" s="11"/>
      <c r="S2109" s="11"/>
      <c r="T2109" s="11"/>
      <c r="U2109" s="11"/>
      <c r="V2109" s="11"/>
      <c r="W2109" s="11"/>
    </row>
    <row r="2110" spans="2:23" x14ac:dyDescent="0.35">
      <c r="B2110"/>
      <c r="C2110"/>
      <c r="D2110"/>
      <c r="E2110"/>
      <c r="F2110"/>
      <c r="G2110"/>
      <c r="H2110"/>
      <c r="I2110"/>
      <c r="J2110"/>
      <c r="K2110"/>
      <c r="L2110" s="11"/>
      <c r="M2110"/>
      <c r="N2110" s="3"/>
      <c r="O2110" s="11"/>
      <c r="P2110" s="11"/>
      <c r="Q2110" s="11"/>
      <c r="R2110" s="11"/>
      <c r="S2110" s="11"/>
      <c r="T2110" s="11"/>
      <c r="U2110" s="11"/>
      <c r="V2110" s="11"/>
      <c r="W2110" s="11"/>
    </row>
    <row r="2111" spans="2:23" x14ac:dyDescent="0.35">
      <c r="B2111"/>
      <c r="C2111"/>
      <c r="D2111"/>
      <c r="E2111"/>
      <c r="F2111"/>
      <c r="G2111"/>
      <c r="H2111"/>
      <c r="I2111"/>
      <c r="J2111"/>
      <c r="K2111"/>
      <c r="L2111" s="11"/>
      <c r="M2111"/>
      <c r="N2111" s="3"/>
      <c r="O2111" s="11"/>
      <c r="P2111" s="11"/>
      <c r="Q2111" s="11"/>
      <c r="R2111" s="11"/>
      <c r="S2111" s="11"/>
      <c r="T2111" s="11"/>
      <c r="U2111" s="11"/>
      <c r="V2111" s="11"/>
      <c r="W2111" s="11"/>
    </row>
    <row r="2112" spans="2:23" x14ac:dyDescent="0.35">
      <c r="B2112"/>
      <c r="C2112"/>
      <c r="D2112"/>
      <c r="E2112"/>
      <c r="F2112"/>
      <c r="G2112"/>
      <c r="H2112"/>
      <c r="I2112"/>
      <c r="J2112"/>
      <c r="K2112"/>
      <c r="L2112" s="11"/>
      <c r="M2112"/>
      <c r="N2112" s="3"/>
      <c r="O2112" s="11"/>
      <c r="P2112" s="11"/>
      <c r="Q2112" s="11"/>
      <c r="R2112" s="11"/>
      <c r="S2112" s="11"/>
      <c r="T2112" s="11"/>
      <c r="U2112" s="11"/>
      <c r="V2112" s="11"/>
      <c r="W2112" s="11"/>
    </row>
    <row r="2113" spans="2:23" x14ac:dyDescent="0.35">
      <c r="B2113"/>
      <c r="C2113"/>
      <c r="D2113"/>
      <c r="E2113"/>
      <c r="F2113"/>
      <c r="G2113"/>
      <c r="H2113"/>
      <c r="I2113"/>
      <c r="J2113"/>
      <c r="K2113"/>
      <c r="L2113" s="11"/>
      <c r="M2113"/>
      <c r="N2113" s="3"/>
      <c r="O2113" s="11"/>
      <c r="P2113" s="11"/>
      <c r="Q2113" s="11"/>
      <c r="R2113" s="11"/>
      <c r="S2113" s="11"/>
      <c r="T2113" s="11"/>
      <c r="U2113" s="11"/>
      <c r="V2113" s="11"/>
      <c r="W2113" s="11"/>
    </row>
    <row r="2114" spans="2:23" x14ac:dyDescent="0.35">
      <c r="B2114"/>
      <c r="C2114"/>
      <c r="D2114"/>
      <c r="E2114"/>
      <c r="F2114"/>
      <c r="G2114"/>
      <c r="H2114"/>
      <c r="I2114"/>
      <c r="J2114"/>
      <c r="K2114"/>
      <c r="L2114" s="11"/>
      <c r="M2114"/>
      <c r="N2114" s="3"/>
      <c r="O2114" s="11"/>
      <c r="P2114" s="11"/>
      <c r="Q2114" s="11"/>
      <c r="R2114" s="11"/>
      <c r="S2114" s="11"/>
      <c r="T2114" s="11"/>
      <c r="U2114" s="11"/>
      <c r="V2114" s="11"/>
      <c r="W2114" s="11"/>
    </row>
    <row r="2115" spans="2:23" x14ac:dyDescent="0.35">
      <c r="B2115"/>
      <c r="C2115"/>
      <c r="D2115"/>
      <c r="E2115"/>
      <c r="F2115"/>
      <c r="G2115"/>
      <c r="H2115"/>
      <c r="I2115"/>
      <c r="J2115"/>
      <c r="K2115"/>
      <c r="L2115" s="11"/>
      <c r="M2115"/>
      <c r="N2115" s="3"/>
      <c r="O2115" s="11"/>
      <c r="P2115" s="11"/>
      <c r="Q2115" s="11"/>
      <c r="R2115" s="11"/>
      <c r="S2115" s="11"/>
      <c r="T2115" s="11"/>
      <c r="U2115" s="11"/>
      <c r="V2115" s="11"/>
      <c r="W2115" s="11"/>
    </row>
    <row r="2116" spans="2:23" x14ac:dyDescent="0.35">
      <c r="B2116"/>
      <c r="C2116"/>
      <c r="D2116"/>
      <c r="E2116"/>
      <c r="F2116"/>
      <c r="G2116"/>
      <c r="H2116"/>
      <c r="I2116"/>
      <c r="J2116"/>
      <c r="K2116"/>
      <c r="L2116" s="11"/>
      <c r="M2116"/>
      <c r="N2116" s="3"/>
      <c r="O2116" s="11"/>
      <c r="P2116" s="11"/>
      <c r="Q2116" s="11"/>
      <c r="R2116" s="11"/>
      <c r="S2116" s="11"/>
      <c r="T2116" s="11"/>
      <c r="U2116" s="11"/>
      <c r="V2116" s="11"/>
      <c r="W2116" s="11"/>
    </row>
    <row r="2117" spans="2:23" x14ac:dyDescent="0.35">
      <c r="B2117"/>
      <c r="C2117"/>
      <c r="D2117"/>
      <c r="E2117"/>
      <c r="F2117"/>
      <c r="G2117"/>
      <c r="H2117"/>
      <c r="I2117"/>
      <c r="J2117"/>
      <c r="K2117"/>
      <c r="L2117" s="11"/>
      <c r="M2117"/>
      <c r="N2117" s="3"/>
      <c r="O2117" s="11"/>
      <c r="P2117" s="11"/>
      <c r="Q2117" s="11"/>
      <c r="R2117" s="11"/>
      <c r="S2117" s="11"/>
      <c r="T2117" s="11"/>
      <c r="U2117" s="11"/>
      <c r="V2117" s="11"/>
      <c r="W2117" s="11"/>
    </row>
    <row r="2118" spans="2:23" x14ac:dyDescent="0.35">
      <c r="B2118"/>
      <c r="C2118"/>
      <c r="D2118"/>
      <c r="E2118"/>
      <c r="F2118"/>
      <c r="G2118"/>
      <c r="H2118"/>
      <c r="I2118"/>
      <c r="J2118"/>
      <c r="K2118"/>
      <c r="L2118" s="11"/>
      <c r="M2118"/>
      <c r="N2118" s="3"/>
      <c r="O2118" s="11"/>
      <c r="P2118" s="11"/>
      <c r="Q2118" s="11"/>
      <c r="R2118" s="11"/>
      <c r="S2118" s="11"/>
      <c r="T2118" s="11"/>
      <c r="U2118" s="11"/>
      <c r="V2118" s="11"/>
      <c r="W2118" s="11"/>
    </row>
    <row r="2119" spans="2:23" x14ac:dyDescent="0.35">
      <c r="B2119"/>
      <c r="C2119"/>
      <c r="D2119"/>
      <c r="E2119"/>
      <c r="F2119"/>
      <c r="G2119"/>
      <c r="H2119"/>
      <c r="I2119"/>
      <c r="J2119"/>
      <c r="K2119"/>
      <c r="L2119" s="11"/>
      <c r="M2119"/>
      <c r="N2119" s="3"/>
      <c r="O2119" s="11"/>
      <c r="P2119" s="11"/>
      <c r="Q2119" s="11"/>
      <c r="R2119" s="11"/>
      <c r="S2119" s="11"/>
      <c r="T2119" s="11"/>
      <c r="U2119" s="11"/>
      <c r="V2119" s="11"/>
      <c r="W2119" s="11"/>
    </row>
    <row r="2120" spans="2:23" x14ac:dyDescent="0.35">
      <c r="B2120"/>
      <c r="C2120"/>
      <c r="D2120"/>
      <c r="E2120"/>
      <c r="F2120"/>
      <c r="G2120"/>
      <c r="H2120"/>
      <c r="I2120"/>
      <c r="J2120"/>
      <c r="K2120"/>
      <c r="L2120" s="11"/>
      <c r="M2120"/>
      <c r="N2120" s="3"/>
      <c r="O2120" s="11"/>
      <c r="P2120" s="11"/>
      <c r="Q2120" s="11"/>
      <c r="R2120" s="11"/>
      <c r="S2120" s="11"/>
      <c r="T2120" s="11"/>
      <c r="U2120" s="11"/>
      <c r="V2120" s="11"/>
      <c r="W2120" s="11"/>
    </row>
    <row r="2121" spans="2:23" x14ac:dyDescent="0.35">
      <c r="B2121"/>
      <c r="C2121"/>
      <c r="D2121"/>
      <c r="E2121"/>
      <c r="F2121"/>
      <c r="G2121"/>
      <c r="H2121"/>
      <c r="I2121"/>
      <c r="J2121"/>
      <c r="K2121"/>
      <c r="L2121" s="11"/>
      <c r="M2121"/>
      <c r="N2121" s="3"/>
      <c r="O2121" s="11"/>
      <c r="P2121" s="11"/>
      <c r="Q2121" s="11"/>
      <c r="R2121" s="11"/>
      <c r="S2121" s="11"/>
      <c r="T2121" s="11"/>
      <c r="U2121" s="11"/>
      <c r="V2121" s="11"/>
      <c r="W2121" s="11"/>
    </row>
    <row r="2122" spans="2:23" x14ac:dyDescent="0.35">
      <c r="B2122"/>
      <c r="C2122"/>
      <c r="D2122"/>
      <c r="E2122"/>
      <c r="F2122"/>
      <c r="G2122"/>
      <c r="H2122"/>
      <c r="I2122"/>
      <c r="J2122"/>
      <c r="K2122"/>
      <c r="L2122" s="11"/>
      <c r="M2122"/>
      <c r="N2122" s="3"/>
      <c r="O2122" s="11"/>
      <c r="P2122" s="11"/>
      <c r="Q2122" s="11"/>
      <c r="R2122" s="11"/>
      <c r="S2122" s="11"/>
      <c r="T2122" s="11"/>
      <c r="U2122" s="11"/>
      <c r="V2122" s="11"/>
      <c r="W2122" s="11"/>
    </row>
    <row r="2123" spans="2:23" x14ac:dyDescent="0.35">
      <c r="B2123"/>
      <c r="C2123"/>
      <c r="D2123"/>
      <c r="E2123"/>
      <c r="F2123"/>
      <c r="G2123"/>
      <c r="H2123"/>
      <c r="I2123"/>
      <c r="J2123"/>
      <c r="K2123"/>
      <c r="L2123" s="11"/>
      <c r="M2123"/>
      <c r="N2123" s="3"/>
      <c r="O2123" s="11"/>
      <c r="P2123" s="11"/>
      <c r="Q2123" s="11"/>
      <c r="R2123" s="11"/>
      <c r="S2123" s="11"/>
      <c r="T2123" s="11"/>
      <c r="U2123" s="11"/>
      <c r="V2123" s="11"/>
      <c r="W2123" s="11"/>
    </row>
    <row r="2124" spans="2:23" x14ac:dyDescent="0.35">
      <c r="B2124"/>
      <c r="C2124"/>
      <c r="D2124"/>
      <c r="E2124"/>
      <c r="F2124"/>
      <c r="G2124"/>
      <c r="H2124"/>
      <c r="I2124"/>
      <c r="J2124"/>
      <c r="K2124"/>
      <c r="L2124" s="11"/>
      <c r="M2124"/>
      <c r="N2124" s="3"/>
      <c r="O2124" s="11"/>
      <c r="P2124" s="11"/>
      <c r="Q2124" s="11"/>
      <c r="R2124" s="11"/>
      <c r="S2124" s="11"/>
      <c r="T2124" s="11"/>
      <c r="U2124" s="11"/>
      <c r="V2124" s="11"/>
      <c r="W2124" s="11"/>
    </row>
    <row r="2125" spans="2:23" x14ac:dyDescent="0.35">
      <c r="B2125"/>
      <c r="C2125"/>
      <c r="D2125"/>
      <c r="E2125"/>
      <c r="F2125"/>
      <c r="G2125"/>
      <c r="H2125"/>
      <c r="I2125"/>
      <c r="J2125"/>
      <c r="K2125"/>
      <c r="L2125" s="11"/>
      <c r="M2125"/>
      <c r="N2125" s="3"/>
      <c r="O2125" s="11"/>
      <c r="P2125" s="11"/>
      <c r="Q2125" s="11"/>
      <c r="R2125" s="11"/>
      <c r="S2125" s="11"/>
      <c r="T2125" s="11"/>
      <c r="U2125" s="11"/>
      <c r="V2125" s="11"/>
      <c r="W2125" s="11"/>
    </row>
    <row r="2126" spans="2:23" x14ac:dyDescent="0.35">
      <c r="B2126"/>
      <c r="C2126"/>
      <c r="D2126"/>
      <c r="E2126"/>
      <c r="F2126"/>
      <c r="G2126"/>
      <c r="H2126"/>
      <c r="I2126"/>
      <c r="J2126"/>
      <c r="K2126"/>
      <c r="L2126" s="11"/>
      <c r="M2126"/>
      <c r="N2126" s="3"/>
      <c r="O2126" s="11"/>
      <c r="P2126" s="11"/>
      <c r="Q2126" s="11"/>
      <c r="R2126" s="11"/>
      <c r="S2126" s="11"/>
      <c r="T2126" s="11"/>
      <c r="U2126" s="11"/>
      <c r="V2126" s="11"/>
      <c r="W2126" s="11"/>
    </row>
    <row r="2127" spans="2:23" x14ac:dyDescent="0.35">
      <c r="B2127"/>
      <c r="C2127"/>
      <c r="D2127"/>
      <c r="E2127"/>
      <c r="F2127"/>
      <c r="G2127"/>
      <c r="H2127"/>
      <c r="I2127"/>
      <c r="J2127"/>
      <c r="K2127"/>
      <c r="L2127" s="11"/>
      <c r="M2127"/>
      <c r="N2127" s="3"/>
      <c r="O2127" s="11"/>
      <c r="P2127" s="11"/>
      <c r="Q2127" s="11"/>
      <c r="R2127" s="11"/>
      <c r="S2127" s="11"/>
      <c r="T2127" s="11"/>
      <c r="U2127" s="11"/>
      <c r="V2127" s="11"/>
      <c r="W2127" s="11"/>
    </row>
    <row r="2128" spans="2:23" x14ac:dyDescent="0.35">
      <c r="B2128"/>
      <c r="C2128"/>
      <c r="D2128"/>
      <c r="E2128"/>
      <c r="F2128"/>
      <c r="G2128"/>
      <c r="H2128"/>
      <c r="I2128"/>
      <c r="J2128"/>
      <c r="K2128"/>
      <c r="L2128" s="11"/>
      <c r="M2128"/>
      <c r="N2128" s="3"/>
      <c r="O2128" s="11"/>
      <c r="P2128" s="11"/>
      <c r="Q2128" s="11"/>
      <c r="R2128" s="11"/>
      <c r="S2128" s="11"/>
      <c r="T2128" s="11"/>
      <c r="U2128" s="11"/>
      <c r="V2128" s="11"/>
      <c r="W2128" s="11"/>
    </row>
    <row r="2129" spans="2:23" x14ac:dyDescent="0.35">
      <c r="B2129"/>
      <c r="C2129"/>
      <c r="D2129"/>
      <c r="E2129"/>
      <c r="F2129"/>
      <c r="G2129"/>
      <c r="H2129"/>
      <c r="I2129"/>
      <c r="J2129"/>
      <c r="K2129"/>
      <c r="L2129" s="11"/>
      <c r="M2129"/>
      <c r="N2129" s="3"/>
      <c r="O2129" s="11"/>
      <c r="P2129" s="11"/>
      <c r="Q2129" s="11"/>
      <c r="R2129" s="11"/>
      <c r="S2129" s="11"/>
      <c r="T2129" s="11"/>
      <c r="U2129" s="11"/>
      <c r="V2129" s="11"/>
      <c r="W2129" s="11"/>
    </row>
    <row r="2130" spans="2:23" x14ac:dyDescent="0.35">
      <c r="B2130"/>
      <c r="C2130"/>
      <c r="D2130"/>
      <c r="E2130"/>
      <c r="F2130"/>
      <c r="G2130"/>
      <c r="H2130"/>
      <c r="I2130"/>
      <c r="J2130"/>
      <c r="K2130"/>
      <c r="L2130" s="11"/>
      <c r="M2130"/>
      <c r="N2130" s="3"/>
      <c r="O2130" s="11"/>
      <c r="P2130" s="11"/>
      <c r="Q2130" s="11"/>
      <c r="R2130" s="11"/>
      <c r="S2130" s="11"/>
      <c r="T2130" s="11"/>
      <c r="U2130" s="11"/>
      <c r="V2130" s="11"/>
      <c r="W2130" s="11"/>
    </row>
    <row r="2131" spans="2:23" x14ac:dyDescent="0.35">
      <c r="B2131"/>
      <c r="C2131"/>
      <c r="D2131"/>
      <c r="E2131"/>
      <c r="F2131"/>
      <c r="G2131"/>
      <c r="H2131"/>
      <c r="I2131"/>
      <c r="J2131"/>
      <c r="K2131"/>
      <c r="L2131" s="11"/>
      <c r="M2131"/>
      <c r="N2131" s="3"/>
      <c r="O2131" s="11"/>
      <c r="P2131" s="11"/>
      <c r="Q2131" s="11"/>
      <c r="R2131" s="11"/>
      <c r="S2131" s="11"/>
      <c r="T2131" s="11"/>
      <c r="U2131" s="11"/>
      <c r="V2131" s="11"/>
      <c r="W2131" s="11"/>
    </row>
    <row r="2132" spans="2:23" x14ac:dyDescent="0.35">
      <c r="B2132"/>
      <c r="C2132"/>
      <c r="D2132"/>
      <c r="E2132"/>
      <c r="F2132"/>
      <c r="G2132"/>
      <c r="H2132"/>
      <c r="I2132"/>
      <c r="J2132"/>
      <c r="K2132"/>
      <c r="L2132" s="11"/>
      <c r="M2132"/>
      <c r="N2132" s="3"/>
      <c r="O2132" s="11"/>
      <c r="P2132" s="11"/>
      <c r="Q2132" s="11"/>
      <c r="R2132" s="11"/>
      <c r="S2132" s="11"/>
      <c r="T2132" s="11"/>
      <c r="U2132" s="11"/>
      <c r="V2132" s="11"/>
      <c r="W2132" s="11"/>
    </row>
    <row r="2133" spans="2:23" x14ac:dyDescent="0.35">
      <c r="B2133"/>
      <c r="C2133"/>
      <c r="D2133"/>
      <c r="E2133"/>
      <c r="F2133"/>
      <c r="G2133"/>
      <c r="H2133"/>
      <c r="I2133"/>
      <c r="J2133"/>
      <c r="K2133"/>
      <c r="L2133" s="11"/>
      <c r="M2133"/>
      <c r="N2133" s="3"/>
      <c r="O2133" s="11"/>
      <c r="P2133" s="11"/>
      <c r="Q2133" s="11"/>
      <c r="R2133" s="11"/>
      <c r="S2133" s="11"/>
      <c r="T2133" s="11"/>
      <c r="U2133" s="11"/>
      <c r="V2133" s="11"/>
      <c r="W2133" s="11"/>
    </row>
    <row r="2134" spans="2:23" x14ac:dyDescent="0.35">
      <c r="B2134"/>
      <c r="C2134"/>
      <c r="D2134"/>
      <c r="E2134"/>
      <c r="F2134"/>
      <c r="G2134"/>
      <c r="H2134"/>
      <c r="I2134"/>
      <c r="J2134"/>
      <c r="K2134"/>
      <c r="L2134" s="11"/>
      <c r="M2134"/>
      <c r="N2134" s="3"/>
      <c r="O2134" s="11"/>
      <c r="P2134" s="11"/>
      <c r="Q2134" s="11"/>
      <c r="R2134" s="11"/>
      <c r="S2134" s="11"/>
      <c r="T2134" s="11"/>
      <c r="U2134" s="11"/>
      <c r="V2134" s="11"/>
      <c r="W2134" s="11"/>
    </row>
    <row r="2135" spans="2:23" x14ac:dyDescent="0.35">
      <c r="B2135"/>
      <c r="C2135"/>
      <c r="D2135"/>
      <c r="E2135"/>
      <c r="F2135"/>
      <c r="G2135"/>
      <c r="H2135"/>
      <c r="I2135"/>
      <c r="J2135"/>
      <c r="K2135"/>
      <c r="L2135" s="11"/>
      <c r="M2135"/>
      <c r="N2135" s="3"/>
      <c r="O2135" s="11"/>
      <c r="P2135" s="11"/>
      <c r="Q2135" s="11"/>
      <c r="R2135" s="11"/>
      <c r="S2135" s="11"/>
      <c r="T2135" s="11"/>
      <c r="U2135" s="11"/>
      <c r="V2135" s="11"/>
      <c r="W2135" s="11"/>
    </row>
    <row r="2136" spans="2:23" x14ac:dyDescent="0.35">
      <c r="B2136"/>
      <c r="C2136"/>
      <c r="D2136"/>
      <c r="E2136"/>
      <c r="F2136"/>
      <c r="G2136"/>
      <c r="H2136"/>
      <c r="I2136"/>
      <c r="J2136"/>
      <c r="K2136"/>
      <c r="L2136" s="11"/>
      <c r="M2136"/>
      <c r="N2136" s="3"/>
      <c r="O2136" s="11"/>
      <c r="P2136" s="11"/>
      <c r="Q2136" s="11"/>
      <c r="R2136" s="11"/>
      <c r="S2136" s="11"/>
      <c r="T2136" s="11"/>
      <c r="U2136" s="11"/>
      <c r="V2136" s="11"/>
      <c r="W2136" s="11"/>
    </row>
    <row r="2137" spans="2:23" x14ac:dyDescent="0.35">
      <c r="B2137"/>
      <c r="C2137"/>
      <c r="D2137"/>
      <c r="E2137"/>
      <c r="F2137"/>
      <c r="G2137"/>
      <c r="H2137"/>
      <c r="I2137"/>
      <c r="J2137"/>
      <c r="K2137"/>
      <c r="L2137" s="11"/>
      <c r="M2137"/>
      <c r="N2137" s="3"/>
      <c r="O2137" s="11"/>
      <c r="P2137" s="11"/>
      <c r="Q2137" s="11"/>
      <c r="R2137" s="11"/>
      <c r="S2137" s="11"/>
      <c r="T2137" s="11"/>
      <c r="U2137" s="11"/>
      <c r="V2137" s="11"/>
      <c r="W2137" s="11"/>
    </row>
    <row r="2138" spans="2:23" x14ac:dyDescent="0.35">
      <c r="B2138"/>
      <c r="C2138"/>
      <c r="D2138"/>
      <c r="E2138"/>
      <c r="F2138"/>
      <c r="G2138"/>
      <c r="H2138"/>
      <c r="I2138"/>
      <c r="J2138"/>
      <c r="K2138"/>
      <c r="L2138" s="11"/>
      <c r="M2138"/>
      <c r="N2138" s="3"/>
      <c r="O2138" s="11"/>
      <c r="P2138" s="11"/>
      <c r="Q2138" s="11"/>
      <c r="R2138" s="11"/>
      <c r="S2138" s="11"/>
      <c r="T2138" s="11"/>
      <c r="U2138" s="11"/>
      <c r="V2138" s="11"/>
      <c r="W2138" s="11"/>
    </row>
    <row r="2139" spans="2:23" x14ac:dyDescent="0.35">
      <c r="B2139"/>
      <c r="C2139"/>
      <c r="D2139"/>
      <c r="E2139"/>
      <c r="F2139"/>
      <c r="G2139"/>
      <c r="H2139"/>
      <c r="I2139"/>
      <c r="J2139"/>
      <c r="K2139"/>
      <c r="L2139" s="11"/>
      <c r="M2139"/>
      <c r="N2139" s="3"/>
      <c r="O2139" s="11"/>
      <c r="P2139" s="11"/>
      <c r="Q2139" s="11"/>
      <c r="R2139" s="11"/>
      <c r="S2139" s="11"/>
      <c r="T2139" s="11"/>
      <c r="U2139" s="11"/>
      <c r="V2139" s="11"/>
      <c r="W2139" s="11"/>
    </row>
    <row r="2140" spans="2:23" x14ac:dyDescent="0.35">
      <c r="B2140"/>
      <c r="C2140"/>
      <c r="D2140"/>
      <c r="E2140"/>
      <c r="F2140"/>
      <c r="G2140"/>
      <c r="H2140"/>
      <c r="I2140"/>
      <c r="J2140"/>
      <c r="K2140"/>
      <c r="L2140" s="11"/>
      <c r="M2140"/>
      <c r="N2140" s="3"/>
      <c r="O2140" s="11"/>
      <c r="P2140" s="11"/>
      <c r="Q2140" s="11"/>
      <c r="R2140" s="11"/>
      <c r="S2140" s="11"/>
      <c r="T2140" s="11"/>
      <c r="U2140" s="11"/>
      <c r="V2140" s="11"/>
      <c r="W2140" s="11"/>
    </row>
    <row r="2141" spans="2:23" x14ac:dyDescent="0.35">
      <c r="B2141"/>
      <c r="C2141"/>
      <c r="D2141"/>
      <c r="E2141"/>
      <c r="F2141"/>
      <c r="G2141"/>
      <c r="H2141"/>
      <c r="I2141"/>
      <c r="J2141"/>
      <c r="K2141"/>
      <c r="L2141" s="11"/>
      <c r="M2141"/>
      <c r="N2141" s="3"/>
      <c r="O2141" s="11"/>
      <c r="P2141" s="11"/>
      <c r="Q2141" s="11"/>
      <c r="R2141" s="11"/>
      <c r="S2141" s="11"/>
      <c r="T2141" s="11"/>
      <c r="U2141" s="11"/>
      <c r="V2141" s="11"/>
      <c r="W2141" s="11"/>
    </row>
    <row r="2142" spans="2:23" x14ac:dyDescent="0.35">
      <c r="B2142"/>
      <c r="C2142"/>
      <c r="D2142"/>
      <c r="E2142"/>
      <c r="F2142"/>
      <c r="G2142"/>
      <c r="H2142"/>
      <c r="I2142"/>
      <c r="J2142"/>
      <c r="K2142"/>
      <c r="L2142" s="11"/>
      <c r="M2142"/>
      <c r="N2142" s="3"/>
      <c r="O2142" s="11"/>
      <c r="P2142" s="11"/>
      <c r="Q2142" s="11"/>
      <c r="R2142" s="11"/>
      <c r="S2142" s="11"/>
      <c r="T2142" s="11"/>
      <c r="U2142" s="11"/>
      <c r="V2142" s="11"/>
      <c r="W2142" s="11"/>
    </row>
    <row r="2143" spans="2:23" x14ac:dyDescent="0.35">
      <c r="B2143"/>
      <c r="C2143"/>
      <c r="D2143"/>
      <c r="E2143"/>
      <c r="F2143"/>
      <c r="G2143"/>
      <c r="H2143"/>
      <c r="I2143"/>
      <c r="J2143"/>
      <c r="K2143"/>
      <c r="L2143" s="11"/>
      <c r="M2143"/>
      <c r="N2143" s="3"/>
      <c r="O2143" s="11"/>
      <c r="P2143" s="11"/>
      <c r="Q2143" s="11"/>
      <c r="R2143" s="11"/>
      <c r="S2143" s="11"/>
      <c r="T2143" s="11"/>
      <c r="U2143" s="11"/>
      <c r="V2143" s="11"/>
      <c r="W2143" s="11"/>
    </row>
    <row r="2144" spans="2:23" x14ac:dyDescent="0.35">
      <c r="B2144"/>
      <c r="C2144"/>
      <c r="D2144"/>
      <c r="E2144"/>
      <c r="F2144"/>
      <c r="G2144"/>
      <c r="H2144"/>
      <c r="I2144"/>
      <c r="J2144"/>
      <c r="K2144"/>
      <c r="L2144" s="11"/>
      <c r="M2144"/>
      <c r="N2144" s="3"/>
      <c r="O2144" s="11"/>
      <c r="P2144" s="11"/>
      <c r="Q2144" s="11"/>
      <c r="R2144" s="11"/>
      <c r="S2144" s="11"/>
      <c r="T2144" s="11"/>
      <c r="U2144" s="11"/>
      <c r="V2144" s="11"/>
      <c r="W2144" s="11"/>
    </row>
    <row r="2145" spans="2:23" x14ac:dyDescent="0.35">
      <c r="B2145"/>
      <c r="C2145"/>
      <c r="D2145"/>
      <c r="E2145"/>
      <c r="F2145"/>
      <c r="G2145"/>
      <c r="H2145"/>
      <c r="I2145"/>
      <c r="J2145"/>
      <c r="K2145"/>
      <c r="L2145" s="11"/>
      <c r="M2145"/>
      <c r="N2145" s="3"/>
      <c r="O2145" s="11"/>
      <c r="P2145" s="11"/>
      <c r="Q2145" s="11"/>
      <c r="R2145" s="11"/>
      <c r="S2145" s="11"/>
      <c r="T2145" s="11"/>
      <c r="U2145" s="11"/>
      <c r="V2145" s="11"/>
      <c r="W2145" s="11"/>
    </row>
    <row r="2146" spans="2:23" x14ac:dyDescent="0.35">
      <c r="B2146"/>
      <c r="C2146"/>
      <c r="D2146"/>
      <c r="E2146"/>
      <c r="F2146"/>
      <c r="G2146"/>
      <c r="H2146"/>
      <c r="I2146"/>
      <c r="J2146"/>
      <c r="K2146"/>
      <c r="L2146" s="11"/>
      <c r="M2146"/>
      <c r="N2146" s="3"/>
      <c r="O2146" s="11"/>
      <c r="P2146" s="11"/>
      <c r="Q2146" s="11"/>
      <c r="R2146" s="11"/>
      <c r="S2146" s="11"/>
      <c r="T2146" s="11"/>
      <c r="U2146" s="11"/>
      <c r="V2146" s="11"/>
      <c r="W2146" s="11"/>
    </row>
    <row r="2147" spans="2:23" x14ac:dyDescent="0.35">
      <c r="B2147"/>
      <c r="C2147"/>
      <c r="D2147"/>
      <c r="E2147"/>
      <c r="F2147"/>
      <c r="G2147"/>
      <c r="H2147"/>
      <c r="I2147"/>
      <c r="J2147"/>
      <c r="K2147"/>
      <c r="L2147" s="11"/>
      <c r="M2147"/>
      <c r="N2147" s="3"/>
      <c r="O2147" s="11"/>
      <c r="P2147" s="11"/>
      <c r="Q2147" s="11"/>
      <c r="R2147" s="11"/>
      <c r="S2147" s="11"/>
      <c r="T2147" s="11"/>
      <c r="U2147" s="11"/>
      <c r="V2147" s="11"/>
      <c r="W2147" s="11"/>
    </row>
    <row r="2148" spans="2:23" x14ac:dyDescent="0.35">
      <c r="B2148"/>
      <c r="C2148"/>
      <c r="D2148"/>
      <c r="E2148"/>
      <c r="F2148"/>
      <c r="G2148"/>
      <c r="H2148"/>
      <c r="I2148"/>
      <c r="J2148"/>
      <c r="K2148"/>
      <c r="L2148" s="11"/>
      <c r="M2148"/>
      <c r="N2148" s="3"/>
      <c r="O2148" s="11"/>
      <c r="P2148" s="11"/>
      <c r="Q2148" s="11"/>
      <c r="R2148" s="11"/>
      <c r="S2148" s="11"/>
      <c r="T2148" s="11"/>
      <c r="U2148" s="11"/>
      <c r="V2148" s="11"/>
      <c r="W2148" s="11"/>
    </row>
    <row r="2149" spans="2:23" x14ac:dyDescent="0.35">
      <c r="B2149"/>
      <c r="C2149"/>
      <c r="D2149"/>
      <c r="E2149"/>
      <c r="F2149"/>
      <c r="G2149"/>
      <c r="H2149"/>
      <c r="I2149"/>
      <c r="J2149"/>
      <c r="K2149"/>
      <c r="L2149" s="11"/>
      <c r="M2149"/>
      <c r="N2149" s="3"/>
      <c r="O2149" s="11"/>
      <c r="P2149" s="11"/>
      <c r="Q2149" s="11"/>
      <c r="R2149" s="11"/>
      <c r="S2149" s="11"/>
      <c r="T2149" s="11"/>
      <c r="U2149" s="11"/>
      <c r="V2149" s="11"/>
      <c r="W2149" s="11"/>
    </row>
    <row r="2150" spans="2:23" x14ac:dyDescent="0.35">
      <c r="B2150"/>
      <c r="C2150"/>
      <c r="D2150"/>
      <c r="E2150"/>
      <c r="F2150"/>
      <c r="G2150"/>
      <c r="H2150"/>
      <c r="I2150"/>
      <c r="J2150"/>
      <c r="K2150"/>
      <c r="L2150" s="11"/>
      <c r="M2150"/>
      <c r="N2150" s="3"/>
      <c r="O2150" s="11"/>
      <c r="P2150" s="11"/>
      <c r="Q2150" s="11"/>
      <c r="R2150" s="11"/>
      <c r="S2150" s="11"/>
      <c r="T2150" s="11"/>
      <c r="U2150" s="11"/>
      <c r="V2150" s="11"/>
      <c r="W2150" s="11"/>
    </row>
    <row r="2151" spans="2:23" x14ac:dyDescent="0.35">
      <c r="B2151"/>
      <c r="C2151"/>
      <c r="D2151"/>
      <c r="E2151"/>
      <c r="F2151"/>
      <c r="G2151"/>
      <c r="H2151"/>
      <c r="I2151"/>
      <c r="J2151"/>
      <c r="K2151"/>
      <c r="L2151" s="11"/>
      <c r="M2151"/>
      <c r="N2151" s="3"/>
      <c r="O2151" s="11"/>
      <c r="P2151" s="11"/>
      <c r="Q2151" s="11"/>
      <c r="R2151" s="11"/>
      <c r="S2151" s="11"/>
      <c r="T2151" s="11"/>
      <c r="U2151" s="11"/>
      <c r="V2151" s="11"/>
      <c r="W2151" s="11"/>
    </row>
    <row r="2152" spans="2:23" x14ac:dyDescent="0.35">
      <c r="B2152"/>
      <c r="C2152"/>
      <c r="D2152"/>
      <c r="E2152"/>
      <c r="F2152"/>
      <c r="G2152"/>
      <c r="H2152"/>
      <c r="I2152"/>
      <c r="J2152"/>
      <c r="K2152"/>
      <c r="L2152" s="11"/>
      <c r="M2152"/>
      <c r="N2152" s="3"/>
      <c r="O2152" s="11"/>
      <c r="P2152" s="11"/>
      <c r="Q2152" s="11"/>
      <c r="R2152" s="11"/>
      <c r="S2152" s="11"/>
      <c r="T2152" s="11"/>
      <c r="U2152" s="11"/>
      <c r="V2152" s="11"/>
      <c r="W2152" s="11"/>
    </row>
    <row r="2153" spans="2:23" x14ac:dyDescent="0.35">
      <c r="B2153"/>
      <c r="C2153"/>
      <c r="D2153"/>
      <c r="E2153"/>
      <c r="F2153"/>
      <c r="G2153"/>
      <c r="H2153"/>
      <c r="I2153"/>
      <c r="J2153"/>
      <c r="K2153"/>
      <c r="L2153" s="11"/>
      <c r="M2153"/>
      <c r="N2153" s="3"/>
      <c r="O2153" s="11"/>
      <c r="P2153" s="11"/>
      <c r="Q2153" s="11"/>
      <c r="R2153" s="11"/>
      <c r="S2153" s="11"/>
      <c r="T2153" s="11"/>
      <c r="U2153" s="11"/>
      <c r="V2153" s="11"/>
      <c r="W2153" s="11"/>
    </row>
    <row r="2154" spans="2:23" x14ac:dyDescent="0.35">
      <c r="B2154"/>
      <c r="C2154"/>
      <c r="D2154"/>
      <c r="E2154"/>
      <c r="F2154"/>
      <c r="G2154"/>
      <c r="H2154"/>
      <c r="I2154"/>
      <c r="J2154"/>
      <c r="K2154"/>
      <c r="L2154" s="11"/>
      <c r="M2154"/>
      <c r="N2154" s="3"/>
      <c r="O2154" s="11"/>
      <c r="P2154" s="11"/>
      <c r="Q2154" s="11"/>
      <c r="R2154" s="11"/>
      <c r="S2154" s="11"/>
      <c r="T2154" s="11"/>
      <c r="U2154" s="11"/>
      <c r="V2154" s="11"/>
      <c r="W2154" s="11"/>
    </row>
    <row r="2155" spans="2:23" x14ac:dyDescent="0.35">
      <c r="B2155"/>
      <c r="C2155"/>
      <c r="D2155"/>
      <c r="E2155"/>
      <c r="F2155"/>
      <c r="G2155"/>
      <c r="H2155"/>
      <c r="I2155"/>
      <c r="J2155"/>
      <c r="K2155"/>
      <c r="L2155" s="11"/>
      <c r="M2155"/>
      <c r="N2155" s="3"/>
      <c r="O2155" s="11"/>
      <c r="P2155" s="11"/>
      <c r="Q2155" s="11"/>
      <c r="R2155" s="11"/>
      <c r="S2155" s="11"/>
      <c r="T2155" s="11"/>
      <c r="U2155" s="11"/>
      <c r="V2155" s="11"/>
      <c r="W2155" s="11"/>
    </row>
    <row r="2156" spans="2:23" x14ac:dyDescent="0.35">
      <c r="B2156"/>
      <c r="C2156"/>
      <c r="D2156"/>
      <c r="E2156"/>
      <c r="F2156"/>
      <c r="G2156"/>
      <c r="H2156"/>
      <c r="I2156"/>
      <c r="J2156"/>
      <c r="K2156"/>
      <c r="L2156" s="11"/>
      <c r="M2156"/>
      <c r="N2156" s="3"/>
      <c r="O2156" s="11"/>
      <c r="P2156" s="11"/>
      <c r="Q2156" s="11"/>
      <c r="R2156" s="11"/>
      <c r="S2156" s="11"/>
      <c r="T2156" s="11"/>
      <c r="U2156" s="11"/>
      <c r="V2156" s="11"/>
      <c r="W2156" s="11"/>
    </row>
    <row r="2157" spans="2:23" x14ac:dyDescent="0.35">
      <c r="B2157"/>
      <c r="C2157"/>
      <c r="D2157"/>
      <c r="E2157"/>
      <c r="F2157"/>
      <c r="G2157"/>
      <c r="H2157"/>
      <c r="I2157"/>
      <c r="J2157"/>
      <c r="K2157"/>
      <c r="L2157" s="11"/>
      <c r="M2157"/>
      <c r="N2157" s="3"/>
      <c r="O2157" s="11"/>
      <c r="P2157" s="11"/>
      <c r="Q2157" s="11"/>
      <c r="R2157" s="11"/>
      <c r="S2157" s="11"/>
      <c r="T2157" s="11"/>
      <c r="U2157" s="11"/>
      <c r="V2157" s="11"/>
      <c r="W2157" s="11"/>
    </row>
    <row r="2158" spans="2:23" x14ac:dyDescent="0.35">
      <c r="B2158"/>
      <c r="C2158"/>
      <c r="D2158"/>
      <c r="E2158"/>
      <c r="F2158"/>
      <c r="G2158"/>
      <c r="H2158"/>
      <c r="I2158"/>
      <c r="J2158"/>
      <c r="K2158"/>
      <c r="L2158" s="11"/>
      <c r="M2158"/>
      <c r="N2158" s="3"/>
      <c r="O2158" s="11"/>
      <c r="P2158" s="11"/>
      <c r="Q2158" s="11"/>
      <c r="R2158" s="11"/>
      <c r="S2158" s="11"/>
      <c r="T2158" s="11"/>
      <c r="U2158" s="11"/>
      <c r="V2158" s="11"/>
      <c r="W2158" s="11"/>
    </row>
    <row r="2159" spans="2:23" x14ac:dyDescent="0.35">
      <c r="B2159"/>
      <c r="C2159"/>
      <c r="D2159"/>
      <c r="E2159"/>
      <c r="F2159"/>
      <c r="G2159"/>
      <c r="H2159"/>
      <c r="I2159"/>
      <c r="J2159"/>
      <c r="K2159"/>
      <c r="L2159" s="11"/>
      <c r="M2159"/>
      <c r="N2159" s="3"/>
      <c r="O2159" s="11"/>
      <c r="P2159" s="11"/>
      <c r="Q2159" s="11"/>
      <c r="R2159" s="11"/>
      <c r="S2159" s="11"/>
      <c r="T2159" s="11"/>
      <c r="U2159" s="11"/>
      <c r="V2159" s="11"/>
      <c r="W2159" s="11"/>
    </row>
    <row r="2160" spans="2:23" x14ac:dyDescent="0.35">
      <c r="B2160"/>
      <c r="C2160"/>
      <c r="D2160"/>
      <c r="E2160"/>
      <c r="F2160"/>
      <c r="G2160"/>
      <c r="H2160"/>
      <c r="I2160"/>
      <c r="J2160"/>
      <c r="K2160"/>
      <c r="L2160" s="11"/>
      <c r="M2160"/>
      <c r="N2160" s="3"/>
      <c r="O2160" s="11"/>
      <c r="P2160" s="11"/>
      <c r="Q2160" s="11"/>
      <c r="R2160" s="11"/>
      <c r="S2160" s="11"/>
      <c r="T2160" s="11"/>
      <c r="U2160" s="11"/>
      <c r="V2160" s="11"/>
      <c r="W2160" s="11"/>
    </row>
    <row r="2161" spans="2:23" x14ac:dyDescent="0.35">
      <c r="B2161"/>
      <c r="C2161"/>
      <c r="D2161"/>
      <c r="E2161"/>
      <c r="F2161"/>
      <c r="G2161"/>
      <c r="H2161"/>
      <c r="I2161"/>
      <c r="J2161"/>
      <c r="K2161"/>
      <c r="L2161" s="11"/>
      <c r="M2161"/>
      <c r="N2161" s="3"/>
      <c r="O2161" s="11"/>
      <c r="P2161" s="11"/>
      <c r="Q2161" s="11"/>
      <c r="R2161" s="11"/>
      <c r="S2161" s="11"/>
      <c r="T2161" s="11"/>
      <c r="U2161" s="11"/>
      <c r="V2161" s="11"/>
      <c r="W2161" s="11"/>
    </row>
    <row r="2162" spans="2:23" x14ac:dyDescent="0.35">
      <c r="B2162"/>
      <c r="C2162"/>
      <c r="D2162"/>
      <c r="E2162"/>
      <c r="F2162"/>
      <c r="G2162"/>
      <c r="H2162"/>
      <c r="I2162"/>
      <c r="J2162"/>
      <c r="K2162"/>
      <c r="L2162" s="11"/>
      <c r="M2162"/>
      <c r="N2162" s="3"/>
      <c r="O2162" s="11"/>
      <c r="P2162" s="11"/>
      <c r="Q2162" s="11"/>
      <c r="R2162" s="11"/>
      <c r="S2162" s="11"/>
      <c r="T2162" s="11"/>
      <c r="U2162" s="11"/>
      <c r="V2162" s="11"/>
      <c r="W2162" s="11"/>
    </row>
    <row r="2163" spans="2:23" x14ac:dyDescent="0.35">
      <c r="B2163"/>
      <c r="C2163"/>
      <c r="D2163"/>
      <c r="E2163"/>
      <c r="F2163"/>
      <c r="G2163"/>
      <c r="H2163"/>
      <c r="I2163"/>
      <c r="J2163"/>
      <c r="K2163"/>
      <c r="L2163" s="11"/>
      <c r="M2163"/>
      <c r="N2163" s="3"/>
      <c r="O2163" s="11"/>
      <c r="P2163" s="11"/>
      <c r="Q2163" s="11"/>
      <c r="R2163" s="11"/>
      <c r="S2163" s="11"/>
      <c r="T2163" s="11"/>
      <c r="U2163" s="11"/>
      <c r="V2163" s="11"/>
      <c r="W2163" s="11"/>
    </row>
    <row r="2164" spans="2:23" x14ac:dyDescent="0.35">
      <c r="B2164"/>
      <c r="C2164"/>
      <c r="D2164"/>
      <c r="E2164"/>
      <c r="F2164"/>
      <c r="G2164"/>
      <c r="H2164"/>
      <c r="I2164"/>
      <c r="J2164"/>
      <c r="K2164"/>
      <c r="L2164" s="11"/>
      <c r="M2164"/>
      <c r="N2164" s="3"/>
      <c r="O2164" s="11"/>
      <c r="P2164" s="11"/>
      <c r="Q2164" s="11"/>
      <c r="R2164" s="11"/>
      <c r="S2164" s="11"/>
      <c r="T2164" s="11"/>
      <c r="U2164" s="11"/>
      <c r="V2164" s="11"/>
      <c r="W2164" s="11"/>
    </row>
    <row r="2165" spans="2:23" x14ac:dyDescent="0.35">
      <c r="B2165"/>
      <c r="C2165"/>
      <c r="D2165"/>
      <c r="E2165"/>
      <c r="F2165"/>
      <c r="G2165"/>
      <c r="H2165"/>
      <c r="I2165"/>
      <c r="J2165"/>
      <c r="K2165"/>
      <c r="L2165" s="11"/>
      <c r="M2165"/>
      <c r="N2165" s="3"/>
      <c r="O2165" s="11"/>
      <c r="P2165" s="11"/>
      <c r="Q2165" s="11"/>
      <c r="R2165" s="11"/>
      <c r="S2165" s="11"/>
      <c r="T2165" s="11"/>
      <c r="U2165" s="11"/>
      <c r="V2165" s="11"/>
      <c r="W2165" s="11"/>
    </row>
    <row r="2166" spans="2:23" x14ac:dyDescent="0.35">
      <c r="B2166"/>
      <c r="C2166"/>
      <c r="D2166"/>
      <c r="E2166"/>
      <c r="F2166"/>
      <c r="G2166"/>
      <c r="H2166"/>
      <c r="I2166"/>
      <c r="J2166"/>
      <c r="K2166"/>
      <c r="L2166" s="11"/>
      <c r="M2166"/>
      <c r="N2166" s="3"/>
      <c r="O2166" s="11"/>
      <c r="P2166" s="11"/>
      <c r="Q2166" s="11"/>
      <c r="R2166" s="11"/>
      <c r="S2166" s="11"/>
      <c r="T2166" s="11"/>
      <c r="U2166" s="11"/>
      <c r="V2166" s="11"/>
      <c r="W2166" s="11"/>
    </row>
    <row r="2167" spans="2:23" x14ac:dyDescent="0.35">
      <c r="B2167"/>
      <c r="C2167"/>
      <c r="D2167"/>
      <c r="E2167"/>
      <c r="F2167"/>
      <c r="G2167"/>
      <c r="H2167"/>
      <c r="I2167"/>
      <c r="J2167"/>
      <c r="K2167"/>
      <c r="L2167" s="11"/>
      <c r="M2167"/>
      <c r="N2167" s="3"/>
      <c r="O2167" s="11"/>
      <c r="P2167" s="11"/>
      <c r="Q2167" s="11"/>
      <c r="R2167" s="11"/>
      <c r="S2167" s="11"/>
      <c r="T2167" s="11"/>
      <c r="U2167" s="11"/>
      <c r="V2167" s="11"/>
      <c r="W2167" s="11"/>
    </row>
    <row r="2168" spans="2:23" x14ac:dyDescent="0.35">
      <c r="B2168"/>
      <c r="C2168"/>
      <c r="D2168"/>
      <c r="E2168"/>
      <c r="F2168"/>
      <c r="G2168"/>
      <c r="H2168"/>
      <c r="I2168"/>
      <c r="J2168"/>
      <c r="K2168"/>
      <c r="L2168" s="11"/>
      <c r="M2168"/>
      <c r="N2168" s="3"/>
      <c r="O2168" s="11"/>
      <c r="P2168" s="11"/>
      <c r="Q2168" s="11"/>
      <c r="R2168" s="11"/>
      <c r="S2168" s="11"/>
      <c r="T2168" s="11"/>
      <c r="U2168" s="11"/>
      <c r="V2168" s="11"/>
      <c r="W2168" s="11"/>
    </row>
    <row r="2169" spans="2:23" x14ac:dyDescent="0.35">
      <c r="B2169"/>
      <c r="C2169"/>
      <c r="D2169"/>
      <c r="E2169"/>
      <c r="F2169"/>
      <c r="G2169"/>
      <c r="H2169"/>
      <c r="I2169"/>
      <c r="J2169"/>
      <c r="K2169"/>
      <c r="L2169" s="11"/>
      <c r="M2169"/>
      <c r="N2169" s="3"/>
      <c r="O2169" s="11"/>
      <c r="P2169" s="11"/>
      <c r="Q2169" s="11"/>
      <c r="R2169" s="11"/>
      <c r="S2169" s="11"/>
      <c r="T2169" s="11"/>
      <c r="U2169" s="11"/>
      <c r="V2169" s="11"/>
      <c r="W2169" s="11"/>
    </row>
    <row r="2170" spans="2:23" x14ac:dyDescent="0.35">
      <c r="B2170"/>
      <c r="C2170"/>
      <c r="D2170"/>
      <c r="E2170"/>
      <c r="F2170"/>
      <c r="G2170"/>
      <c r="H2170"/>
      <c r="I2170"/>
      <c r="J2170"/>
      <c r="K2170"/>
      <c r="L2170" s="11"/>
      <c r="M2170"/>
      <c r="N2170" s="3"/>
      <c r="O2170" s="11"/>
      <c r="P2170" s="11"/>
      <c r="Q2170" s="11"/>
      <c r="R2170" s="11"/>
      <c r="S2170" s="11"/>
      <c r="T2170" s="11"/>
      <c r="U2170" s="11"/>
      <c r="V2170" s="11"/>
      <c r="W2170" s="11"/>
    </row>
    <row r="2171" spans="2:23" x14ac:dyDescent="0.35">
      <c r="B2171"/>
      <c r="C2171"/>
      <c r="D2171"/>
      <c r="E2171"/>
      <c r="F2171"/>
      <c r="G2171"/>
      <c r="H2171"/>
      <c r="I2171"/>
      <c r="J2171"/>
      <c r="K2171"/>
      <c r="L2171" s="11"/>
      <c r="M2171"/>
      <c r="N2171" s="3"/>
      <c r="O2171" s="11"/>
      <c r="P2171" s="11"/>
      <c r="Q2171" s="11"/>
      <c r="R2171" s="11"/>
      <c r="S2171" s="11"/>
      <c r="T2171" s="11"/>
      <c r="U2171" s="11"/>
      <c r="V2171" s="11"/>
      <c r="W2171" s="11"/>
    </row>
    <row r="2172" spans="2:23" x14ac:dyDescent="0.35">
      <c r="B2172"/>
      <c r="C2172"/>
      <c r="D2172"/>
      <c r="E2172"/>
      <c r="F2172"/>
      <c r="G2172"/>
      <c r="H2172"/>
      <c r="I2172"/>
      <c r="J2172"/>
      <c r="K2172"/>
      <c r="L2172" s="11"/>
      <c r="M2172"/>
      <c r="N2172" s="3"/>
      <c r="O2172" s="11"/>
      <c r="P2172" s="11"/>
      <c r="Q2172" s="11"/>
      <c r="R2172" s="11"/>
      <c r="S2172" s="11"/>
      <c r="T2172" s="11"/>
      <c r="U2172" s="11"/>
      <c r="V2172" s="11"/>
      <c r="W2172" s="11"/>
    </row>
    <row r="2173" spans="2:23" x14ac:dyDescent="0.35">
      <c r="B2173"/>
      <c r="C2173"/>
      <c r="D2173"/>
      <c r="E2173"/>
      <c r="F2173"/>
      <c r="G2173"/>
      <c r="H2173"/>
      <c r="I2173"/>
      <c r="J2173"/>
      <c r="K2173"/>
      <c r="L2173" s="11"/>
      <c r="M2173"/>
      <c r="N2173" s="3"/>
      <c r="O2173" s="11"/>
      <c r="P2173" s="11"/>
      <c r="Q2173" s="11"/>
      <c r="R2173" s="11"/>
      <c r="S2173" s="11"/>
      <c r="T2173" s="11"/>
      <c r="U2173" s="11"/>
      <c r="V2173" s="11"/>
      <c r="W2173" s="11"/>
    </row>
    <row r="2174" spans="2:23" x14ac:dyDescent="0.35">
      <c r="B2174"/>
      <c r="C2174"/>
      <c r="D2174"/>
      <c r="E2174"/>
      <c r="F2174"/>
      <c r="G2174"/>
      <c r="H2174"/>
      <c r="I2174"/>
      <c r="J2174"/>
      <c r="K2174"/>
      <c r="L2174" s="11"/>
      <c r="M2174"/>
      <c r="N2174" s="3"/>
      <c r="O2174" s="11"/>
      <c r="P2174" s="11"/>
      <c r="Q2174" s="11"/>
      <c r="R2174" s="11"/>
      <c r="S2174" s="11"/>
      <c r="T2174" s="11"/>
      <c r="U2174" s="11"/>
      <c r="V2174" s="11"/>
      <c r="W2174" s="11"/>
    </row>
    <row r="2175" spans="2:23" x14ac:dyDescent="0.35">
      <c r="B2175"/>
      <c r="C2175"/>
      <c r="D2175"/>
      <c r="E2175"/>
      <c r="F2175"/>
      <c r="G2175"/>
      <c r="H2175"/>
      <c r="I2175"/>
      <c r="J2175"/>
      <c r="K2175"/>
      <c r="L2175" s="11"/>
      <c r="M2175"/>
      <c r="N2175" s="3"/>
      <c r="O2175" s="11"/>
      <c r="P2175" s="11"/>
      <c r="Q2175" s="11"/>
      <c r="R2175" s="11"/>
      <c r="S2175" s="11"/>
      <c r="T2175" s="11"/>
      <c r="U2175" s="11"/>
      <c r="V2175" s="11"/>
      <c r="W2175" s="11"/>
    </row>
    <row r="2176" spans="2:23" x14ac:dyDescent="0.35">
      <c r="B2176"/>
      <c r="C2176"/>
      <c r="D2176"/>
      <c r="E2176"/>
      <c r="F2176"/>
      <c r="G2176"/>
      <c r="H2176"/>
      <c r="I2176"/>
      <c r="J2176"/>
      <c r="K2176"/>
      <c r="L2176" s="11"/>
      <c r="M2176"/>
      <c r="N2176" s="3"/>
      <c r="O2176" s="11"/>
      <c r="P2176" s="11"/>
      <c r="Q2176" s="11"/>
      <c r="R2176" s="11"/>
      <c r="S2176" s="11"/>
      <c r="T2176" s="11"/>
      <c r="U2176" s="11"/>
      <c r="V2176" s="11"/>
      <c r="W2176" s="11"/>
    </row>
    <row r="2177" spans="2:23" x14ac:dyDescent="0.35">
      <c r="B2177"/>
      <c r="C2177"/>
      <c r="D2177"/>
      <c r="E2177"/>
      <c r="F2177"/>
      <c r="G2177"/>
      <c r="H2177"/>
      <c r="I2177"/>
      <c r="J2177"/>
      <c r="K2177"/>
      <c r="L2177" s="11"/>
      <c r="M2177"/>
      <c r="N2177" s="3"/>
      <c r="O2177" s="11"/>
      <c r="P2177" s="11"/>
      <c r="Q2177" s="11"/>
      <c r="R2177" s="11"/>
      <c r="S2177" s="11"/>
      <c r="T2177" s="11"/>
      <c r="U2177" s="11"/>
      <c r="V2177" s="11"/>
      <c r="W2177" s="11"/>
    </row>
    <row r="2178" spans="2:23" x14ac:dyDescent="0.35">
      <c r="B2178"/>
      <c r="C2178"/>
      <c r="D2178"/>
      <c r="E2178"/>
      <c r="F2178"/>
      <c r="G2178"/>
      <c r="H2178"/>
      <c r="I2178"/>
      <c r="J2178"/>
      <c r="K2178"/>
      <c r="L2178" s="11"/>
      <c r="M2178"/>
      <c r="N2178" s="3"/>
      <c r="O2178" s="11"/>
      <c r="P2178" s="11"/>
      <c r="Q2178" s="11"/>
      <c r="R2178" s="11"/>
      <c r="S2178" s="11"/>
      <c r="T2178" s="11"/>
      <c r="U2178" s="11"/>
      <c r="V2178" s="11"/>
      <c r="W2178" s="11"/>
    </row>
    <row r="2179" spans="2:23" x14ac:dyDescent="0.35">
      <c r="B2179"/>
      <c r="C2179"/>
      <c r="D2179"/>
      <c r="E2179"/>
      <c r="F2179"/>
      <c r="G2179"/>
      <c r="H2179"/>
      <c r="I2179"/>
      <c r="J2179"/>
      <c r="K2179"/>
      <c r="L2179" s="11"/>
      <c r="M2179"/>
      <c r="N2179" s="3"/>
      <c r="O2179" s="11"/>
      <c r="P2179" s="11"/>
      <c r="Q2179" s="11"/>
      <c r="R2179" s="11"/>
      <c r="S2179" s="11"/>
      <c r="T2179" s="11"/>
      <c r="U2179" s="11"/>
      <c r="V2179" s="11"/>
      <c r="W2179" s="11"/>
    </row>
    <row r="2180" spans="2:23" x14ac:dyDescent="0.35">
      <c r="B2180"/>
      <c r="C2180"/>
      <c r="D2180"/>
      <c r="E2180"/>
      <c r="F2180"/>
      <c r="G2180"/>
      <c r="H2180"/>
      <c r="I2180"/>
      <c r="J2180"/>
      <c r="K2180"/>
      <c r="L2180" s="11"/>
      <c r="M2180"/>
      <c r="N2180" s="3"/>
      <c r="O2180" s="11"/>
      <c r="P2180" s="11"/>
      <c r="Q2180" s="11"/>
      <c r="R2180" s="11"/>
      <c r="S2180" s="11"/>
      <c r="T2180" s="11"/>
      <c r="U2180" s="11"/>
      <c r="V2180" s="11"/>
      <c r="W2180" s="11"/>
    </row>
    <row r="2181" spans="2:23" x14ac:dyDescent="0.35">
      <c r="B2181"/>
      <c r="C2181"/>
      <c r="D2181"/>
      <c r="E2181"/>
      <c r="F2181"/>
      <c r="G2181"/>
      <c r="H2181"/>
      <c r="I2181"/>
      <c r="J2181"/>
      <c r="K2181"/>
      <c r="L2181" s="11"/>
      <c r="M2181"/>
      <c r="N2181" s="3"/>
      <c r="O2181" s="11"/>
      <c r="P2181" s="11"/>
      <c r="Q2181" s="11"/>
      <c r="R2181" s="11"/>
      <c r="S2181" s="11"/>
      <c r="T2181" s="11"/>
      <c r="U2181" s="11"/>
      <c r="V2181" s="11"/>
      <c r="W2181" s="11"/>
    </row>
    <row r="2182" spans="2:23" x14ac:dyDescent="0.35">
      <c r="B2182"/>
      <c r="C2182"/>
      <c r="D2182"/>
      <c r="E2182"/>
      <c r="F2182"/>
      <c r="G2182"/>
      <c r="H2182"/>
      <c r="I2182"/>
      <c r="J2182"/>
      <c r="K2182"/>
      <c r="L2182" s="11"/>
      <c r="M2182"/>
      <c r="N2182" s="3"/>
      <c r="O2182" s="11"/>
      <c r="P2182" s="11"/>
      <c r="Q2182" s="11"/>
      <c r="R2182" s="11"/>
      <c r="S2182" s="11"/>
      <c r="T2182" s="11"/>
      <c r="U2182" s="11"/>
      <c r="V2182" s="11"/>
      <c r="W2182" s="11"/>
    </row>
    <row r="2183" spans="2:23" x14ac:dyDescent="0.35">
      <c r="B2183"/>
      <c r="C2183"/>
      <c r="D2183"/>
      <c r="E2183"/>
      <c r="F2183"/>
      <c r="G2183"/>
      <c r="H2183"/>
      <c r="I2183"/>
      <c r="J2183"/>
      <c r="K2183"/>
      <c r="L2183" s="11"/>
      <c r="M2183"/>
      <c r="N2183" s="3"/>
      <c r="O2183" s="11"/>
      <c r="P2183" s="11"/>
      <c r="Q2183" s="11"/>
      <c r="R2183" s="11"/>
      <c r="S2183" s="11"/>
      <c r="T2183" s="11"/>
      <c r="U2183" s="11"/>
      <c r="V2183" s="11"/>
      <c r="W2183" s="11"/>
    </row>
    <row r="2184" spans="2:23" x14ac:dyDescent="0.35">
      <c r="B2184"/>
      <c r="C2184"/>
      <c r="D2184"/>
      <c r="E2184"/>
      <c r="F2184"/>
      <c r="G2184"/>
      <c r="H2184"/>
      <c r="I2184"/>
      <c r="J2184"/>
      <c r="K2184"/>
      <c r="L2184" s="11"/>
      <c r="M2184"/>
      <c r="N2184" s="3"/>
      <c r="O2184" s="11"/>
      <c r="P2184" s="11"/>
      <c r="Q2184" s="11"/>
      <c r="R2184" s="11"/>
      <c r="S2184" s="11"/>
      <c r="T2184" s="11"/>
      <c r="U2184" s="11"/>
      <c r="V2184" s="11"/>
      <c r="W2184" s="11"/>
    </row>
    <row r="2185" spans="2:23" x14ac:dyDescent="0.35">
      <c r="B2185"/>
      <c r="C2185"/>
      <c r="D2185"/>
      <c r="E2185"/>
      <c r="F2185"/>
      <c r="G2185"/>
      <c r="H2185"/>
      <c r="I2185"/>
      <c r="J2185"/>
      <c r="K2185"/>
      <c r="L2185" s="11"/>
      <c r="M2185"/>
      <c r="N2185" s="3"/>
      <c r="O2185" s="11"/>
      <c r="P2185" s="11"/>
      <c r="Q2185" s="11"/>
      <c r="R2185" s="11"/>
      <c r="S2185" s="11"/>
      <c r="T2185" s="11"/>
      <c r="U2185" s="11"/>
      <c r="V2185" s="11"/>
      <c r="W2185" s="11"/>
    </row>
    <row r="2186" spans="2:23" x14ac:dyDescent="0.35">
      <c r="B2186"/>
      <c r="C2186"/>
      <c r="D2186"/>
      <c r="E2186"/>
      <c r="F2186"/>
      <c r="G2186"/>
      <c r="H2186"/>
      <c r="I2186"/>
      <c r="J2186"/>
      <c r="K2186"/>
      <c r="L2186" s="11"/>
      <c r="M2186"/>
      <c r="N2186" s="3"/>
      <c r="O2186" s="11"/>
      <c r="P2186" s="11"/>
      <c r="Q2186" s="11"/>
      <c r="R2186" s="11"/>
      <c r="S2186" s="11"/>
      <c r="T2186" s="11"/>
      <c r="U2186" s="11"/>
      <c r="V2186" s="11"/>
      <c r="W2186" s="11"/>
    </row>
    <row r="2187" spans="2:23" x14ac:dyDescent="0.35">
      <c r="B2187"/>
      <c r="C2187"/>
      <c r="D2187"/>
      <c r="E2187"/>
      <c r="F2187"/>
      <c r="G2187"/>
      <c r="H2187"/>
      <c r="I2187"/>
      <c r="J2187"/>
      <c r="K2187"/>
      <c r="L2187" s="11"/>
      <c r="M2187"/>
      <c r="N2187" s="3"/>
      <c r="O2187" s="11"/>
      <c r="P2187" s="11"/>
      <c r="Q2187" s="11"/>
      <c r="R2187" s="11"/>
      <c r="S2187" s="11"/>
      <c r="T2187" s="11"/>
      <c r="U2187" s="11"/>
      <c r="V2187" s="11"/>
      <c r="W2187" s="11"/>
    </row>
    <row r="2188" spans="2:23" x14ac:dyDescent="0.35">
      <c r="B2188"/>
      <c r="C2188"/>
      <c r="D2188"/>
      <c r="E2188"/>
      <c r="F2188"/>
      <c r="G2188"/>
      <c r="H2188"/>
      <c r="I2188"/>
      <c r="J2188"/>
      <c r="K2188"/>
      <c r="L2188" s="11"/>
      <c r="M2188"/>
      <c r="N2188" s="3"/>
      <c r="O2188" s="11"/>
      <c r="P2188" s="11"/>
      <c r="Q2188" s="11"/>
      <c r="R2188" s="11"/>
      <c r="S2188" s="11"/>
      <c r="T2188" s="11"/>
      <c r="U2188" s="11"/>
      <c r="V2188" s="11"/>
      <c r="W2188" s="11"/>
    </row>
    <row r="2189" spans="2:23" x14ac:dyDescent="0.35">
      <c r="B2189"/>
      <c r="C2189"/>
      <c r="D2189"/>
      <c r="E2189"/>
      <c r="F2189"/>
      <c r="G2189"/>
      <c r="H2189"/>
      <c r="I2189"/>
      <c r="J2189"/>
      <c r="K2189"/>
      <c r="L2189" s="11"/>
      <c r="M2189"/>
      <c r="N2189" s="3"/>
      <c r="O2189" s="11"/>
      <c r="P2189" s="11"/>
      <c r="Q2189" s="11"/>
      <c r="R2189" s="11"/>
      <c r="S2189" s="11"/>
      <c r="T2189" s="11"/>
      <c r="U2189" s="11"/>
      <c r="V2189" s="11"/>
      <c r="W2189" s="11"/>
    </row>
    <row r="2190" spans="2:23" x14ac:dyDescent="0.35">
      <c r="B2190"/>
      <c r="C2190"/>
      <c r="D2190"/>
      <c r="E2190"/>
      <c r="F2190"/>
      <c r="G2190"/>
      <c r="H2190"/>
      <c r="I2190"/>
      <c r="J2190"/>
      <c r="K2190"/>
      <c r="L2190" s="11"/>
      <c r="M2190"/>
      <c r="N2190" s="3"/>
      <c r="O2190" s="11"/>
      <c r="P2190" s="11"/>
      <c r="Q2190" s="11"/>
      <c r="R2190" s="11"/>
      <c r="S2190" s="11"/>
      <c r="T2190" s="11"/>
      <c r="U2190" s="11"/>
      <c r="V2190" s="11"/>
      <c r="W2190" s="11"/>
    </row>
    <row r="2191" spans="2:23" x14ac:dyDescent="0.35">
      <c r="B2191"/>
      <c r="C2191"/>
      <c r="D2191"/>
      <c r="E2191"/>
      <c r="F2191"/>
      <c r="G2191"/>
      <c r="H2191"/>
      <c r="I2191"/>
      <c r="J2191"/>
      <c r="K2191"/>
      <c r="L2191" s="11"/>
      <c r="M2191"/>
      <c r="N2191" s="3"/>
      <c r="O2191" s="11"/>
      <c r="P2191" s="11"/>
      <c r="Q2191" s="11"/>
      <c r="R2191" s="11"/>
      <c r="S2191" s="11"/>
      <c r="T2191" s="11"/>
      <c r="U2191" s="11"/>
      <c r="V2191" s="11"/>
      <c r="W2191" s="11"/>
    </row>
    <row r="2192" spans="2:23" x14ac:dyDescent="0.35">
      <c r="B2192"/>
      <c r="C2192"/>
      <c r="D2192"/>
      <c r="E2192"/>
      <c r="F2192"/>
      <c r="G2192"/>
      <c r="H2192"/>
      <c r="I2192"/>
      <c r="J2192"/>
      <c r="K2192"/>
      <c r="L2192" s="11"/>
      <c r="M2192"/>
      <c r="N2192" s="3"/>
      <c r="O2192" s="11"/>
      <c r="P2192" s="11"/>
      <c r="Q2192" s="11"/>
      <c r="R2192" s="11"/>
      <c r="S2192" s="11"/>
      <c r="T2192" s="11"/>
      <c r="U2192" s="11"/>
      <c r="V2192" s="11"/>
      <c r="W2192" s="11"/>
    </row>
    <row r="2193" spans="2:23" x14ac:dyDescent="0.35">
      <c r="B2193"/>
      <c r="C2193"/>
      <c r="D2193"/>
      <c r="E2193"/>
      <c r="F2193"/>
      <c r="G2193"/>
      <c r="H2193"/>
      <c r="I2193"/>
      <c r="J2193"/>
      <c r="K2193"/>
      <c r="L2193" s="11"/>
      <c r="M2193"/>
      <c r="N2193" s="3"/>
      <c r="O2193" s="11"/>
      <c r="P2193" s="11"/>
      <c r="Q2193" s="11"/>
      <c r="R2193" s="11"/>
      <c r="S2193" s="11"/>
      <c r="T2193" s="11"/>
      <c r="U2193" s="11"/>
      <c r="V2193" s="11"/>
      <c r="W2193" s="11"/>
    </row>
    <row r="2194" spans="2:23" x14ac:dyDescent="0.35">
      <c r="B2194"/>
      <c r="C2194"/>
      <c r="D2194"/>
      <c r="E2194"/>
      <c r="F2194"/>
      <c r="G2194"/>
      <c r="H2194"/>
      <c r="I2194"/>
      <c r="J2194"/>
      <c r="K2194"/>
      <c r="L2194" s="11"/>
      <c r="M2194"/>
      <c r="N2194" s="3"/>
      <c r="O2194" s="11"/>
      <c r="P2194" s="11"/>
      <c r="Q2194" s="11"/>
      <c r="R2194" s="11"/>
      <c r="S2194" s="11"/>
      <c r="T2194" s="11"/>
      <c r="U2194" s="11"/>
      <c r="V2194" s="11"/>
      <c r="W2194" s="11"/>
    </row>
    <row r="2195" spans="2:23" x14ac:dyDescent="0.35">
      <c r="B2195"/>
      <c r="C2195"/>
      <c r="D2195"/>
      <c r="E2195"/>
      <c r="F2195"/>
      <c r="G2195"/>
      <c r="H2195"/>
      <c r="I2195"/>
      <c r="J2195"/>
      <c r="K2195"/>
      <c r="L2195" s="11"/>
      <c r="M2195"/>
      <c r="N2195" s="3"/>
      <c r="O2195" s="11"/>
      <c r="P2195" s="11"/>
      <c r="Q2195" s="11"/>
      <c r="R2195" s="11"/>
      <c r="S2195" s="11"/>
      <c r="T2195" s="11"/>
      <c r="U2195" s="11"/>
      <c r="V2195" s="11"/>
      <c r="W2195" s="11"/>
    </row>
    <row r="2196" spans="2:23" x14ac:dyDescent="0.35">
      <c r="B2196"/>
      <c r="C2196"/>
      <c r="D2196"/>
      <c r="E2196"/>
      <c r="F2196"/>
      <c r="G2196"/>
      <c r="H2196"/>
      <c r="I2196"/>
      <c r="J2196"/>
      <c r="K2196"/>
      <c r="L2196" s="11"/>
      <c r="M2196"/>
      <c r="N2196" s="3"/>
      <c r="O2196" s="11"/>
      <c r="P2196" s="11"/>
      <c r="Q2196" s="11"/>
      <c r="R2196" s="11"/>
      <c r="S2196" s="11"/>
      <c r="T2196" s="11"/>
      <c r="U2196" s="11"/>
      <c r="V2196" s="11"/>
      <c r="W2196" s="11"/>
    </row>
    <row r="2197" spans="2:23" x14ac:dyDescent="0.35">
      <c r="B2197"/>
      <c r="C2197"/>
      <c r="D2197"/>
      <c r="E2197"/>
      <c r="F2197"/>
      <c r="G2197"/>
      <c r="H2197"/>
      <c r="I2197"/>
      <c r="J2197"/>
      <c r="K2197"/>
      <c r="L2197" s="11"/>
      <c r="M2197"/>
      <c r="N2197" s="3"/>
      <c r="O2197" s="11"/>
      <c r="P2197" s="11"/>
      <c r="Q2197" s="11"/>
      <c r="R2197" s="11"/>
      <c r="S2197" s="11"/>
      <c r="T2197" s="11"/>
      <c r="U2197" s="11"/>
      <c r="V2197" s="11"/>
      <c r="W2197" s="11"/>
    </row>
    <row r="2198" spans="2:23" x14ac:dyDescent="0.35">
      <c r="B2198"/>
      <c r="C2198"/>
      <c r="D2198"/>
      <c r="E2198"/>
      <c r="F2198"/>
      <c r="G2198"/>
      <c r="H2198"/>
      <c r="I2198"/>
      <c r="J2198"/>
      <c r="K2198"/>
      <c r="L2198" s="11"/>
      <c r="M2198"/>
      <c r="N2198" s="3"/>
      <c r="O2198" s="11"/>
      <c r="P2198" s="11"/>
      <c r="Q2198" s="11"/>
      <c r="R2198" s="11"/>
      <c r="S2198" s="11"/>
      <c r="T2198" s="11"/>
      <c r="U2198" s="11"/>
      <c r="V2198" s="11"/>
      <c r="W2198" s="11"/>
    </row>
    <row r="2199" spans="2:23" x14ac:dyDescent="0.35">
      <c r="B2199"/>
      <c r="C2199"/>
      <c r="D2199"/>
      <c r="E2199"/>
      <c r="F2199"/>
      <c r="G2199"/>
      <c r="H2199"/>
      <c r="I2199"/>
      <c r="J2199"/>
      <c r="K2199"/>
      <c r="L2199" s="11"/>
      <c r="M2199"/>
      <c r="N2199" s="3"/>
      <c r="O2199" s="11"/>
      <c r="P2199" s="11"/>
      <c r="Q2199" s="11"/>
      <c r="R2199" s="11"/>
      <c r="S2199" s="11"/>
      <c r="T2199" s="11"/>
      <c r="U2199" s="11"/>
      <c r="V2199" s="11"/>
      <c r="W2199" s="11"/>
    </row>
    <row r="2200" spans="2:23" x14ac:dyDescent="0.35">
      <c r="B2200"/>
      <c r="C2200"/>
      <c r="D2200"/>
      <c r="E2200"/>
      <c r="F2200"/>
      <c r="G2200"/>
      <c r="H2200"/>
      <c r="I2200"/>
      <c r="J2200"/>
      <c r="K2200"/>
      <c r="L2200" s="11"/>
      <c r="M2200"/>
      <c r="N2200" s="3"/>
      <c r="O2200" s="11"/>
      <c r="P2200" s="11"/>
      <c r="Q2200" s="11"/>
      <c r="R2200" s="11"/>
      <c r="S2200" s="11"/>
      <c r="T2200" s="11"/>
      <c r="U2200" s="11"/>
      <c r="V2200" s="11"/>
      <c r="W2200" s="11"/>
    </row>
    <row r="2201" spans="2:23" x14ac:dyDescent="0.35">
      <c r="B2201"/>
      <c r="C2201"/>
      <c r="D2201"/>
      <c r="E2201"/>
      <c r="F2201"/>
      <c r="G2201"/>
      <c r="H2201"/>
      <c r="I2201"/>
      <c r="J2201"/>
      <c r="K2201"/>
      <c r="L2201" s="11"/>
      <c r="M2201"/>
      <c r="N2201" s="3"/>
      <c r="O2201" s="11"/>
      <c r="P2201" s="11"/>
      <c r="Q2201" s="11"/>
      <c r="R2201" s="11"/>
      <c r="S2201" s="11"/>
      <c r="T2201" s="11"/>
      <c r="U2201" s="11"/>
      <c r="V2201" s="11"/>
      <c r="W2201" s="11"/>
    </row>
    <row r="2202" spans="2:23" x14ac:dyDescent="0.35">
      <c r="B2202"/>
      <c r="C2202"/>
      <c r="D2202"/>
      <c r="E2202"/>
      <c r="F2202"/>
      <c r="G2202"/>
      <c r="H2202"/>
      <c r="I2202"/>
      <c r="J2202"/>
      <c r="K2202"/>
      <c r="L2202" s="11"/>
      <c r="M2202"/>
      <c r="N2202" s="3"/>
      <c r="O2202" s="11"/>
      <c r="P2202" s="11"/>
      <c r="Q2202" s="11"/>
      <c r="R2202" s="11"/>
      <c r="S2202" s="11"/>
      <c r="T2202" s="11"/>
      <c r="U2202" s="11"/>
      <c r="V2202" s="11"/>
      <c r="W2202" s="11"/>
    </row>
    <row r="2203" spans="2:23" x14ac:dyDescent="0.35">
      <c r="B2203"/>
      <c r="C2203"/>
      <c r="D2203"/>
      <c r="E2203"/>
      <c r="F2203"/>
      <c r="G2203"/>
      <c r="H2203"/>
      <c r="I2203"/>
      <c r="J2203"/>
      <c r="K2203"/>
      <c r="L2203" s="11"/>
      <c r="M2203"/>
      <c r="N2203" s="3"/>
      <c r="O2203" s="11"/>
      <c r="P2203" s="11"/>
      <c r="Q2203" s="11"/>
      <c r="R2203" s="11"/>
      <c r="S2203" s="11"/>
      <c r="T2203" s="11"/>
      <c r="U2203" s="11"/>
      <c r="V2203" s="11"/>
      <c r="W2203" s="11"/>
    </row>
    <row r="2204" spans="2:23" x14ac:dyDescent="0.35">
      <c r="B2204"/>
      <c r="C2204"/>
      <c r="D2204"/>
      <c r="E2204"/>
      <c r="F2204"/>
      <c r="G2204"/>
      <c r="H2204"/>
      <c r="I2204"/>
      <c r="J2204"/>
      <c r="K2204"/>
      <c r="L2204" s="11"/>
      <c r="M2204"/>
      <c r="N2204" s="3"/>
      <c r="O2204" s="11"/>
      <c r="P2204" s="11"/>
      <c r="Q2204" s="11"/>
      <c r="R2204" s="11"/>
      <c r="S2204" s="11"/>
      <c r="T2204" s="11"/>
      <c r="U2204" s="11"/>
      <c r="V2204" s="11"/>
      <c r="W2204" s="11"/>
    </row>
    <row r="2205" spans="2:23" x14ac:dyDescent="0.35">
      <c r="B2205"/>
      <c r="C2205"/>
      <c r="D2205"/>
      <c r="E2205"/>
      <c r="F2205"/>
      <c r="G2205"/>
      <c r="H2205"/>
      <c r="I2205"/>
      <c r="J2205"/>
      <c r="K2205"/>
      <c r="L2205" s="11"/>
      <c r="M2205"/>
      <c r="N2205" s="3"/>
      <c r="O2205" s="11"/>
      <c r="P2205" s="11"/>
      <c r="Q2205" s="11"/>
      <c r="R2205" s="11"/>
      <c r="S2205" s="11"/>
      <c r="T2205" s="11"/>
      <c r="U2205" s="11"/>
      <c r="V2205" s="11"/>
      <c r="W2205" s="11"/>
    </row>
    <row r="2206" spans="2:23" x14ac:dyDescent="0.35">
      <c r="B2206"/>
      <c r="C2206"/>
      <c r="D2206"/>
      <c r="E2206"/>
      <c r="F2206"/>
      <c r="G2206"/>
      <c r="H2206"/>
      <c r="I2206"/>
      <c r="J2206"/>
      <c r="K2206"/>
      <c r="L2206" s="11"/>
      <c r="M2206"/>
      <c r="N2206" s="3"/>
      <c r="O2206" s="11"/>
      <c r="P2206" s="11"/>
      <c r="Q2206" s="11"/>
      <c r="R2206" s="11"/>
      <c r="S2206" s="11"/>
      <c r="T2206" s="11"/>
      <c r="U2206" s="11"/>
      <c r="V2206" s="11"/>
      <c r="W2206" s="11"/>
    </row>
    <row r="2207" spans="2:23" x14ac:dyDescent="0.35">
      <c r="B2207"/>
      <c r="C2207"/>
      <c r="D2207"/>
      <c r="E2207"/>
      <c r="F2207"/>
      <c r="G2207"/>
      <c r="H2207"/>
      <c r="I2207"/>
      <c r="J2207"/>
      <c r="K2207"/>
      <c r="L2207" s="11"/>
      <c r="M2207"/>
      <c r="N2207" s="3"/>
      <c r="O2207" s="11"/>
      <c r="P2207" s="11"/>
      <c r="Q2207" s="11"/>
      <c r="R2207" s="11"/>
      <c r="S2207" s="11"/>
      <c r="T2207" s="11"/>
      <c r="U2207" s="11"/>
      <c r="V2207" s="11"/>
      <c r="W2207" s="11"/>
    </row>
    <row r="2208" spans="2:23" x14ac:dyDescent="0.35">
      <c r="B2208"/>
      <c r="C2208"/>
      <c r="D2208"/>
      <c r="E2208"/>
      <c r="F2208"/>
      <c r="G2208"/>
      <c r="H2208"/>
      <c r="I2208"/>
      <c r="J2208"/>
      <c r="K2208"/>
      <c r="L2208" s="11"/>
      <c r="M2208"/>
      <c r="N2208" s="3"/>
      <c r="O2208" s="11"/>
      <c r="P2208" s="11"/>
      <c r="Q2208" s="11"/>
      <c r="R2208" s="11"/>
      <c r="S2208" s="11"/>
      <c r="T2208" s="11"/>
      <c r="U2208" s="11"/>
      <c r="V2208" s="11"/>
      <c r="W2208" s="11"/>
    </row>
    <row r="2209" spans="2:23" x14ac:dyDescent="0.35">
      <c r="B2209"/>
      <c r="C2209"/>
      <c r="D2209"/>
      <c r="E2209"/>
      <c r="F2209"/>
      <c r="G2209"/>
      <c r="H2209"/>
      <c r="I2209"/>
      <c r="J2209"/>
      <c r="K2209"/>
      <c r="L2209" s="11"/>
      <c r="M2209"/>
      <c r="N2209" s="3"/>
      <c r="O2209" s="11"/>
      <c r="P2209" s="11"/>
      <c r="Q2209" s="11"/>
      <c r="R2209" s="11"/>
      <c r="S2209" s="11"/>
      <c r="T2209" s="11"/>
      <c r="U2209" s="11"/>
      <c r="V2209" s="11"/>
      <c r="W2209" s="11"/>
    </row>
    <row r="2210" spans="2:23" x14ac:dyDescent="0.35">
      <c r="B2210"/>
      <c r="C2210"/>
      <c r="D2210"/>
      <c r="E2210"/>
      <c r="F2210"/>
      <c r="G2210"/>
      <c r="H2210"/>
      <c r="I2210"/>
      <c r="J2210"/>
      <c r="K2210"/>
      <c r="L2210" s="11"/>
      <c r="M2210"/>
      <c r="N2210" s="3"/>
      <c r="O2210" s="11"/>
      <c r="P2210" s="11"/>
      <c r="Q2210" s="11"/>
      <c r="R2210" s="11"/>
      <c r="S2210" s="11"/>
      <c r="T2210" s="11"/>
      <c r="U2210" s="11"/>
      <c r="V2210" s="11"/>
      <c r="W2210" s="11"/>
    </row>
    <row r="2211" spans="2:23" x14ac:dyDescent="0.35">
      <c r="B2211"/>
      <c r="C2211"/>
      <c r="D2211"/>
      <c r="E2211"/>
      <c r="F2211"/>
      <c r="G2211"/>
      <c r="H2211"/>
      <c r="I2211"/>
      <c r="J2211"/>
      <c r="K2211"/>
      <c r="L2211" s="11"/>
      <c r="M2211"/>
      <c r="N2211" s="3"/>
      <c r="O2211" s="11"/>
      <c r="P2211" s="11"/>
      <c r="Q2211" s="11"/>
      <c r="R2211" s="11"/>
      <c r="S2211" s="11"/>
      <c r="T2211" s="11"/>
      <c r="U2211" s="11"/>
      <c r="V2211" s="11"/>
      <c r="W2211" s="11"/>
    </row>
    <row r="2212" spans="2:23" x14ac:dyDescent="0.35">
      <c r="B2212"/>
      <c r="C2212"/>
      <c r="D2212"/>
      <c r="E2212"/>
      <c r="F2212"/>
      <c r="G2212"/>
      <c r="H2212"/>
      <c r="I2212"/>
      <c r="J2212"/>
      <c r="K2212"/>
      <c r="L2212" s="11"/>
      <c r="M2212"/>
      <c r="N2212" s="3"/>
      <c r="O2212" s="11"/>
      <c r="P2212" s="11"/>
      <c r="Q2212" s="11"/>
      <c r="R2212" s="11"/>
      <c r="S2212" s="11"/>
      <c r="T2212" s="11"/>
      <c r="U2212" s="11"/>
      <c r="V2212" s="11"/>
      <c r="W2212" s="11"/>
    </row>
    <row r="2213" spans="2:23" x14ac:dyDescent="0.35">
      <c r="B2213"/>
      <c r="C2213"/>
      <c r="D2213"/>
      <c r="E2213"/>
      <c r="F2213"/>
      <c r="G2213"/>
      <c r="H2213"/>
      <c r="I2213"/>
      <c r="J2213"/>
      <c r="K2213"/>
      <c r="L2213" s="11"/>
      <c r="M2213"/>
      <c r="N2213" s="3"/>
      <c r="O2213" s="11"/>
      <c r="P2213" s="11"/>
      <c r="Q2213" s="11"/>
      <c r="R2213" s="11"/>
      <c r="S2213" s="11"/>
      <c r="T2213" s="11"/>
      <c r="U2213" s="11"/>
      <c r="V2213" s="11"/>
      <c r="W2213" s="11"/>
    </row>
    <row r="2214" spans="2:23" x14ac:dyDescent="0.35">
      <c r="B2214"/>
      <c r="C2214"/>
      <c r="D2214"/>
      <c r="E2214"/>
      <c r="F2214"/>
      <c r="G2214"/>
      <c r="H2214"/>
      <c r="I2214"/>
      <c r="J2214"/>
      <c r="K2214"/>
      <c r="L2214" s="11"/>
      <c r="M2214"/>
      <c r="N2214" s="3"/>
      <c r="O2214" s="11"/>
      <c r="P2214" s="11"/>
      <c r="Q2214" s="11"/>
      <c r="R2214" s="11"/>
      <c r="S2214" s="11"/>
      <c r="T2214" s="11"/>
      <c r="U2214" s="11"/>
      <c r="V2214" s="11"/>
      <c r="W2214" s="11"/>
    </row>
    <row r="2215" spans="2:23" x14ac:dyDescent="0.35">
      <c r="B2215"/>
      <c r="C2215"/>
      <c r="D2215"/>
      <c r="E2215"/>
      <c r="F2215"/>
      <c r="G2215"/>
      <c r="H2215"/>
      <c r="I2215"/>
      <c r="J2215"/>
      <c r="K2215"/>
      <c r="L2215" s="11"/>
      <c r="M2215"/>
      <c r="N2215" s="3"/>
      <c r="O2215" s="11"/>
      <c r="P2215" s="11"/>
      <c r="Q2215" s="11"/>
      <c r="R2215" s="11"/>
      <c r="S2215" s="11"/>
      <c r="T2215" s="11"/>
      <c r="U2215" s="11"/>
      <c r="V2215" s="11"/>
      <c r="W2215" s="11"/>
    </row>
    <row r="2216" spans="2:23" x14ac:dyDescent="0.35">
      <c r="B2216"/>
      <c r="C2216"/>
      <c r="D2216"/>
      <c r="E2216"/>
      <c r="F2216"/>
      <c r="G2216"/>
      <c r="H2216"/>
      <c r="I2216"/>
      <c r="J2216"/>
      <c r="K2216"/>
      <c r="L2216" s="11"/>
      <c r="M2216"/>
      <c r="N2216" s="3"/>
      <c r="O2216" s="11"/>
      <c r="P2216" s="11"/>
      <c r="Q2216" s="11"/>
      <c r="R2216" s="11"/>
      <c r="S2216" s="11"/>
      <c r="T2216" s="11"/>
      <c r="U2216" s="11"/>
      <c r="V2216" s="11"/>
      <c r="W2216" s="11"/>
    </row>
    <row r="2217" spans="2:23" x14ac:dyDescent="0.35">
      <c r="B2217"/>
      <c r="C2217"/>
      <c r="D2217"/>
      <c r="E2217"/>
      <c r="F2217"/>
      <c r="G2217"/>
      <c r="H2217"/>
      <c r="I2217"/>
      <c r="J2217"/>
      <c r="K2217"/>
      <c r="L2217" s="11"/>
      <c r="M2217"/>
      <c r="N2217" s="3"/>
      <c r="O2217" s="11"/>
      <c r="P2217" s="11"/>
      <c r="Q2217" s="11"/>
      <c r="R2217" s="11"/>
      <c r="S2217" s="11"/>
      <c r="T2217" s="11"/>
      <c r="U2217" s="11"/>
      <c r="V2217" s="11"/>
      <c r="W2217" s="11"/>
    </row>
    <row r="2218" spans="2:23" x14ac:dyDescent="0.35">
      <c r="B2218"/>
      <c r="C2218"/>
      <c r="D2218"/>
      <c r="E2218"/>
      <c r="F2218"/>
      <c r="G2218"/>
      <c r="H2218"/>
      <c r="I2218"/>
      <c r="J2218"/>
      <c r="K2218"/>
      <c r="L2218" s="11"/>
      <c r="M2218"/>
      <c r="N2218" s="3"/>
      <c r="O2218" s="11"/>
      <c r="P2218" s="11"/>
      <c r="Q2218" s="11"/>
      <c r="R2218" s="11"/>
      <c r="S2218" s="11"/>
      <c r="T2218" s="11"/>
      <c r="U2218" s="11"/>
      <c r="V2218" s="11"/>
      <c r="W2218" s="11"/>
    </row>
    <row r="2219" spans="2:23" x14ac:dyDescent="0.35">
      <c r="B2219"/>
      <c r="C2219"/>
      <c r="D2219"/>
      <c r="E2219"/>
      <c r="F2219"/>
      <c r="G2219"/>
      <c r="H2219"/>
      <c r="I2219"/>
      <c r="J2219"/>
      <c r="K2219"/>
      <c r="L2219" s="11"/>
      <c r="M2219"/>
      <c r="N2219" s="3"/>
      <c r="O2219" s="11"/>
      <c r="P2219" s="11"/>
      <c r="Q2219" s="11"/>
      <c r="R2219" s="11"/>
      <c r="S2219" s="11"/>
      <c r="T2219" s="11"/>
      <c r="U2219" s="11"/>
      <c r="V2219" s="11"/>
      <c r="W2219" s="11"/>
    </row>
    <row r="2220" spans="2:23" x14ac:dyDescent="0.35">
      <c r="B2220"/>
      <c r="C2220"/>
      <c r="D2220"/>
      <c r="E2220"/>
      <c r="F2220"/>
      <c r="G2220"/>
      <c r="H2220"/>
      <c r="I2220"/>
      <c r="J2220"/>
      <c r="K2220"/>
      <c r="L2220" s="11"/>
      <c r="M2220"/>
      <c r="N2220" s="3"/>
      <c r="O2220" s="11"/>
      <c r="P2220" s="11"/>
      <c r="Q2220" s="11"/>
      <c r="R2220" s="11"/>
      <c r="S2220" s="11"/>
      <c r="T2220" s="11"/>
      <c r="U2220" s="11"/>
      <c r="V2220" s="11"/>
      <c r="W2220" s="11"/>
    </row>
    <row r="2221" spans="2:23" x14ac:dyDescent="0.35">
      <c r="B2221"/>
      <c r="C2221"/>
      <c r="D2221"/>
      <c r="E2221"/>
      <c r="F2221"/>
      <c r="G2221"/>
      <c r="H2221"/>
      <c r="I2221"/>
      <c r="J2221"/>
      <c r="K2221"/>
      <c r="L2221" s="11"/>
      <c r="M2221"/>
      <c r="N2221" s="3"/>
      <c r="O2221" s="11"/>
      <c r="P2221" s="11"/>
      <c r="Q2221" s="11"/>
      <c r="R2221" s="11"/>
      <c r="S2221" s="11"/>
      <c r="T2221" s="11"/>
      <c r="U2221" s="11"/>
      <c r="V2221" s="11"/>
      <c r="W2221" s="11"/>
    </row>
    <row r="2222" spans="2:23" x14ac:dyDescent="0.35">
      <c r="B2222"/>
      <c r="C2222"/>
      <c r="D2222"/>
      <c r="E2222"/>
      <c r="F2222"/>
      <c r="G2222"/>
      <c r="H2222"/>
      <c r="I2222"/>
      <c r="J2222"/>
      <c r="K2222"/>
      <c r="L2222" s="11"/>
      <c r="M2222"/>
      <c r="N2222" s="3"/>
      <c r="O2222" s="11"/>
      <c r="P2222" s="11"/>
      <c r="Q2222" s="11"/>
      <c r="R2222" s="11"/>
      <c r="S2222" s="11"/>
      <c r="T2222" s="11"/>
      <c r="U2222" s="11"/>
      <c r="V2222" s="11"/>
      <c r="W2222" s="11"/>
    </row>
    <row r="2223" spans="2:23" x14ac:dyDescent="0.35">
      <c r="B2223"/>
      <c r="C2223"/>
      <c r="D2223"/>
      <c r="E2223"/>
      <c r="F2223"/>
      <c r="G2223"/>
      <c r="H2223"/>
      <c r="I2223"/>
      <c r="J2223"/>
      <c r="K2223"/>
      <c r="L2223" s="11"/>
      <c r="M2223"/>
      <c r="N2223" s="3"/>
      <c r="O2223" s="11"/>
      <c r="P2223" s="11"/>
      <c r="Q2223" s="11"/>
      <c r="R2223" s="11"/>
      <c r="S2223" s="11"/>
      <c r="T2223" s="11"/>
      <c r="U2223" s="11"/>
      <c r="V2223" s="11"/>
      <c r="W2223" s="11"/>
    </row>
    <row r="2224" spans="2:23" x14ac:dyDescent="0.35">
      <c r="B2224"/>
      <c r="C2224"/>
      <c r="D2224"/>
      <c r="E2224"/>
      <c r="F2224"/>
      <c r="G2224"/>
      <c r="H2224"/>
      <c r="I2224"/>
      <c r="J2224"/>
      <c r="K2224"/>
      <c r="L2224" s="11"/>
      <c r="M2224"/>
      <c r="N2224" s="3"/>
      <c r="O2224" s="11"/>
      <c r="P2224" s="11"/>
      <c r="Q2224" s="11"/>
      <c r="R2224" s="11"/>
      <c r="S2224" s="11"/>
      <c r="T2224" s="11"/>
      <c r="U2224" s="11"/>
      <c r="V2224" s="11"/>
      <c r="W2224" s="11"/>
    </row>
    <row r="2225" spans="2:23" x14ac:dyDescent="0.35">
      <c r="B2225"/>
      <c r="C2225"/>
      <c r="D2225"/>
      <c r="E2225"/>
      <c r="F2225"/>
      <c r="G2225"/>
      <c r="H2225"/>
      <c r="I2225"/>
      <c r="J2225"/>
      <c r="K2225"/>
      <c r="L2225" s="11"/>
      <c r="M2225"/>
      <c r="N2225" s="3"/>
      <c r="O2225" s="11"/>
      <c r="P2225" s="11"/>
      <c r="Q2225" s="11"/>
      <c r="R2225" s="11"/>
      <c r="S2225" s="11"/>
      <c r="T2225" s="11"/>
      <c r="U2225" s="11"/>
      <c r="V2225" s="11"/>
      <c r="W2225" s="11"/>
    </row>
    <row r="2226" spans="2:23" x14ac:dyDescent="0.35">
      <c r="B2226"/>
      <c r="C2226"/>
      <c r="D2226"/>
      <c r="E2226"/>
      <c r="F2226"/>
      <c r="G2226"/>
      <c r="H2226"/>
      <c r="I2226"/>
      <c r="J2226"/>
      <c r="K2226"/>
      <c r="L2226" s="11"/>
      <c r="M2226"/>
      <c r="N2226" s="3"/>
      <c r="O2226" s="11"/>
      <c r="P2226" s="11"/>
      <c r="Q2226" s="11"/>
      <c r="R2226" s="11"/>
      <c r="S2226" s="11"/>
      <c r="T2226" s="11"/>
      <c r="U2226" s="11"/>
      <c r="V2226" s="11"/>
      <c r="W2226" s="11"/>
    </row>
    <row r="2227" spans="2:23" x14ac:dyDescent="0.35">
      <c r="B2227"/>
      <c r="C2227"/>
      <c r="D2227"/>
      <c r="E2227"/>
      <c r="F2227"/>
      <c r="G2227"/>
      <c r="H2227"/>
      <c r="I2227"/>
      <c r="J2227"/>
      <c r="K2227"/>
      <c r="L2227" s="11"/>
      <c r="M2227"/>
      <c r="N2227" s="3"/>
      <c r="O2227" s="11"/>
      <c r="P2227" s="11"/>
      <c r="Q2227" s="11"/>
      <c r="R2227" s="11"/>
      <c r="S2227" s="11"/>
      <c r="T2227" s="11"/>
      <c r="U2227" s="11"/>
      <c r="V2227" s="11"/>
      <c r="W2227" s="11"/>
    </row>
    <row r="2228" spans="2:23" x14ac:dyDescent="0.35">
      <c r="B2228"/>
      <c r="C2228"/>
      <c r="D2228"/>
      <c r="E2228"/>
      <c r="F2228"/>
      <c r="G2228"/>
      <c r="H2228"/>
      <c r="I2228"/>
      <c r="J2228"/>
      <c r="K2228"/>
      <c r="L2228" s="11"/>
      <c r="M2228"/>
      <c r="N2228" s="3"/>
      <c r="O2228" s="11"/>
      <c r="P2228" s="11"/>
      <c r="Q2228" s="11"/>
      <c r="R2228" s="11"/>
      <c r="S2228" s="11"/>
      <c r="T2228" s="11"/>
      <c r="U2228" s="11"/>
      <c r="V2228" s="11"/>
      <c r="W2228" s="11"/>
    </row>
    <row r="2229" spans="2:23" x14ac:dyDescent="0.35">
      <c r="B2229"/>
      <c r="C2229"/>
      <c r="D2229"/>
      <c r="E2229"/>
      <c r="F2229"/>
      <c r="G2229"/>
      <c r="H2229"/>
      <c r="I2229"/>
      <c r="J2229"/>
      <c r="K2229"/>
      <c r="L2229" s="11"/>
      <c r="M2229"/>
      <c r="N2229" s="3"/>
      <c r="O2229" s="11"/>
      <c r="P2229" s="11"/>
      <c r="Q2229" s="11"/>
      <c r="R2229" s="11"/>
      <c r="S2229" s="11"/>
      <c r="T2229" s="11"/>
      <c r="U2229" s="11"/>
      <c r="V2229" s="11"/>
      <c r="W2229" s="11"/>
    </row>
    <row r="2230" spans="2:23" x14ac:dyDescent="0.35">
      <c r="B2230"/>
      <c r="C2230"/>
      <c r="D2230"/>
      <c r="E2230"/>
      <c r="F2230"/>
      <c r="G2230"/>
      <c r="H2230"/>
      <c r="I2230"/>
      <c r="J2230"/>
      <c r="K2230"/>
      <c r="L2230" s="11"/>
      <c r="M2230"/>
      <c r="N2230" s="3"/>
      <c r="O2230" s="11"/>
      <c r="P2230" s="11"/>
      <c r="Q2230" s="11"/>
      <c r="R2230" s="11"/>
      <c r="S2230" s="11"/>
      <c r="T2230" s="11"/>
      <c r="U2230" s="11"/>
      <c r="V2230" s="11"/>
      <c r="W2230" s="11"/>
    </row>
    <row r="2231" spans="2:23" x14ac:dyDescent="0.35">
      <c r="B2231"/>
      <c r="C2231"/>
      <c r="D2231"/>
      <c r="E2231"/>
      <c r="F2231"/>
      <c r="G2231"/>
      <c r="H2231"/>
      <c r="I2231"/>
      <c r="J2231"/>
      <c r="K2231"/>
      <c r="L2231" s="11"/>
      <c r="M2231"/>
      <c r="N2231" s="3"/>
      <c r="O2231" s="11"/>
      <c r="P2231" s="11"/>
      <c r="Q2231" s="11"/>
      <c r="R2231" s="11"/>
      <c r="S2231" s="11"/>
      <c r="T2231" s="11"/>
      <c r="U2231" s="11"/>
      <c r="V2231" s="11"/>
      <c r="W2231" s="11"/>
    </row>
    <row r="2232" spans="2:23" x14ac:dyDescent="0.35">
      <c r="B2232"/>
      <c r="C2232"/>
      <c r="D2232"/>
      <c r="E2232"/>
      <c r="F2232"/>
      <c r="G2232"/>
      <c r="H2232"/>
      <c r="I2232"/>
      <c r="J2232"/>
      <c r="K2232"/>
      <c r="L2232" s="11"/>
      <c r="M2232"/>
      <c r="N2232" s="3"/>
      <c r="O2232" s="11"/>
      <c r="P2232" s="11"/>
      <c r="Q2232" s="11"/>
      <c r="R2232" s="11"/>
      <c r="S2232" s="11"/>
      <c r="T2232" s="11"/>
      <c r="U2232" s="11"/>
      <c r="V2232" s="11"/>
      <c r="W2232" s="11"/>
    </row>
    <row r="2233" spans="2:23" x14ac:dyDescent="0.35">
      <c r="B2233"/>
      <c r="C2233"/>
      <c r="D2233"/>
      <c r="E2233"/>
      <c r="F2233"/>
      <c r="G2233"/>
      <c r="H2233"/>
      <c r="I2233"/>
      <c r="J2233"/>
      <c r="K2233"/>
      <c r="L2233" s="11"/>
      <c r="M2233"/>
      <c r="N2233" s="3"/>
      <c r="O2233" s="11"/>
      <c r="P2233" s="11"/>
      <c r="Q2233" s="11"/>
      <c r="R2233" s="11"/>
      <c r="S2233" s="11"/>
      <c r="T2233" s="11"/>
      <c r="U2233" s="11"/>
      <c r="V2233" s="11"/>
      <c r="W2233" s="11"/>
    </row>
    <row r="2234" spans="2:23" x14ac:dyDescent="0.35">
      <c r="B2234"/>
      <c r="C2234"/>
      <c r="D2234"/>
      <c r="E2234"/>
      <c r="F2234"/>
      <c r="G2234"/>
      <c r="H2234"/>
      <c r="I2234"/>
      <c r="J2234"/>
      <c r="K2234"/>
      <c r="L2234" s="11"/>
      <c r="M2234"/>
      <c r="N2234" s="3"/>
      <c r="O2234" s="11"/>
      <c r="P2234" s="11"/>
      <c r="Q2234" s="11"/>
      <c r="R2234" s="11"/>
      <c r="S2234" s="11"/>
      <c r="T2234" s="11"/>
      <c r="U2234" s="11"/>
      <c r="V2234" s="11"/>
      <c r="W2234" s="11"/>
    </row>
    <row r="2235" spans="2:23" x14ac:dyDescent="0.35">
      <c r="B2235"/>
      <c r="C2235"/>
      <c r="D2235"/>
      <c r="E2235"/>
      <c r="F2235"/>
      <c r="G2235"/>
      <c r="H2235"/>
      <c r="I2235"/>
      <c r="J2235"/>
      <c r="K2235"/>
      <c r="L2235" s="11"/>
      <c r="M2235"/>
      <c r="N2235" s="3"/>
      <c r="O2235" s="11"/>
      <c r="P2235" s="11"/>
      <c r="Q2235" s="11"/>
      <c r="R2235" s="11"/>
      <c r="S2235" s="11"/>
      <c r="T2235" s="11"/>
      <c r="U2235" s="11"/>
      <c r="V2235" s="11"/>
      <c r="W2235" s="11"/>
    </row>
    <row r="2236" spans="2:23" x14ac:dyDescent="0.35">
      <c r="B2236"/>
      <c r="C2236"/>
      <c r="D2236"/>
      <c r="E2236"/>
      <c r="F2236"/>
      <c r="G2236"/>
      <c r="H2236"/>
      <c r="I2236"/>
      <c r="J2236"/>
      <c r="K2236"/>
      <c r="L2236" s="11"/>
      <c r="M2236"/>
      <c r="N2236" s="3"/>
      <c r="O2236" s="11"/>
      <c r="P2236" s="11"/>
      <c r="Q2236" s="11"/>
      <c r="R2236" s="11"/>
      <c r="S2236" s="11"/>
      <c r="T2236" s="11"/>
      <c r="U2236" s="11"/>
      <c r="V2236" s="11"/>
      <c r="W2236" s="11"/>
    </row>
    <row r="2237" spans="2:23" x14ac:dyDescent="0.35">
      <c r="B2237"/>
      <c r="C2237"/>
      <c r="D2237"/>
      <c r="E2237"/>
      <c r="F2237"/>
      <c r="G2237"/>
      <c r="H2237"/>
      <c r="I2237"/>
      <c r="J2237"/>
      <c r="K2237"/>
      <c r="L2237" s="11"/>
      <c r="M2237"/>
      <c r="N2237" s="3"/>
      <c r="O2237" s="11"/>
      <c r="P2237" s="11"/>
      <c r="Q2237" s="11"/>
      <c r="R2237" s="11"/>
      <c r="S2237" s="11"/>
      <c r="T2237" s="11"/>
      <c r="U2237" s="11"/>
      <c r="V2237" s="11"/>
      <c r="W2237" s="11"/>
    </row>
    <row r="2238" spans="2:23" x14ac:dyDescent="0.35">
      <c r="B2238"/>
      <c r="C2238"/>
      <c r="D2238"/>
      <c r="E2238"/>
      <c r="F2238"/>
      <c r="G2238"/>
      <c r="H2238"/>
      <c r="I2238"/>
      <c r="J2238"/>
      <c r="K2238"/>
      <c r="L2238" s="11"/>
      <c r="M2238"/>
      <c r="N2238" s="3"/>
      <c r="O2238" s="11"/>
      <c r="P2238" s="11"/>
      <c r="Q2238" s="11"/>
      <c r="R2238" s="11"/>
      <c r="S2238" s="11"/>
      <c r="T2238" s="11"/>
      <c r="U2238" s="11"/>
      <c r="V2238" s="11"/>
      <c r="W2238" s="11"/>
    </row>
    <row r="2239" spans="2:23" x14ac:dyDescent="0.35">
      <c r="B2239"/>
      <c r="C2239"/>
      <c r="D2239"/>
      <c r="E2239"/>
      <c r="F2239"/>
      <c r="G2239"/>
      <c r="H2239"/>
      <c r="I2239"/>
      <c r="J2239"/>
      <c r="K2239"/>
      <c r="L2239" s="11"/>
      <c r="M2239"/>
      <c r="N2239" s="3"/>
      <c r="O2239" s="11"/>
      <c r="P2239" s="11"/>
      <c r="Q2239" s="11"/>
      <c r="R2239" s="11"/>
      <c r="S2239" s="11"/>
      <c r="T2239" s="11"/>
      <c r="U2239" s="11"/>
      <c r="V2239" s="11"/>
      <c r="W2239" s="11"/>
    </row>
    <row r="2240" spans="2:23" x14ac:dyDescent="0.35">
      <c r="B2240"/>
      <c r="C2240"/>
      <c r="D2240"/>
      <c r="E2240"/>
      <c r="F2240"/>
      <c r="G2240"/>
      <c r="H2240"/>
      <c r="I2240"/>
      <c r="J2240"/>
      <c r="K2240"/>
      <c r="L2240" s="11"/>
      <c r="M2240"/>
      <c r="N2240" s="3"/>
      <c r="O2240" s="11"/>
      <c r="P2240" s="11"/>
      <c r="Q2240" s="11"/>
      <c r="R2240" s="11"/>
      <c r="S2240" s="11"/>
      <c r="T2240" s="11"/>
      <c r="U2240" s="11"/>
      <c r="V2240" s="11"/>
      <c r="W2240" s="11"/>
    </row>
    <row r="2241" spans="2:23" x14ac:dyDescent="0.35">
      <c r="B2241"/>
      <c r="C2241"/>
      <c r="D2241"/>
      <c r="E2241"/>
      <c r="F2241"/>
      <c r="G2241"/>
      <c r="H2241"/>
      <c r="I2241"/>
      <c r="J2241"/>
      <c r="K2241"/>
      <c r="L2241" s="11"/>
      <c r="M2241"/>
      <c r="N2241" s="3"/>
      <c r="O2241" s="11"/>
      <c r="P2241" s="11"/>
      <c r="Q2241" s="11"/>
      <c r="R2241" s="11"/>
      <c r="S2241" s="11"/>
      <c r="T2241" s="11"/>
      <c r="U2241" s="11"/>
      <c r="V2241" s="11"/>
      <c r="W2241" s="11"/>
    </row>
    <row r="2242" spans="2:23" x14ac:dyDescent="0.35">
      <c r="B2242"/>
      <c r="C2242"/>
      <c r="D2242"/>
      <c r="E2242"/>
      <c r="F2242"/>
      <c r="G2242"/>
      <c r="H2242"/>
      <c r="I2242"/>
      <c r="J2242"/>
      <c r="K2242"/>
      <c r="L2242" s="11"/>
      <c r="M2242"/>
      <c r="N2242" s="3"/>
      <c r="O2242" s="11"/>
      <c r="P2242" s="11"/>
      <c r="Q2242" s="11"/>
      <c r="R2242" s="11"/>
      <c r="S2242" s="11"/>
      <c r="T2242" s="11"/>
      <c r="U2242" s="11"/>
      <c r="V2242" s="11"/>
      <c r="W2242" s="11"/>
    </row>
    <row r="2243" spans="2:23" x14ac:dyDescent="0.35">
      <c r="B2243"/>
      <c r="C2243"/>
      <c r="D2243"/>
      <c r="E2243"/>
      <c r="F2243"/>
      <c r="G2243"/>
      <c r="H2243"/>
      <c r="I2243"/>
      <c r="J2243"/>
      <c r="K2243"/>
      <c r="L2243" s="11"/>
      <c r="M2243"/>
      <c r="N2243" s="3"/>
      <c r="O2243" s="11"/>
      <c r="P2243" s="11"/>
      <c r="Q2243" s="11"/>
      <c r="R2243" s="11"/>
      <c r="S2243" s="11"/>
      <c r="T2243" s="11"/>
      <c r="U2243" s="11"/>
      <c r="V2243" s="11"/>
      <c r="W2243" s="11"/>
    </row>
    <row r="2244" spans="2:23" x14ac:dyDescent="0.35">
      <c r="B2244"/>
      <c r="C2244"/>
      <c r="D2244"/>
      <c r="E2244"/>
      <c r="F2244"/>
      <c r="G2244"/>
      <c r="H2244"/>
      <c r="I2244"/>
      <c r="J2244"/>
      <c r="K2244"/>
      <c r="L2244" s="11"/>
      <c r="M2244"/>
      <c r="N2244" s="3"/>
      <c r="O2244" s="11"/>
      <c r="P2244" s="11"/>
      <c r="Q2244" s="11"/>
      <c r="R2244" s="11"/>
      <c r="S2244" s="11"/>
      <c r="T2244" s="11"/>
      <c r="U2244" s="11"/>
      <c r="V2244" s="11"/>
      <c r="W2244" s="11"/>
    </row>
    <row r="2245" spans="2:23" x14ac:dyDescent="0.35">
      <c r="B2245"/>
      <c r="C2245"/>
      <c r="D2245"/>
      <c r="E2245"/>
      <c r="F2245"/>
      <c r="G2245"/>
      <c r="H2245"/>
      <c r="I2245"/>
      <c r="J2245"/>
      <c r="K2245"/>
      <c r="L2245" s="11"/>
      <c r="M2245"/>
      <c r="N2245" s="3"/>
      <c r="O2245" s="11"/>
      <c r="P2245" s="11"/>
      <c r="Q2245" s="11"/>
      <c r="R2245" s="11"/>
      <c r="S2245" s="11"/>
      <c r="T2245" s="11"/>
      <c r="U2245" s="11"/>
      <c r="V2245" s="11"/>
      <c r="W2245" s="11"/>
    </row>
    <row r="2246" spans="2:23" x14ac:dyDescent="0.35">
      <c r="B2246"/>
      <c r="C2246"/>
      <c r="D2246"/>
      <c r="E2246"/>
      <c r="F2246"/>
      <c r="G2246"/>
      <c r="H2246"/>
      <c r="I2246"/>
      <c r="J2246"/>
      <c r="K2246"/>
      <c r="L2246" s="11"/>
      <c r="M2246"/>
      <c r="N2246" s="3"/>
      <c r="O2246" s="11"/>
      <c r="P2246" s="11"/>
      <c r="Q2246" s="11"/>
      <c r="R2246" s="11"/>
      <c r="S2246" s="11"/>
      <c r="T2246" s="11"/>
      <c r="U2246" s="11"/>
      <c r="V2246" s="11"/>
      <c r="W2246" s="11"/>
    </row>
    <row r="2247" spans="2:23" x14ac:dyDescent="0.35">
      <c r="B2247"/>
      <c r="C2247"/>
      <c r="D2247"/>
      <c r="E2247"/>
      <c r="F2247"/>
      <c r="G2247"/>
      <c r="H2247"/>
      <c r="I2247"/>
      <c r="J2247"/>
      <c r="K2247"/>
      <c r="L2247" s="11"/>
      <c r="M2247"/>
      <c r="N2247" s="3"/>
      <c r="O2247" s="11"/>
      <c r="P2247" s="11"/>
      <c r="Q2247" s="11"/>
      <c r="R2247" s="11"/>
      <c r="S2247" s="11"/>
      <c r="T2247" s="11"/>
      <c r="U2247" s="11"/>
      <c r="V2247" s="11"/>
      <c r="W2247" s="11"/>
    </row>
    <row r="2248" spans="2:23" x14ac:dyDescent="0.35">
      <c r="B2248"/>
      <c r="C2248"/>
      <c r="D2248"/>
      <c r="E2248"/>
      <c r="F2248"/>
      <c r="G2248"/>
      <c r="H2248"/>
      <c r="I2248"/>
      <c r="J2248"/>
      <c r="K2248"/>
      <c r="L2248" s="11"/>
      <c r="M2248"/>
      <c r="N2248" s="3"/>
      <c r="O2248" s="11"/>
      <c r="P2248" s="11"/>
      <c r="Q2248" s="11"/>
      <c r="R2248" s="11"/>
      <c r="S2248" s="11"/>
      <c r="T2248" s="11"/>
      <c r="U2248" s="11"/>
      <c r="V2248" s="11"/>
      <c r="W2248" s="11"/>
    </row>
    <row r="2249" spans="2:23" x14ac:dyDescent="0.35">
      <c r="B2249"/>
      <c r="C2249"/>
      <c r="D2249"/>
      <c r="E2249"/>
      <c r="F2249"/>
      <c r="G2249"/>
      <c r="H2249"/>
      <c r="I2249"/>
      <c r="J2249"/>
      <c r="K2249"/>
      <c r="L2249" s="11"/>
      <c r="M2249"/>
      <c r="N2249" s="3"/>
      <c r="O2249" s="11"/>
      <c r="P2249" s="11"/>
      <c r="Q2249" s="11"/>
      <c r="R2249" s="11"/>
      <c r="S2249" s="11"/>
      <c r="T2249" s="11"/>
      <c r="U2249" s="11"/>
      <c r="V2249" s="11"/>
      <c r="W2249" s="11"/>
    </row>
    <row r="2250" spans="2:23" x14ac:dyDescent="0.35">
      <c r="B2250"/>
      <c r="C2250"/>
      <c r="D2250"/>
      <c r="E2250"/>
      <c r="F2250"/>
      <c r="G2250"/>
      <c r="H2250"/>
      <c r="I2250"/>
      <c r="J2250"/>
      <c r="K2250"/>
      <c r="L2250" s="11"/>
      <c r="M2250"/>
      <c r="N2250" s="3"/>
      <c r="O2250" s="11"/>
      <c r="P2250" s="11"/>
      <c r="Q2250" s="11"/>
      <c r="R2250" s="11"/>
      <c r="S2250" s="11"/>
      <c r="T2250" s="11"/>
      <c r="U2250" s="11"/>
      <c r="V2250" s="11"/>
      <c r="W2250" s="11"/>
    </row>
    <row r="2251" spans="2:23" x14ac:dyDescent="0.35">
      <c r="B2251"/>
      <c r="C2251"/>
      <c r="D2251"/>
      <c r="E2251"/>
      <c r="F2251"/>
      <c r="G2251"/>
      <c r="H2251"/>
      <c r="I2251"/>
      <c r="J2251"/>
      <c r="K2251"/>
      <c r="L2251" s="11"/>
      <c r="M2251"/>
      <c r="N2251" s="3"/>
      <c r="O2251" s="11"/>
      <c r="P2251" s="11"/>
      <c r="Q2251" s="11"/>
      <c r="R2251" s="11"/>
      <c r="S2251" s="11"/>
      <c r="T2251" s="11"/>
      <c r="U2251" s="11"/>
      <c r="V2251" s="11"/>
      <c r="W2251" s="11"/>
    </row>
    <row r="2252" spans="2:23" x14ac:dyDescent="0.35">
      <c r="B2252"/>
      <c r="C2252"/>
      <c r="D2252"/>
      <c r="E2252"/>
      <c r="F2252"/>
      <c r="G2252"/>
      <c r="H2252"/>
      <c r="I2252"/>
      <c r="J2252"/>
      <c r="K2252"/>
      <c r="L2252" s="11"/>
      <c r="M2252"/>
      <c r="N2252" s="3"/>
      <c r="O2252" s="11"/>
      <c r="P2252" s="11"/>
      <c r="Q2252" s="11"/>
      <c r="R2252" s="11"/>
      <c r="S2252" s="11"/>
      <c r="T2252" s="11"/>
      <c r="U2252" s="11"/>
      <c r="V2252" s="11"/>
      <c r="W2252" s="11"/>
    </row>
    <row r="2253" spans="2:23" x14ac:dyDescent="0.35">
      <c r="B2253"/>
      <c r="C2253"/>
      <c r="D2253"/>
      <c r="E2253"/>
      <c r="F2253"/>
      <c r="G2253"/>
      <c r="H2253"/>
      <c r="I2253"/>
      <c r="J2253"/>
      <c r="K2253"/>
      <c r="L2253" s="11"/>
      <c r="M2253"/>
      <c r="N2253" s="3"/>
      <c r="O2253" s="11"/>
      <c r="P2253" s="11"/>
      <c r="Q2253" s="11"/>
      <c r="R2253" s="11"/>
      <c r="S2253" s="11"/>
      <c r="T2253" s="11"/>
      <c r="U2253" s="11"/>
      <c r="V2253" s="11"/>
      <c r="W2253" s="11"/>
    </row>
    <row r="2254" spans="2:23" x14ac:dyDescent="0.35">
      <c r="B2254"/>
      <c r="C2254"/>
      <c r="D2254"/>
      <c r="E2254"/>
      <c r="F2254"/>
      <c r="G2254"/>
      <c r="H2254"/>
      <c r="I2254"/>
      <c r="J2254"/>
      <c r="K2254"/>
      <c r="L2254" s="11"/>
      <c r="M2254"/>
      <c r="N2254" s="3"/>
      <c r="O2254" s="11"/>
      <c r="P2254" s="11"/>
      <c r="Q2254" s="11"/>
      <c r="R2254" s="11"/>
      <c r="S2254" s="11"/>
      <c r="T2254" s="11"/>
      <c r="U2254" s="11"/>
      <c r="V2254" s="11"/>
      <c r="W2254" s="11"/>
    </row>
    <row r="2255" spans="2:23" x14ac:dyDescent="0.35">
      <c r="B2255"/>
      <c r="C2255"/>
      <c r="D2255"/>
      <c r="E2255"/>
      <c r="F2255"/>
      <c r="G2255"/>
      <c r="H2255"/>
      <c r="I2255"/>
      <c r="J2255"/>
      <c r="K2255"/>
      <c r="L2255" s="11"/>
      <c r="M2255"/>
      <c r="N2255" s="3"/>
      <c r="O2255" s="11"/>
      <c r="P2255" s="11"/>
      <c r="Q2255" s="11"/>
      <c r="R2255" s="11"/>
      <c r="S2255" s="11"/>
      <c r="T2255" s="11"/>
      <c r="U2255" s="11"/>
      <c r="V2255" s="11"/>
      <c r="W2255" s="11"/>
    </row>
    <row r="2256" spans="2:23" x14ac:dyDescent="0.35">
      <c r="B2256"/>
      <c r="C2256"/>
      <c r="D2256"/>
      <c r="E2256"/>
      <c r="F2256"/>
      <c r="G2256"/>
      <c r="H2256"/>
      <c r="I2256"/>
      <c r="J2256"/>
      <c r="K2256"/>
      <c r="L2256" s="11"/>
      <c r="M2256"/>
      <c r="N2256" s="3"/>
      <c r="O2256" s="11"/>
      <c r="P2256" s="11"/>
      <c r="Q2256" s="11"/>
      <c r="R2256" s="11"/>
      <c r="S2256" s="11"/>
      <c r="T2256" s="11"/>
      <c r="U2256" s="11"/>
      <c r="V2256" s="11"/>
      <c r="W2256" s="11"/>
    </row>
    <row r="2257" spans="2:23" x14ac:dyDescent="0.35">
      <c r="B2257"/>
      <c r="C2257"/>
      <c r="D2257"/>
      <c r="E2257"/>
      <c r="F2257"/>
      <c r="G2257"/>
      <c r="H2257"/>
      <c r="I2257"/>
      <c r="J2257"/>
      <c r="K2257"/>
      <c r="L2257" s="11"/>
      <c r="M2257"/>
      <c r="N2257" s="3"/>
      <c r="O2257" s="11"/>
      <c r="P2257" s="11"/>
      <c r="Q2257" s="11"/>
      <c r="R2257" s="11"/>
      <c r="S2257" s="11"/>
      <c r="T2257" s="11"/>
      <c r="U2257" s="11"/>
      <c r="V2257" s="11"/>
      <c r="W2257" s="11"/>
    </row>
    <row r="2258" spans="2:23" x14ac:dyDescent="0.35">
      <c r="B2258"/>
      <c r="C2258"/>
      <c r="D2258"/>
      <c r="E2258"/>
      <c r="F2258"/>
      <c r="G2258"/>
      <c r="H2258"/>
      <c r="I2258"/>
      <c r="J2258"/>
      <c r="K2258"/>
      <c r="L2258" s="11"/>
      <c r="M2258"/>
      <c r="N2258" s="3"/>
      <c r="O2258" s="11"/>
      <c r="P2258" s="11"/>
      <c r="Q2258" s="11"/>
      <c r="R2258" s="11"/>
      <c r="S2258" s="11"/>
      <c r="T2258" s="11"/>
      <c r="U2258" s="11"/>
      <c r="V2258" s="11"/>
      <c r="W2258" s="11"/>
    </row>
    <row r="2259" spans="2:23" x14ac:dyDescent="0.35">
      <c r="B2259"/>
      <c r="C2259"/>
      <c r="D2259"/>
      <c r="E2259"/>
      <c r="F2259"/>
      <c r="G2259"/>
      <c r="H2259"/>
      <c r="I2259"/>
      <c r="J2259"/>
      <c r="K2259"/>
      <c r="L2259" s="11"/>
      <c r="M2259"/>
      <c r="N2259" s="3"/>
      <c r="O2259" s="11"/>
      <c r="P2259" s="11"/>
      <c r="Q2259" s="11"/>
      <c r="R2259" s="11"/>
      <c r="S2259" s="11"/>
      <c r="T2259" s="11"/>
      <c r="U2259" s="11"/>
      <c r="V2259" s="11"/>
      <c r="W2259" s="11"/>
    </row>
    <row r="2260" spans="2:23" x14ac:dyDescent="0.35">
      <c r="B2260"/>
      <c r="C2260"/>
      <c r="D2260"/>
      <c r="E2260"/>
      <c r="F2260"/>
      <c r="G2260"/>
      <c r="H2260"/>
      <c r="I2260"/>
      <c r="J2260"/>
      <c r="K2260"/>
      <c r="L2260" s="11"/>
      <c r="M2260"/>
      <c r="N2260" s="3"/>
      <c r="O2260" s="11"/>
      <c r="P2260" s="11"/>
      <c r="Q2260" s="11"/>
      <c r="R2260" s="11"/>
      <c r="S2260" s="11"/>
      <c r="T2260" s="11"/>
      <c r="U2260" s="11"/>
      <c r="V2260" s="11"/>
      <c r="W2260" s="11"/>
    </row>
    <row r="2261" spans="2:23" x14ac:dyDescent="0.35">
      <c r="B2261"/>
      <c r="C2261"/>
      <c r="D2261"/>
      <c r="E2261"/>
      <c r="F2261"/>
      <c r="G2261"/>
      <c r="H2261"/>
      <c r="I2261"/>
      <c r="J2261"/>
      <c r="K2261"/>
      <c r="L2261" s="11"/>
      <c r="M2261"/>
      <c r="N2261" s="3"/>
      <c r="O2261" s="11"/>
      <c r="P2261" s="11"/>
      <c r="Q2261" s="11"/>
      <c r="R2261" s="11"/>
      <c r="S2261" s="11"/>
      <c r="T2261" s="11"/>
      <c r="U2261" s="11"/>
      <c r="V2261" s="11"/>
      <c r="W2261" s="11"/>
    </row>
    <row r="2262" spans="2:23" x14ac:dyDescent="0.35">
      <c r="B2262"/>
      <c r="C2262"/>
      <c r="D2262"/>
      <c r="E2262"/>
      <c r="F2262"/>
      <c r="G2262"/>
      <c r="H2262"/>
      <c r="I2262"/>
      <c r="J2262"/>
      <c r="K2262"/>
      <c r="L2262" s="11"/>
      <c r="M2262"/>
      <c r="N2262" s="3"/>
      <c r="O2262" s="11"/>
      <c r="P2262" s="11"/>
      <c r="Q2262" s="11"/>
      <c r="R2262" s="11"/>
      <c r="S2262" s="11"/>
      <c r="T2262" s="11"/>
      <c r="U2262" s="11"/>
      <c r="V2262" s="11"/>
      <c r="W2262" s="11"/>
    </row>
    <row r="2263" spans="2:23" x14ac:dyDescent="0.35">
      <c r="B2263"/>
      <c r="C2263"/>
      <c r="D2263"/>
      <c r="E2263"/>
      <c r="F2263"/>
      <c r="G2263"/>
      <c r="H2263"/>
      <c r="I2263"/>
      <c r="J2263"/>
      <c r="K2263"/>
      <c r="L2263" s="11"/>
      <c r="M2263"/>
      <c r="N2263" s="3"/>
      <c r="O2263" s="11"/>
      <c r="P2263" s="11"/>
      <c r="Q2263" s="11"/>
      <c r="R2263" s="11"/>
      <c r="S2263" s="11"/>
      <c r="T2263" s="11"/>
      <c r="U2263" s="11"/>
      <c r="V2263" s="11"/>
      <c r="W2263" s="11"/>
    </row>
    <row r="2264" spans="2:23" x14ac:dyDescent="0.35">
      <c r="B2264"/>
      <c r="C2264"/>
      <c r="D2264"/>
      <c r="E2264"/>
      <c r="F2264"/>
      <c r="G2264"/>
      <c r="H2264"/>
      <c r="I2264"/>
      <c r="J2264"/>
      <c r="K2264"/>
      <c r="L2264" s="11"/>
      <c r="M2264"/>
      <c r="N2264" s="3"/>
      <c r="O2264" s="11"/>
      <c r="P2264" s="11"/>
      <c r="Q2264" s="11"/>
      <c r="R2264" s="11"/>
      <c r="S2264" s="11"/>
      <c r="T2264" s="11"/>
      <c r="U2264" s="11"/>
      <c r="V2264" s="11"/>
      <c r="W2264" s="11"/>
    </row>
    <row r="2265" spans="2:23" x14ac:dyDescent="0.35">
      <c r="B2265"/>
      <c r="C2265"/>
      <c r="D2265"/>
      <c r="E2265"/>
      <c r="F2265"/>
      <c r="G2265"/>
      <c r="H2265"/>
      <c r="I2265"/>
      <c r="J2265"/>
      <c r="K2265"/>
      <c r="L2265" s="11"/>
      <c r="M2265"/>
      <c r="N2265" s="3"/>
      <c r="O2265" s="11"/>
      <c r="P2265" s="11"/>
      <c r="Q2265" s="11"/>
      <c r="R2265" s="11"/>
      <c r="S2265" s="11"/>
      <c r="T2265" s="11"/>
      <c r="U2265" s="11"/>
      <c r="V2265" s="11"/>
      <c r="W2265" s="11"/>
    </row>
    <row r="2266" spans="2:23" x14ac:dyDescent="0.35">
      <c r="B2266"/>
      <c r="C2266"/>
      <c r="D2266"/>
      <c r="E2266"/>
      <c r="F2266"/>
      <c r="G2266"/>
      <c r="H2266"/>
      <c r="I2266"/>
      <c r="J2266"/>
      <c r="K2266"/>
      <c r="L2266" s="11"/>
      <c r="M2266"/>
      <c r="N2266" s="3"/>
      <c r="O2266" s="11"/>
      <c r="P2266" s="11"/>
      <c r="Q2266" s="11"/>
      <c r="R2266" s="11"/>
      <c r="S2266" s="11"/>
      <c r="T2266" s="11"/>
      <c r="U2266" s="11"/>
      <c r="V2266" s="11"/>
      <c r="W2266" s="11"/>
    </row>
    <row r="2267" spans="2:23" x14ac:dyDescent="0.35">
      <c r="B2267"/>
      <c r="C2267"/>
      <c r="D2267"/>
      <c r="E2267"/>
      <c r="F2267"/>
      <c r="G2267"/>
      <c r="H2267"/>
      <c r="I2267"/>
      <c r="J2267"/>
      <c r="K2267"/>
      <c r="L2267" s="11"/>
      <c r="M2267"/>
      <c r="N2267" s="3"/>
      <c r="O2267" s="11"/>
      <c r="P2267" s="11"/>
      <c r="Q2267" s="11"/>
      <c r="R2267" s="11"/>
      <c r="S2267" s="11"/>
      <c r="T2267" s="11"/>
      <c r="U2267" s="11"/>
      <c r="V2267" s="11"/>
      <c r="W2267" s="11"/>
    </row>
    <row r="2268" spans="2:23" x14ac:dyDescent="0.35">
      <c r="B2268"/>
      <c r="C2268"/>
      <c r="D2268"/>
      <c r="E2268"/>
      <c r="F2268"/>
      <c r="G2268"/>
      <c r="H2268"/>
      <c r="I2268"/>
      <c r="J2268"/>
      <c r="K2268"/>
      <c r="L2268" s="11"/>
      <c r="M2268"/>
      <c r="N2268" s="3"/>
      <c r="O2268" s="11"/>
      <c r="P2268" s="11"/>
      <c r="Q2268" s="11"/>
      <c r="R2268" s="11"/>
      <c r="S2268" s="11"/>
      <c r="T2268" s="11"/>
      <c r="U2268" s="11"/>
      <c r="V2268" s="11"/>
      <c r="W2268" s="11"/>
    </row>
    <row r="2269" spans="2:23" x14ac:dyDescent="0.35">
      <c r="B2269"/>
      <c r="C2269"/>
      <c r="D2269"/>
      <c r="E2269"/>
      <c r="F2269"/>
      <c r="G2269"/>
      <c r="H2269"/>
      <c r="I2269"/>
      <c r="J2269"/>
      <c r="K2269"/>
      <c r="L2269" s="11"/>
      <c r="M2269"/>
      <c r="N2269" s="3"/>
      <c r="O2269" s="11"/>
      <c r="P2269" s="11"/>
      <c r="Q2269" s="11"/>
      <c r="R2269" s="11"/>
      <c r="S2269" s="11"/>
      <c r="T2269" s="11"/>
      <c r="U2269" s="11"/>
      <c r="V2269" s="11"/>
      <c r="W2269" s="11"/>
    </row>
    <row r="2270" spans="2:23" x14ac:dyDescent="0.35">
      <c r="B2270"/>
      <c r="C2270"/>
      <c r="D2270"/>
      <c r="E2270"/>
      <c r="F2270"/>
      <c r="G2270"/>
      <c r="H2270"/>
      <c r="I2270"/>
      <c r="J2270"/>
      <c r="K2270"/>
      <c r="L2270" s="11"/>
      <c r="M2270"/>
      <c r="N2270" s="3"/>
      <c r="O2270" s="11"/>
      <c r="P2270" s="11"/>
      <c r="Q2270" s="11"/>
      <c r="R2270" s="11"/>
      <c r="S2270" s="11"/>
      <c r="T2270" s="11"/>
      <c r="U2270" s="11"/>
      <c r="V2270" s="11"/>
      <c r="W2270" s="11"/>
    </row>
    <row r="2271" spans="2:23" x14ac:dyDescent="0.35">
      <c r="B2271"/>
      <c r="C2271"/>
      <c r="D2271"/>
      <c r="E2271"/>
      <c r="F2271"/>
      <c r="G2271"/>
      <c r="H2271"/>
      <c r="I2271"/>
      <c r="J2271"/>
      <c r="K2271"/>
      <c r="L2271" s="11"/>
      <c r="M2271"/>
      <c r="N2271" s="3"/>
      <c r="O2271" s="11"/>
      <c r="P2271" s="11"/>
      <c r="Q2271" s="11"/>
      <c r="R2271" s="11"/>
      <c r="S2271" s="11"/>
      <c r="T2271" s="11"/>
      <c r="U2271" s="11"/>
      <c r="V2271" s="11"/>
      <c r="W2271" s="11"/>
    </row>
    <row r="2272" spans="2:23" x14ac:dyDescent="0.35">
      <c r="B2272"/>
      <c r="C2272"/>
      <c r="D2272"/>
      <c r="E2272"/>
      <c r="F2272"/>
      <c r="G2272"/>
      <c r="H2272"/>
      <c r="I2272"/>
      <c r="J2272"/>
      <c r="K2272"/>
      <c r="L2272" s="11"/>
      <c r="M2272"/>
      <c r="N2272" s="3"/>
      <c r="O2272" s="11"/>
      <c r="P2272" s="11"/>
      <c r="Q2272" s="11"/>
      <c r="R2272" s="11"/>
      <c r="S2272" s="11"/>
      <c r="T2272" s="11"/>
      <c r="U2272" s="11"/>
      <c r="V2272" s="11"/>
      <c r="W2272" s="11"/>
    </row>
    <row r="2273" spans="2:23" x14ac:dyDescent="0.35">
      <c r="B2273"/>
      <c r="C2273"/>
      <c r="D2273"/>
      <c r="E2273"/>
      <c r="F2273"/>
      <c r="G2273"/>
      <c r="H2273"/>
      <c r="I2273"/>
      <c r="J2273"/>
      <c r="K2273"/>
      <c r="L2273" s="11"/>
      <c r="M2273"/>
      <c r="N2273" s="3"/>
      <c r="O2273" s="11"/>
      <c r="P2273" s="11"/>
      <c r="Q2273" s="11"/>
      <c r="R2273" s="11"/>
      <c r="S2273" s="11"/>
      <c r="T2273" s="11"/>
      <c r="U2273" s="11"/>
      <c r="V2273" s="11"/>
      <c r="W2273" s="11"/>
    </row>
    <row r="2274" spans="2:23" x14ac:dyDescent="0.35">
      <c r="B2274"/>
      <c r="C2274"/>
      <c r="D2274"/>
      <c r="E2274"/>
      <c r="F2274"/>
      <c r="G2274"/>
      <c r="H2274"/>
      <c r="I2274"/>
      <c r="J2274"/>
      <c r="K2274"/>
      <c r="L2274" s="11"/>
      <c r="M2274"/>
      <c r="N2274" s="3"/>
      <c r="O2274" s="11"/>
      <c r="P2274" s="11"/>
      <c r="Q2274" s="11"/>
      <c r="R2274" s="11"/>
      <c r="S2274" s="11"/>
      <c r="T2274" s="11"/>
      <c r="U2274" s="11"/>
      <c r="V2274" s="11"/>
      <c r="W2274" s="11"/>
    </row>
    <row r="2275" spans="2:23" x14ac:dyDescent="0.35">
      <c r="B2275"/>
      <c r="C2275"/>
      <c r="D2275"/>
      <c r="E2275"/>
      <c r="F2275"/>
      <c r="G2275"/>
      <c r="H2275"/>
      <c r="I2275"/>
      <c r="J2275"/>
      <c r="K2275"/>
      <c r="L2275" s="11"/>
      <c r="M2275"/>
      <c r="N2275" s="3"/>
      <c r="O2275" s="11"/>
      <c r="P2275" s="11"/>
      <c r="Q2275" s="11"/>
      <c r="R2275" s="11"/>
      <c r="S2275" s="11"/>
      <c r="T2275" s="11"/>
      <c r="U2275" s="11"/>
      <c r="V2275" s="11"/>
      <c r="W2275" s="11"/>
    </row>
    <row r="2276" spans="2:23" x14ac:dyDescent="0.35">
      <c r="B2276"/>
      <c r="C2276"/>
      <c r="D2276"/>
      <c r="E2276"/>
      <c r="F2276"/>
      <c r="G2276"/>
      <c r="H2276"/>
      <c r="I2276"/>
      <c r="J2276"/>
      <c r="K2276"/>
      <c r="L2276" s="11"/>
      <c r="M2276"/>
      <c r="N2276" s="3"/>
      <c r="O2276" s="11"/>
      <c r="P2276" s="11"/>
      <c r="Q2276" s="11"/>
      <c r="R2276" s="11"/>
      <c r="S2276" s="11"/>
      <c r="T2276" s="11"/>
      <c r="U2276" s="11"/>
      <c r="V2276" s="11"/>
      <c r="W2276" s="11"/>
    </row>
    <row r="2277" spans="2:23" x14ac:dyDescent="0.35">
      <c r="B2277"/>
      <c r="C2277"/>
      <c r="D2277"/>
      <c r="E2277"/>
      <c r="F2277"/>
      <c r="G2277"/>
      <c r="H2277"/>
      <c r="I2277"/>
      <c r="J2277"/>
      <c r="K2277"/>
      <c r="L2277" s="11"/>
      <c r="M2277"/>
      <c r="N2277" s="3"/>
      <c r="O2277" s="11"/>
      <c r="P2277" s="11"/>
      <c r="Q2277" s="11"/>
      <c r="R2277" s="11"/>
      <c r="S2277" s="11"/>
      <c r="T2277" s="11"/>
      <c r="U2277" s="11"/>
      <c r="V2277" s="11"/>
      <c r="W2277" s="11"/>
    </row>
    <row r="2278" spans="2:23" x14ac:dyDescent="0.35">
      <c r="B2278"/>
      <c r="C2278"/>
      <c r="D2278"/>
      <c r="E2278"/>
      <c r="F2278"/>
      <c r="G2278"/>
      <c r="H2278"/>
      <c r="I2278"/>
      <c r="J2278"/>
      <c r="K2278"/>
      <c r="L2278" s="11"/>
      <c r="M2278"/>
      <c r="N2278" s="3"/>
      <c r="O2278" s="11"/>
      <c r="P2278" s="11"/>
      <c r="Q2278" s="11"/>
      <c r="R2278" s="11"/>
      <c r="S2278" s="11"/>
      <c r="T2278" s="11"/>
      <c r="U2278" s="11"/>
      <c r="V2278" s="11"/>
      <c r="W2278" s="11"/>
    </row>
    <row r="2279" spans="2:23" x14ac:dyDescent="0.35">
      <c r="B2279"/>
      <c r="C2279"/>
      <c r="D2279"/>
      <c r="E2279"/>
      <c r="F2279"/>
      <c r="G2279"/>
      <c r="H2279"/>
      <c r="I2279"/>
      <c r="J2279"/>
      <c r="K2279"/>
      <c r="L2279" s="11"/>
      <c r="M2279"/>
      <c r="N2279" s="3"/>
      <c r="O2279" s="11"/>
      <c r="P2279" s="11"/>
      <c r="Q2279" s="11"/>
      <c r="R2279" s="11"/>
      <c r="S2279" s="11"/>
      <c r="T2279" s="11"/>
      <c r="U2279" s="11"/>
      <c r="V2279" s="11"/>
      <c r="W2279" s="11"/>
    </row>
    <row r="2280" spans="2:23" x14ac:dyDescent="0.35">
      <c r="B2280"/>
      <c r="C2280"/>
      <c r="D2280"/>
      <c r="E2280"/>
      <c r="F2280"/>
      <c r="G2280"/>
      <c r="H2280"/>
      <c r="I2280"/>
      <c r="J2280"/>
      <c r="K2280"/>
      <c r="L2280" s="11"/>
      <c r="M2280"/>
      <c r="N2280" s="3"/>
      <c r="O2280" s="11"/>
      <c r="P2280" s="11"/>
      <c r="Q2280" s="11"/>
      <c r="R2280" s="11"/>
      <c r="S2280" s="11"/>
      <c r="T2280" s="11"/>
      <c r="U2280" s="11"/>
      <c r="V2280" s="11"/>
      <c r="W2280" s="11"/>
    </row>
    <row r="2281" spans="2:23" x14ac:dyDescent="0.35">
      <c r="B2281"/>
      <c r="C2281"/>
      <c r="D2281"/>
      <c r="E2281"/>
      <c r="F2281"/>
      <c r="G2281"/>
      <c r="H2281"/>
      <c r="I2281"/>
      <c r="J2281"/>
      <c r="K2281"/>
      <c r="L2281" s="11"/>
      <c r="M2281"/>
      <c r="N2281" s="3"/>
      <c r="O2281" s="11"/>
      <c r="P2281" s="11"/>
      <c r="Q2281" s="11"/>
      <c r="R2281" s="11"/>
      <c r="S2281" s="11"/>
      <c r="T2281" s="11"/>
      <c r="U2281" s="11"/>
      <c r="V2281" s="11"/>
      <c r="W2281" s="11"/>
    </row>
    <row r="2282" spans="2:23" x14ac:dyDescent="0.35">
      <c r="B2282"/>
      <c r="C2282"/>
      <c r="D2282"/>
      <c r="E2282"/>
      <c r="F2282"/>
      <c r="G2282"/>
      <c r="H2282"/>
      <c r="I2282"/>
      <c r="J2282"/>
      <c r="K2282"/>
      <c r="L2282" s="11"/>
      <c r="M2282"/>
      <c r="N2282" s="3"/>
      <c r="O2282" s="11"/>
      <c r="P2282" s="11"/>
      <c r="Q2282" s="11"/>
      <c r="R2282" s="11"/>
      <c r="S2282" s="11"/>
      <c r="T2282" s="11"/>
      <c r="U2282" s="11"/>
      <c r="V2282" s="11"/>
      <c r="W2282" s="11"/>
    </row>
    <row r="2283" spans="2:23" x14ac:dyDescent="0.35">
      <c r="B2283"/>
      <c r="C2283"/>
      <c r="D2283"/>
      <c r="E2283"/>
      <c r="F2283"/>
      <c r="G2283"/>
      <c r="H2283"/>
      <c r="I2283"/>
      <c r="J2283"/>
      <c r="K2283"/>
      <c r="L2283" s="11"/>
      <c r="M2283"/>
      <c r="N2283" s="3"/>
      <c r="O2283" s="11"/>
      <c r="P2283" s="11"/>
      <c r="Q2283" s="11"/>
      <c r="R2283" s="11"/>
      <c r="S2283" s="11"/>
      <c r="T2283" s="11"/>
      <c r="U2283" s="11"/>
      <c r="V2283" s="11"/>
      <c r="W2283" s="11"/>
    </row>
    <row r="2284" spans="2:23" x14ac:dyDescent="0.35">
      <c r="B2284"/>
      <c r="C2284"/>
      <c r="D2284"/>
      <c r="E2284"/>
      <c r="F2284"/>
      <c r="G2284"/>
      <c r="H2284"/>
      <c r="I2284"/>
      <c r="J2284"/>
      <c r="K2284"/>
      <c r="L2284" s="11"/>
      <c r="M2284"/>
      <c r="N2284" s="3"/>
      <c r="O2284" s="11"/>
      <c r="P2284" s="11"/>
      <c r="Q2284" s="11"/>
      <c r="R2284" s="11"/>
      <c r="S2284" s="11"/>
      <c r="T2284" s="11"/>
      <c r="U2284" s="11"/>
      <c r="V2284" s="11"/>
      <c r="W2284" s="11"/>
    </row>
    <row r="2285" spans="2:23" x14ac:dyDescent="0.35">
      <c r="B2285"/>
      <c r="C2285"/>
      <c r="D2285"/>
      <c r="E2285"/>
      <c r="F2285"/>
      <c r="G2285"/>
      <c r="H2285"/>
      <c r="I2285"/>
      <c r="J2285"/>
      <c r="K2285"/>
      <c r="L2285" s="11"/>
      <c r="M2285"/>
      <c r="N2285" s="3"/>
      <c r="O2285" s="11"/>
      <c r="P2285" s="11"/>
      <c r="Q2285" s="11"/>
      <c r="R2285" s="11"/>
      <c r="S2285" s="11"/>
      <c r="T2285" s="11"/>
      <c r="U2285" s="11"/>
      <c r="V2285" s="11"/>
      <c r="W2285" s="11"/>
    </row>
    <row r="2286" spans="2:23" x14ac:dyDescent="0.35">
      <c r="B2286"/>
      <c r="C2286"/>
      <c r="D2286"/>
      <c r="E2286"/>
      <c r="F2286"/>
      <c r="G2286"/>
      <c r="H2286"/>
      <c r="I2286"/>
      <c r="J2286"/>
      <c r="K2286"/>
      <c r="L2286" s="11"/>
      <c r="M2286"/>
      <c r="N2286" s="3"/>
      <c r="O2286" s="11"/>
      <c r="P2286" s="11"/>
      <c r="Q2286" s="11"/>
      <c r="R2286" s="11"/>
      <c r="S2286" s="11"/>
      <c r="T2286" s="11"/>
      <c r="U2286" s="11"/>
      <c r="V2286" s="11"/>
      <c r="W2286" s="11"/>
    </row>
    <row r="2287" spans="2:23" x14ac:dyDescent="0.35">
      <c r="B2287"/>
      <c r="C2287"/>
      <c r="D2287"/>
      <c r="E2287"/>
      <c r="F2287"/>
      <c r="G2287"/>
      <c r="H2287"/>
      <c r="I2287"/>
      <c r="J2287"/>
      <c r="K2287"/>
      <c r="L2287" s="11"/>
      <c r="M2287"/>
      <c r="N2287" s="3"/>
      <c r="O2287" s="11"/>
      <c r="P2287" s="11"/>
      <c r="Q2287" s="11"/>
      <c r="R2287" s="11"/>
      <c r="S2287" s="11"/>
      <c r="T2287" s="11"/>
      <c r="U2287" s="11"/>
      <c r="V2287" s="11"/>
      <c r="W2287" s="11"/>
    </row>
    <row r="2288" spans="2:23" x14ac:dyDescent="0.35">
      <c r="B2288"/>
      <c r="C2288"/>
      <c r="D2288"/>
      <c r="E2288"/>
      <c r="F2288"/>
      <c r="G2288"/>
      <c r="H2288"/>
      <c r="I2288"/>
      <c r="J2288"/>
      <c r="K2288"/>
      <c r="L2288" s="11"/>
      <c r="M2288"/>
      <c r="N2288" s="3"/>
      <c r="O2288" s="11"/>
      <c r="P2288" s="11"/>
      <c r="Q2288" s="11"/>
      <c r="R2288" s="11"/>
      <c r="S2288" s="11"/>
      <c r="T2288" s="11"/>
      <c r="U2288" s="11"/>
      <c r="V2288" s="11"/>
      <c r="W2288" s="11"/>
    </row>
    <row r="2289" spans="2:23" x14ac:dyDescent="0.35">
      <c r="B2289"/>
      <c r="C2289"/>
      <c r="D2289"/>
      <c r="E2289"/>
      <c r="F2289"/>
      <c r="G2289"/>
      <c r="H2289"/>
      <c r="I2289"/>
      <c r="J2289"/>
      <c r="K2289"/>
      <c r="L2289" s="11"/>
      <c r="M2289"/>
      <c r="N2289" s="3"/>
      <c r="O2289" s="11"/>
      <c r="P2289" s="11"/>
      <c r="Q2289" s="11"/>
      <c r="R2289" s="11"/>
      <c r="S2289" s="11"/>
      <c r="T2289" s="11"/>
      <c r="U2289" s="11"/>
      <c r="V2289" s="11"/>
      <c r="W2289" s="11"/>
    </row>
    <row r="2290" spans="2:23" x14ac:dyDescent="0.35">
      <c r="B2290"/>
      <c r="C2290"/>
      <c r="D2290"/>
      <c r="E2290"/>
      <c r="F2290"/>
      <c r="G2290"/>
      <c r="H2290"/>
      <c r="I2290"/>
      <c r="J2290"/>
      <c r="K2290"/>
      <c r="L2290" s="11"/>
      <c r="M2290"/>
      <c r="N2290" s="3"/>
      <c r="O2290" s="11"/>
      <c r="P2290" s="11"/>
      <c r="Q2290" s="11"/>
      <c r="R2290" s="11"/>
      <c r="S2290" s="11"/>
      <c r="T2290" s="11"/>
      <c r="U2290" s="11"/>
      <c r="V2290" s="11"/>
      <c r="W2290" s="11"/>
    </row>
    <row r="2291" spans="2:23" x14ac:dyDescent="0.35">
      <c r="B2291"/>
      <c r="C2291"/>
      <c r="D2291"/>
      <c r="E2291"/>
      <c r="F2291"/>
      <c r="G2291"/>
      <c r="H2291"/>
      <c r="I2291"/>
      <c r="J2291"/>
      <c r="K2291"/>
      <c r="L2291" s="11"/>
      <c r="M2291"/>
      <c r="N2291" s="3"/>
      <c r="O2291" s="11"/>
      <c r="P2291" s="11"/>
      <c r="Q2291" s="11"/>
      <c r="R2291" s="11"/>
      <c r="S2291" s="11"/>
      <c r="T2291" s="11"/>
      <c r="U2291" s="11"/>
      <c r="V2291" s="11"/>
      <c r="W2291" s="11"/>
    </row>
    <row r="2292" spans="2:23" x14ac:dyDescent="0.35">
      <c r="B2292"/>
      <c r="C2292"/>
      <c r="D2292"/>
      <c r="E2292"/>
      <c r="F2292"/>
      <c r="G2292"/>
      <c r="H2292"/>
      <c r="I2292"/>
      <c r="J2292"/>
      <c r="K2292"/>
      <c r="L2292" s="11"/>
      <c r="M2292"/>
      <c r="N2292" s="3"/>
      <c r="O2292" s="11"/>
      <c r="P2292" s="11"/>
      <c r="Q2292" s="11"/>
      <c r="R2292" s="11"/>
      <c r="S2292" s="11"/>
      <c r="T2292" s="11"/>
      <c r="U2292" s="11"/>
      <c r="V2292" s="11"/>
      <c r="W2292" s="11"/>
    </row>
    <row r="2293" spans="2:23" x14ac:dyDescent="0.35">
      <c r="B2293"/>
      <c r="C2293"/>
      <c r="D2293"/>
      <c r="E2293"/>
      <c r="F2293"/>
      <c r="G2293"/>
      <c r="H2293"/>
      <c r="I2293"/>
      <c r="J2293"/>
      <c r="K2293"/>
      <c r="L2293" s="11"/>
      <c r="M2293"/>
      <c r="N2293" s="3"/>
      <c r="O2293" s="11"/>
      <c r="P2293" s="11"/>
      <c r="Q2293" s="11"/>
      <c r="R2293" s="11"/>
      <c r="S2293" s="11"/>
      <c r="T2293" s="11"/>
      <c r="U2293" s="11"/>
      <c r="V2293" s="11"/>
      <c r="W2293" s="11"/>
    </row>
    <row r="2294" spans="2:23" x14ac:dyDescent="0.35">
      <c r="B2294"/>
      <c r="C2294"/>
      <c r="D2294"/>
      <c r="E2294"/>
      <c r="F2294"/>
      <c r="G2294"/>
      <c r="H2294"/>
      <c r="I2294"/>
      <c r="J2294"/>
      <c r="K2294"/>
      <c r="L2294" s="11"/>
      <c r="M2294"/>
      <c r="N2294" s="3"/>
      <c r="O2294" s="11"/>
      <c r="P2294" s="11"/>
      <c r="Q2294" s="11"/>
      <c r="R2294" s="11"/>
      <c r="S2294" s="11"/>
      <c r="T2294" s="11"/>
      <c r="U2294" s="11"/>
      <c r="V2294" s="11"/>
      <c r="W2294" s="11"/>
    </row>
    <row r="2295" spans="2:23" x14ac:dyDescent="0.35">
      <c r="B2295"/>
      <c r="C2295"/>
      <c r="D2295"/>
      <c r="E2295"/>
      <c r="F2295"/>
      <c r="G2295"/>
      <c r="H2295"/>
      <c r="I2295"/>
      <c r="J2295"/>
      <c r="K2295"/>
      <c r="L2295" s="11"/>
      <c r="M2295"/>
      <c r="N2295" s="3"/>
      <c r="O2295" s="11"/>
      <c r="P2295" s="11"/>
      <c r="Q2295" s="11"/>
      <c r="R2295" s="11"/>
      <c r="S2295" s="11"/>
      <c r="T2295" s="11"/>
      <c r="U2295" s="11"/>
      <c r="V2295" s="11"/>
      <c r="W2295" s="11"/>
    </row>
    <row r="2296" spans="2:23" x14ac:dyDescent="0.35">
      <c r="B2296"/>
      <c r="C2296"/>
      <c r="D2296"/>
      <c r="E2296"/>
      <c r="F2296"/>
      <c r="G2296"/>
      <c r="H2296"/>
      <c r="I2296"/>
      <c r="J2296"/>
      <c r="K2296"/>
      <c r="L2296" s="11"/>
      <c r="M2296"/>
      <c r="N2296" s="3"/>
      <c r="O2296" s="11"/>
      <c r="P2296" s="11"/>
      <c r="Q2296" s="11"/>
      <c r="R2296" s="11"/>
      <c r="S2296" s="11"/>
      <c r="T2296" s="11"/>
      <c r="U2296" s="11"/>
      <c r="V2296" s="11"/>
      <c r="W2296" s="11"/>
    </row>
    <row r="2297" spans="2:23" x14ac:dyDescent="0.35">
      <c r="B2297"/>
      <c r="C2297"/>
      <c r="D2297"/>
      <c r="E2297"/>
      <c r="F2297"/>
      <c r="G2297"/>
      <c r="H2297"/>
      <c r="I2297"/>
      <c r="J2297"/>
      <c r="K2297"/>
      <c r="L2297" s="11"/>
      <c r="M2297"/>
      <c r="N2297" s="3"/>
      <c r="O2297" s="11"/>
      <c r="P2297" s="11"/>
      <c r="Q2297" s="11"/>
      <c r="R2297" s="11"/>
      <c r="S2297" s="11"/>
      <c r="T2297" s="11"/>
      <c r="U2297" s="11"/>
      <c r="V2297" s="11"/>
      <c r="W2297" s="11"/>
    </row>
    <row r="2298" spans="2:23" x14ac:dyDescent="0.35">
      <c r="B2298"/>
      <c r="C2298"/>
      <c r="D2298"/>
      <c r="E2298"/>
      <c r="F2298"/>
      <c r="G2298"/>
      <c r="H2298"/>
      <c r="I2298"/>
      <c r="J2298"/>
      <c r="K2298"/>
      <c r="L2298" s="11"/>
      <c r="M2298"/>
      <c r="N2298" s="3"/>
      <c r="O2298" s="11"/>
      <c r="P2298" s="11"/>
      <c r="Q2298" s="11"/>
      <c r="R2298" s="11"/>
      <c r="S2298" s="11"/>
      <c r="T2298" s="11"/>
      <c r="U2298" s="11"/>
      <c r="V2298" s="11"/>
      <c r="W2298" s="11"/>
    </row>
    <row r="2299" spans="2:23" x14ac:dyDescent="0.35">
      <c r="B2299"/>
      <c r="C2299"/>
      <c r="D2299"/>
      <c r="E2299"/>
      <c r="F2299"/>
      <c r="G2299"/>
      <c r="H2299"/>
      <c r="I2299"/>
      <c r="J2299"/>
      <c r="K2299"/>
      <c r="L2299" s="11"/>
      <c r="M2299"/>
      <c r="N2299" s="3"/>
      <c r="O2299" s="11"/>
      <c r="P2299" s="11"/>
      <c r="Q2299" s="11"/>
      <c r="R2299" s="11"/>
      <c r="S2299" s="11"/>
      <c r="T2299" s="11"/>
      <c r="U2299" s="11"/>
      <c r="V2299" s="11"/>
      <c r="W2299" s="11"/>
    </row>
    <row r="2300" spans="2:23" x14ac:dyDescent="0.35">
      <c r="B2300"/>
      <c r="C2300"/>
      <c r="D2300"/>
      <c r="E2300"/>
      <c r="F2300"/>
      <c r="G2300"/>
      <c r="H2300"/>
      <c r="I2300"/>
      <c r="J2300"/>
      <c r="K2300"/>
      <c r="L2300" s="11"/>
      <c r="M2300"/>
      <c r="N2300" s="3"/>
      <c r="O2300" s="11"/>
      <c r="P2300" s="11"/>
      <c r="Q2300" s="11"/>
      <c r="R2300" s="11"/>
      <c r="S2300" s="11"/>
      <c r="T2300" s="11"/>
      <c r="U2300" s="11"/>
      <c r="V2300" s="11"/>
      <c r="W2300" s="11"/>
    </row>
    <row r="2301" spans="2:23" x14ac:dyDescent="0.35">
      <c r="B2301"/>
      <c r="C2301"/>
      <c r="D2301"/>
      <c r="E2301"/>
      <c r="F2301"/>
      <c r="G2301"/>
      <c r="H2301"/>
      <c r="I2301"/>
      <c r="J2301"/>
      <c r="K2301"/>
      <c r="L2301" s="11"/>
      <c r="M2301"/>
      <c r="N2301" s="3"/>
      <c r="O2301" s="11"/>
      <c r="P2301" s="11"/>
      <c r="Q2301" s="11"/>
      <c r="R2301" s="11"/>
      <c r="S2301" s="11"/>
      <c r="T2301" s="11"/>
      <c r="U2301" s="11"/>
      <c r="V2301" s="11"/>
      <c r="W2301" s="11"/>
    </row>
    <row r="2302" spans="2:23" x14ac:dyDescent="0.35">
      <c r="B2302"/>
      <c r="C2302"/>
      <c r="D2302"/>
      <c r="E2302"/>
      <c r="F2302"/>
      <c r="G2302"/>
      <c r="H2302"/>
      <c r="I2302"/>
      <c r="J2302"/>
      <c r="K2302"/>
      <c r="L2302" s="11"/>
      <c r="M2302"/>
      <c r="N2302" s="3"/>
      <c r="O2302" s="11"/>
      <c r="P2302" s="11"/>
      <c r="Q2302" s="11"/>
      <c r="R2302" s="11"/>
      <c r="S2302" s="11"/>
      <c r="T2302" s="11"/>
      <c r="U2302" s="11"/>
      <c r="V2302" s="11"/>
      <c r="W2302" s="11"/>
    </row>
    <row r="2303" spans="2:23" x14ac:dyDescent="0.35">
      <c r="B2303"/>
      <c r="C2303"/>
      <c r="D2303"/>
      <c r="E2303"/>
      <c r="F2303"/>
      <c r="G2303"/>
      <c r="H2303"/>
      <c r="I2303"/>
      <c r="J2303"/>
      <c r="K2303"/>
      <c r="L2303" s="11"/>
      <c r="M2303"/>
      <c r="N2303" s="3"/>
      <c r="O2303" s="11"/>
      <c r="P2303" s="11"/>
      <c r="Q2303" s="11"/>
      <c r="R2303" s="11"/>
      <c r="S2303" s="11"/>
      <c r="T2303" s="11"/>
      <c r="U2303" s="11"/>
      <c r="V2303" s="11"/>
      <c r="W2303" s="11"/>
    </row>
    <row r="2304" spans="2:23" x14ac:dyDescent="0.35">
      <c r="B2304"/>
      <c r="C2304"/>
      <c r="D2304"/>
      <c r="E2304"/>
      <c r="F2304"/>
      <c r="G2304"/>
      <c r="H2304"/>
      <c r="I2304"/>
      <c r="J2304"/>
      <c r="K2304"/>
      <c r="L2304" s="11"/>
      <c r="M2304"/>
      <c r="N2304" s="3"/>
      <c r="O2304" s="11"/>
      <c r="P2304" s="11"/>
      <c r="Q2304" s="11"/>
      <c r="R2304" s="11"/>
      <c r="S2304" s="11"/>
      <c r="T2304" s="11"/>
      <c r="U2304" s="11"/>
      <c r="V2304" s="11"/>
      <c r="W2304" s="11"/>
    </row>
    <row r="2305" spans="2:23" x14ac:dyDescent="0.35">
      <c r="B2305"/>
      <c r="C2305"/>
      <c r="D2305"/>
      <c r="E2305"/>
      <c r="F2305"/>
      <c r="G2305"/>
      <c r="H2305"/>
      <c r="I2305"/>
      <c r="J2305"/>
      <c r="K2305"/>
      <c r="L2305" s="11"/>
      <c r="M2305"/>
      <c r="N2305" s="3"/>
      <c r="O2305" s="11"/>
      <c r="P2305" s="11"/>
      <c r="Q2305" s="11"/>
      <c r="R2305" s="11"/>
      <c r="S2305" s="11"/>
      <c r="T2305" s="11"/>
      <c r="U2305" s="11"/>
      <c r="V2305" s="11"/>
      <c r="W2305" s="11"/>
    </row>
    <row r="2306" spans="2:23" x14ac:dyDescent="0.35">
      <c r="B2306"/>
      <c r="C2306"/>
      <c r="D2306"/>
      <c r="E2306"/>
      <c r="F2306"/>
      <c r="G2306"/>
      <c r="H2306"/>
      <c r="I2306"/>
      <c r="J2306"/>
      <c r="K2306"/>
      <c r="L2306" s="11"/>
      <c r="M2306"/>
      <c r="N2306" s="3"/>
      <c r="O2306" s="11"/>
      <c r="P2306" s="11"/>
      <c r="Q2306" s="11"/>
      <c r="R2306" s="11"/>
      <c r="S2306" s="11"/>
      <c r="T2306" s="11"/>
      <c r="U2306" s="11"/>
      <c r="V2306" s="11"/>
      <c r="W2306" s="11"/>
    </row>
    <row r="2307" spans="2:23" x14ac:dyDescent="0.35">
      <c r="B2307"/>
      <c r="C2307"/>
      <c r="D2307"/>
      <c r="E2307"/>
      <c r="F2307"/>
      <c r="G2307"/>
      <c r="H2307"/>
      <c r="I2307"/>
      <c r="J2307"/>
      <c r="K2307"/>
      <c r="L2307" s="11"/>
      <c r="M2307"/>
      <c r="N2307" s="3"/>
      <c r="O2307" s="11"/>
      <c r="P2307" s="11"/>
      <c r="Q2307" s="11"/>
      <c r="R2307" s="11"/>
      <c r="S2307" s="11"/>
      <c r="T2307" s="11"/>
      <c r="U2307" s="11"/>
      <c r="V2307" s="11"/>
      <c r="W2307" s="11"/>
    </row>
    <row r="2308" spans="2:23" x14ac:dyDescent="0.35">
      <c r="B2308"/>
      <c r="C2308"/>
      <c r="D2308"/>
      <c r="E2308"/>
      <c r="F2308"/>
      <c r="G2308"/>
      <c r="H2308"/>
      <c r="I2308"/>
      <c r="J2308"/>
      <c r="K2308"/>
      <c r="L2308" s="11"/>
      <c r="M2308"/>
      <c r="N2308" s="3"/>
      <c r="O2308" s="11"/>
      <c r="P2308" s="11"/>
      <c r="Q2308" s="11"/>
      <c r="R2308" s="11"/>
      <c r="S2308" s="11"/>
      <c r="T2308" s="11"/>
      <c r="U2308" s="11"/>
      <c r="V2308" s="11"/>
      <c r="W2308" s="11"/>
    </row>
    <row r="2309" spans="2:23" x14ac:dyDescent="0.35">
      <c r="B2309"/>
      <c r="C2309"/>
      <c r="D2309"/>
      <c r="E2309"/>
      <c r="F2309"/>
      <c r="G2309"/>
      <c r="H2309"/>
      <c r="I2309"/>
      <c r="J2309"/>
      <c r="K2309"/>
      <c r="L2309" s="11"/>
      <c r="M2309"/>
      <c r="N2309" s="3"/>
      <c r="O2309" s="11"/>
      <c r="P2309" s="11"/>
      <c r="Q2309" s="11"/>
      <c r="R2309" s="11"/>
      <c r="S2309" s="11"/>
      <c r="T2309" s="11"/>
      <c r="U2309" s="11"/>
      <c r="V2309" s="11"/>
      <c r="W2309" s="11"/>
    </row>
    <row r="2310" spans="2:23" x14ac:dyDescent="0.35">
      <c r="B2310"/>
      <c r="C2310"/>
      <c r="D2310"/>
      <c r="E2310"/>
      <c r="F2310"/>
      <c r="G2310"/>
      <c r="H2310"/>
      <c r="I2310"/>
      <c r="J2310"/>
      <c r="K2310"/>
      <c r="L2310" s="11"/>
      <c r="M2310"/>
      <c r="N2310" s="3"/>
      <c r="O2310" s="11"/>
      <c r="P2310" s="11"/>
      <c r="Q2310" s="11"/>
      <c r="R2310" s="11"/>
      <c r="S2310" s="11"/>
      <c r="T2310" s="11"/>
      <c r="U2310" s="11"/>
      <c r="V2310" s="11"/>
      <c r="W2310" s="11"/>
    </row>
    <row r="2311" spans="2:23" x14ac:dyDescent="0.35">
      <c r="B2311"/>
      <c r="C2311"/>
      <c r="D2311"/>
      <c r="E2311"/>
      <c r="F2311"/>
      <c r="G2311"/>
      <c r="H2311"/>
      <c r="I2311"/>
      <c r="J2311"/>
      <c r="K2311"/>
      <c r="L2311" s="11"/>
      <c r="M2311"/>
      <c r="N2311" s="3"/>
      <c r="O2311" s="11"/>
      <c r="P2311" s="11"/>
      <c r="Q2311" s="11"/>
      <c r="R2311" s="11"/>
      <c r="S2311" s="11"/>
      <c r="T2311" s="11"/>
      <c r="U2311" s="11"/>
      <c r="V2311" s="11"/>
      <c r="W2311" s="11"/>
    </row>
    <row r="2312" spans="2:23" x14ac:dyDescent="0.35">
      <c r="B2312"/>
      <c r="C2312"/>
      <c r="D2312"/>
      <c r="E2312"/>
      <c r="F2312"/>
      <c r="G2312"/>
      <c r="H2312"/>
      <c r="I2312"/>
      <c r="J2312"/>
      <c r="K2312"/>
      <c r="L2312" s="11"/>
      <c r="M2312"/>
      <c r="N2312" s="3"/>
      <c r="O2312" s="11"/>
      <c r="P2312" s="11"/>
      <c r="Q2312" s="11"/>
      <c r="R2312" s="11"/>
      <c r="S2312" s="11"/>
      <c r="T2312" s="11"/>
      <c r="U2312" s="11"/>
      <c r="V2312" s="11"/>
      <c r="W2312" s="11"/>
    </row>
    <row r="2313" spans="2:23" x14ac:dyDescent="0.35">
      <c r="B2313"/>
      <c r="C2313"/>
      <c r="D2313"/>
      <c r="E2313"/>
      <c r="F2313"/>
      <c r="G2313"/>
      <c r="H2313"/>
      <c r="I2313"/>
      <c r="J2313"/>
      <c r="K2313"/>
      <c r="L2313" s="11"/>
      <c r="M2313"/>
      <c r="N2313" s="3"/>
      <c r="O2313" s="11"/>
      <c r="P2313" s="11"/>
      <c r="Q2313" s="11"/>
      <c r="R2313" s="11"/>
      <c r="S2313" s="11"/>
      <c r="T2313" s="11"/>
      <c r="U2313" s="11"/>
      <c r="V2313" s="11"/>
      <c r="W2313" s="11"/>
    </row>
    <row r="2314" spans="2:23" x14ac:dyDescent="0.35">
      <c r="B2314"/>
      <c r="C2314"/>
      <c r="D2314"/>
      <c r="E2314"/>
      <c r="F2314"/>
      <c r="G2314"/>
      <c r="H2314"/>
      <c r="I2314"/>
      <c r="J2314"/>
      <c r="K2314"/>
      <c r="L2314" s="11"/>
      <c r="M2314"/>
      <c r="N2314" s="3"/>
      <c r="O2314" s="11"/>
      <c r="P2314" s="11"/>
      <c r="Q2314" s="11"/>
      <c r="R2314" s="11"/>
      <c r="S2314" s="11"/>
      <c r="T2314" s="11"/>
      <c r="U2314" s="11"/>
      <c r="V2314" s="11"/>
      <c r="W2314" s="11"/>
    </row>
    <row r="2315" spans="2:23" x14ac:dyDescent="0.35">
      <c r="B2315"/>
      <c r="C2315"/>
      <c r="D2315"/>
      <c r="E2315"/>
      <c r="F2315"/>
      <c r="G2315"/>
      <c r="H2315"/>
      <c r="I2315"/>
      <c r="J2315"/>
      <c r="K2315"/>
      <c r="L2315" s="11"/>
      <c r="M2315"/>
      <c r="N2315" s="3"/>
      <c r="O2315" s="11"/>
      <c r="P2315" s="11"/>
      <c r="Q2315" s="11"/>
      <c r="R2315" s="11"/>
      <c r="S2315" s="11"/>
      <c r="T2315" s="11"/>
      <c r="U2315" s="11"/>
      <c r="V2315" s="11"/>
      <c r="W2315" s="11"/>
    </row>
    <row r="2316" spans="2:23" x14ac:dyDescent="0.35">
      <c r="B2316"/>
      <c r="C2316"/>
      <c r="D2316"/>
      <c r="E2316"/>
      <c r="F2316"/>
      <c r="G2316"/>
      <c r="H2316"/>
      <c r="I2316"/>
      <c r="J2316"/>
      <c r="K2316"/>
      <c r="L2316" s="11"/>
      <c r="M2316"/>
      <c r="N2316" s="3"/>
      <c r="O2316" s="11"/>
      <c r="P2316" s="11"/>
      <c r="Q2316" s="11"/>
      <c r="R2316" s="11"/>
      <c r="S2316" s="11"/>
      <c r="T2316" s="11"/>
      <c r="U2316" s="11"/>
      <c r="V2316" s="11"/>
      <c r="W2316" s="11"/>
    </row>
    <row r="2317" spans="2:23" x14ac:dyDescent="0.35">
      <c r="B2317"/>
      <c r="C2317"/>
      <c r="D2317"/>
      <c r="E2317"/>
      <c r="F2317"/>
      <c r="G2317"/>
      <c r="H2317"/>
      <c r="I2317"/>
      <c r="J2317"/>
      <c r="K2317"/>
      <c r="L2317" s="11"/>
      <c r="M2317"/>
      <c r="N2317" s="3"/>
      <c r="O2317" s="11"/>
      <c r="P2317" s="11"/>
      <c r="Q2317" s="11"/>
      <c r="R2317" s="11"/>
      <c r="S2317" s="11"/>
      <c r="T2317" s="11"/>
      <c r="U2317" s="11"/>
      <c r="V2317" s="11"/>
      <c r="W2317" s="11"/>
    </row>
    <row r="2318" spans="2:23" x14ac:dyDescent="0.35">
      <c r="B2318"/>
      <c r="C2318"/>
      <c r="D2318"/>
      <c r="E2318"/>
      <c r="F2318"/>
      <c r="G2318"/>
      <c r="H2318"/>
      <c r="I2318"/>
      <c r="J2318"/>
      <c r="K2318"/>
      <c r="L2318" s="11"/>
      <c r="M2318"/>
      <c r="N2318" s="3"/>
      <c r="O2318" s="11"/>
      <c r="P2318" s="11"/>
      <c r="Q2318" s="11"/>
      <c r="R2318" s="11"/>
      <c r="S2318" s="11"/>
      <c r="T2318" s="11"/>
      <c r="U2318" s="11"/>
      <c r="V2318" s="11"/>
      <c r="W2318" s="11"/>
    </row>
    <row r="2319" spans="2:23" x14ac:dyDescent="0.35">
      <c r="B2319"/>
      <c r="C2319"/>
      <c r="D2319"/>
      <c r="E2319"/>
      <c r="F2319"/>
      <c r="G2319"/>
      <c r="H2319"/>
      <c r="I2319"/>
      <c r="J2319"/>
      <c r="K2319"/>
      <c r="L2319" s="11"/>
      <c r="M2319"/>
      <c r="N2319" s="3"/>
      <c r="O2319" s="11"/>
      <c r="P2319" s="11"/>
      <c r="Q2319" s="11"/>
      <c r="R2319" s="11"/>
      <c r="S2319" s="11"/>
      <c r="T2319" s="11"/>
      <c r="U2319" s="11"/>
      <c r="V2319" s="11"/>
      <c r="W2319" s="11"/>
    </row>
    <row r="2320" spans="2:23" x14ac:dyDescent="0.35">
      <c r="B2320"/>
      <c r="C2320"/>
      <c r="D2320"/>
      <c r="E2320"/>
      <c r="F2320"/>
      <c r="G2320"/>
      <c r="H2320"/>
      <c r="I2320"/>
      <c r="J2320"/>
      <c r="K2320"/>
      <c r="L2320" s="11"/>
      <c r="M2320"/>
      <c r="N2320" s="3"/>
      <c r="O2320" s="11"/>
      <c r="P2320" s="11"/>
      <c r="Q2320" s="11"/>
      <c r="R2320" s="11"/>
      <c r="S2320" s="11"/>
      <c r="T2320" s="11"/>
      <c r="U2320" s="11"/>
      <c r="V2320" s="11"/>
      <c r="W2320" s="11"/>
    </row>
    <row r="2321" spans="2:23" x14ac:dyDescent="0.35">
      <c r="B2321"/>
      <c r="C2321"/>
      <c r="D2321"/>
      <c r="E2321"/>
      <c r="F2321"/>
      <c r="G2321"/>
      <c r="H2321"/>
      <c r="I2321"/>
      <c r="J2321"/>
      <c r="K2321"/>
      <c r="L2321" s="11"/>
      <c r="M2321"/>
      <c r="N2321" s="3"/>
      <c r="O2321" s="11"/>
      <c r="P2321" s="11"/>
      <c r="Q2321" s="11"/>
      <c r="R2321" s="11"/>
      <c r="S2321" s="11"/>
      <c r="T2321" s="11"/>
      <c r="U2321" s="11"/>
      <c r="V2321" s="11"/>
      <c r="W2321" s="11"/>
    </row>
    <row r="2322" spans="2:23" x14ac:dyDescent="0.35">
      <c r="B2322"/>
      <c r="C2322"/>
      <c r="D2322"/>
      <c r="E2322"/>
      <c r="F2322"/>
      <c r="G2322"/>
      <c r="H2322"/>
      <c r="I2322"/>
      <c r="J2322"/>
      <c r="K2322"/>
      <c r="L2322" s="11"/>
      <c r="M2322"/>
      <c r="N2322" s="3"/>
      <c r="O2322" s="11"/>
      <c r="P2322" s="11"/>
      <c r="Q2322" s="11"/>
      <c r="R2322" s="11"/>
      <c r="S2322" s="11"/>
      <c r="T2322" s="11"/>
      <c r="U2322" s="11"/>
      <c r="V2322" s="11"/>
      <c r="W2322" s="11"/>
    </row>
    <row r="2323" spans="2:23" x14ac:dyDescent="0.35">
      <c r="B2323"/>
      <c r="C2323"/>
      <c r="D2323"/>
      <c r="E2323"/>
      <c r="F2323"/>
      <c r="G2323"/>
      <c r="H2323"/>
      <c r="I2323"/>
      <c r="J2323"/>
      <c r="K2323"/>
      <c r="L2323" s="11"/>
      <c r="M2323"/>
      <c r="N2323" s="3"/>
      <c r="O2323" s="11"/>
      <c r="P2323" s="11"/>
      <c r="Q2323" s="11"/>
      <c r="R2323" s="11"/>
      <c r="S2323" s="11"/>
      <c r="T2323" s="11"/>
      <c r="U2323" s="11"/>
      <c r="V2323" s="11"/>
      <c r="W2323" s="11"/>
    </row>
    <row r="2324" spans="2:23" x14ac:dyDescent="0.35">
      <c r="B2324"/>
      <c r="C2324"/>
      <c r="D2324"/>
      <c r="E2324"/>
      <c r="F2324"/>
      <c r="G2324"/>
      <c r="H2324"/>
      <c r="I2324"/>
      <c r="J2324"/>
      <c r="K2324"/>
      <c r="L2324" s="11"/>
      <c r="M2324"/>
      <c r="N2324" s="3"/>
      <c r="O2324" s="11"/>
      <c r="P2324" s="11"/>
      <c r="Q2324" s="11"/>
      <c r="R2324" s="11"/>
      <c r="S2324" s="11"/>
      <c r="T2324" s="11"/>
      <c r="U2324" s="11"/>
      <c r="V2324" s="11"/>
      <c r="W2324" s="11"/>
    </row>
    <row r="2325" spans="2:23" x14ac:dyDescent="0.35">
      <c r="B2325"/>
      <c r="C2325"/>
      <c r="D2325"/>
      <c r="E2325"/>
      <c r="F2325"/>
      <c r="G2325"/>
      <c r="H2325"/>
      <c r="I2325"/>
      <c r="J2325"/>
      <c r="K2325"/>
      <c r="L2325" s="11"/>
      <c r="M2325"/>
      <c r="N2325" s="3"/>
      <c r="O2325" s="11"/>
      <c r="P2325" s="11"/>
      <c r="Q2325" s="11"/>
      <c r="R2325" s="11"/>
      <c r="S2325" s="11"/>
      <c r="T2325" s="11"/>
      <c r="U2325" s="11"/>
      <c r="V2325" s="11"/>
      <c r="W2325" s="11"/>
    </row>
    <row r="2326" spans="2:23" x14ac:dyDescent="0.35">
      <c r="B2326"/>
      <c r="C2326"/>
      <c r="D2326"/>
      <c r="E2326"/>
      <c r="F2326"/>
      <c r="G2326"/>
      <c r="H2326"/>
      <c r="I2326"/>
      <c r="J2326"/>
      <c r="K2326"/>
      <c r="L2326" s="11"/>
      <c r="M2326"/>
      <c r="N2326" s="3"/>
      <c r="O2326" s="11"/>
      <c r="P2326" s="11"/>
      <c r="Q2326" s="11"/>
      <c r="R2326" s="11"/>
      <c r="S2326" s="11"/>
      <c r="T2326" s="11"/>
      <c r="U2326" s="11"/>
      <c r="V2326" s="11"/>
      <c r="W2326" s="11"/>
    </row>
    <row r="2327" spans="2:23" x14ac:dyDescent="0.35">
      <c r="B2327"/>
      <c r="C2327"/>
      <c r="D2327"/>
      <c r="E2327"/>
      <c r="F2327"/>
      <c r="G2327"/>
      <c r="H2327"/>
      <c r="I2327"/>
      <c r="J2327"/>
      <c r="K2327"/>
      <c r="L2327" s="11"/>
      <c r="M2327"/>
      <c r="N2327" s="3"/>
      <c r="O2327" s="11"/>
      <c r="P2327" s="11"/>
      <c r="Q2327" s="11"/>
      <c r="R2327" s="11"/>
      <c r="S2327" s="11"/>
      <c r="T2327" s="11"/>
      <c r="U2327" s="11"/>
      <c r="V2327" s="11"/>
      <c r="W2327" s="11"/>
    </row>
    <row r="2328" spans="2:23" x14ac:dyDescent="0.35">
      <c r="B2328"/>
      <c r="C2328"/>
      <c r="D2328"/>
      <c r="E2328"/>
      <c r="F2328"/>
      <c r="G2328"/>
      <c r="H2328"/>
      <c r="I2328"/>
      <c r="J2328"/>
      <c r="K2328"/>
      <c r="L2328" s="11"/>
      <c r="M2328"/>
      <c r="N2328" s="3"/>
      <c r="O2328" s="11"/>
      <c r="P2328" s="11"/>
      <c r="Q2328" s="11"/>
      <c r="R2328" s="11"/>
      <c r="S2328" s="11"/>
      <c r="T2328" s="11"/>
      <c r="U2328" s="11"/>
      <c r="V2328" s="11"/>
      <c r="W2328" s="11"/>
    </row>
    <row r="2329" spans="2:23" x14ac:dyDescent="0.35">
      <c r="B2329"/>
      <c r="C2329"/>
      <c r="D2329"/>
      <c r="E2329"/>
      <c r="F2329"/>
      <c r="G2329"/>
      <c r="H2329"/>
      <c r="I2329"/>
      <c r="J2329"/>
      <c r="K2329"/>
      <c r="L2329" s="11"/>
      <c r="M2329"/>
      <c r="N2329" s="3"/>
      <c r="O2329" s="11"/>
      <c r="P2329" s="11"/>
      <c r="Q2329" s="11"/>
      <c r="R2329" s="11"/>
      <c r="S2329" s="11"/>
      <c r="T2329" s="11"/>
      <c r="U2329" s="11"/>
      <c r="V2329" s="11"/>
      <c r="W2329" s="11"/>
    </row>
    <row r="2330" spans="2:23" x14ac:dyDescent="0.35">
      <c r="B2330"/>
      <c r="C2330"/>
      <c r="D2330"/>
      <c r="E2330"/>
      <c r="F2330"/>
      <c r="G2330"/>
      <c r="H2330"/>
      <c r="I2330"/>
      <c r="J2330"/>
      <c r="K2330"/>
      <c r="L2330" s="11"/>
      <c r="M2330"/>
      <c r="N2330" s="3"/>
      <c r="O2330" s="11"/>
      <c r="P2330" s="11"/>
      <c r="Q2330" s="11"/>
      <c r="R2330" s="11"/>
      <c r="S2330" s="11"/>
      <c r="T2330" s="11"/>
      <c r="U2330" s="11"/>
      <c r="V2330" s="11"/>
      <c r="W2330" s="11"/>
    </row>
    <row r="2331" spans="2:23" x14ac:dyDescent="0.35">
      <c r="B2331"/>
      <c r="C2331"/>
      <c r="D2331"/>
      <c r="E2331"/>
      <c r="F2331"/>
      <c r="G2331"/>
      <c r="H2331"/>
      <c r="I2331"/>
      <c r="J2331"/>
      <c r="K2331"/>
      <c r="L2331" s="11"/>
      <c r="M2331"/>
      <c r="N2331" s="3"/>
      <c r="O2331" s="11"/>
      <c r="P2331" s="11"/>
      <c r="Q2331" s="11"/>
      <c r="R2331" s="11"/>
      <c r="S2331" s="11"/>
      <c r="T2331" s="11"/>
      <c r="U2331" s="11"/>
      <c r="V2331" s="11"/>
      <c r="W2331" s="11"/>
    </row>
    <row r="2332" spans="2:23" x14ac:dyDescent="0.35">
      <c r="B2332"/>
      <c r="C2332"/>
      <c r="D2332"/>
      <c r="E2332"/>
      <c r="F2332"/>
      <c r="G2332"/>
      <c r="H2332"/>
      <c r="I2332"/>
      <c r="J2332"/>
      <c r="K2332"/>
      <c r="L2332" s="11"/>
      <c r="M2332"/>
      <c r="N2332" s="3"/>
      <c r="O2332" s="11"/>
      <c r="P2332" s="11"/>
      <c r="Q2332" s="11"/>
      <c r="R2332" s="11"/>
      <c r="S2332" s="11"/>
      <c r="T2332" s="11"/>
      <c r="U2332" s="11"/>
      <c r="V2332" s="11"/>
      <c r="W2332" s="11"/>
    </row>
    <row r="2333" spans="2:23" x14ac:dyDescent="0.35">
      <c r="B2333"/>
      <c r="C2333"/>
      <c r="D2333"/>
      <c r="E2333"/>
      <c r="F2333"/>
      <c r="G2333"/>
      <c r="H2333"/>
      <c r="I2333"/>
      <c r="J2333"/>
      <c r="K2333"/>
      <c r="L2333" s="11"/>
      <c r="M2333"/>
      <c r="N2333" s="3"/>
      <c r="O2333" s="11"/>
      <c r="P2333" s="11"/>
      <c r="Q2333" s="11"/>
      <c r="R2333" s="11"/>
      <c r="S2333" s="11"/>
      <c r="T2333" s="11"/>
      <c r="U2333" s="11"/>
      <c r="V2333" s="11"/>
      <c r="W2333" s="11"/>
    </row>
    <row r="2334" spans="2:23" x14ac:dyDescent="0.35">
      <c r="B2334"/>
      <c r="C2334"/>
      <c r="D2334"/>
      <c r="E2334"/>
      <c r="F2334"/>
      <c r="G2334"/>
      <c r="H2334"/>
      <c r="I2334"/>
      <c r="J2334"/>
      <c r="K2334"/>
      <c r="L2334" s="11"/>
      <c r="M2334"/>
      <c r="N2334" s="3"/>
      <c r="O2334" s="11"/>
      <c r="P2334" s="11"/>
      <c r="Q2334" s="11"/>
      <c r="R2334" s="11"/>
      <c r="S2334" s="11"/>
      <c r="T2334" s="11"/>
      <c r="U2334" s="11"/>
      <c r="V2334" s="11"/>
      <c r="W2334" s="11"/>
    </row>
    <row r="2335" spans="2:23" x14ac:dyDescent="0.35">
      <c r="B2335"/>
      <c r="C2335"/>
      <c r="D2335"/>
      <c r="E2335"/>
      <c r="F2335"/>
      <c r="G2335"/>
      <c r="H2335"/>
      <c r="I2335"/>
      <c r="J2335"/>
      <c r="K2335"/>
      <c r="L2335" s="11"/>
      <c r="M2335"/>
      <c r="N2335" s="3"/>
      <c r="O2335" s="11"/>
      <c r="P2335" s="11"/>
      <c r="Q2335" s="11"/>
      <c r="R2335" s="11"/>
      <c r="S2335" s="11"/>
      <c r="T2335" s="11"/>
      <c r="U2335" s="11"/>
      <c r="V2335" s="11"/>
      <c r="W2335" s="11"/>
    </row>
    <row r="2336" spans="2:23" x14ac:dyDescent="0.35">
      <c r="B2336"/>
      <c r="C2336"/>
      <c r="D2336"/>
      <c r="E2336"/>
      <c r="F2336"/>
      <c r="G2336"/>
      <c r="H2336"/>
      <c r="I2336"/>
      <c r="J2336"/>
      <c r="K2336"/>
      <c r="L2336" s="11"/>
      <c r="M2336"/>
      <c r="N2336" s="3"/>
      <c r="O2336" s="11"/>
      <c r="P2336" s="11"/>
      <c r="Q2336" s="11"/>
      <c r="R2336" s="11"/>
      <c r="S2336" s="11"/>
      <c r="T2336" s="11"/>
      <c r="U2336" s="11"/>
      <c r="V2336" s="11"/>
      <c r="W2336" s="11"/>
    </row>
    <row r="2337" spans="2:23" x14ac:dyDescent="0.35">
      <c r="B2337"/>
      <c r="C2337"/>
      <c r="D2337"/>
      <c r="E2337"/>
      <c r="F2337"/>
      <c r="G2337"/>
      <c r="H2337"/>
      <c r="I2337"/>
      <c r="J2337"/>
      <c r="K2337"/>
      <c r="L2337" s="11"/>
      <c r="M2337"/>
      <c r="N2337" s="3"/>
      <c r="O2337" s="11"/>
      <c r="P2337" s="11"/>
      <c r="Q2337" s="11"/>
      <c r="R2337" s="11"/>
      <c r="S2337" s="11"/>
      <c r="T2337" s="11"/>
      <c r="U2337" s="11"/>
      <c r="V2337" s="11"/>
      <c r="W2337" s="11"/>
    </row>
    <row r="2338" spans="2:23" x14ac:dyDescent="0.35">
      <c r="B2338"/>
      <c r="C2338"/>
      <c r="D2338"/>
      <c r="E2338"/>
      <c r="F2338"/>
      <c r="G2338"/>
      <c r="H2338"/>
      <c r="I2338"/>
      <c r="J2338"/>
      <c r="K2338"/>
      <c r="L2338" s="11"/>
      <c r="M2338"/>
      <c r="N2338" s="3"/>
      <c r="O2338" s="11"/>
      <c r="P2338" s="11"/>
      <c r="Q2338" s="11"/>
      <c r="R2338" s="11"/>
      <c r="S2338" s="11"/>
      <c r="T2338" s="11"/>
      <c r="U2338" s="11"/>
      <c r="V2338" s="11"/>
      <c r="W2338" s="11"/>
    </row>
    <row r="2339" spans="2:23" x14ac:dyDescent="0.35">
      <c r="B2339"/>
      <c r="C2339"/>
      <c r="D2339"/>
      <c r="E2339"/>
      <c r="F2339"/>
      <c r="G2339"/>
      <c r="H2339"/>
      <c r="I2339"/>
      <c r="J2339"/>
      <c r="K2339"/>
      <c r="L2339" s="11"/>
      <c r="M2339"/>
      <c r="N2339" s="3"/>
      <c r="O2339" s="11"/>
      <c r="P2339" s="11"/>
      <c r="Q2339" s="11"/>
      <c r="R2339" s="11"/>
      <c r="S2339" s="11"/>
      <c r="T2339" s="11"/>
      <c r="U2339" s="11"/>
      <c r="V2339" s="11"/>
      <c r="W2339" s="11"/>
    </row>
    <row r="2340" spans="2:23" x14ac:dyDescent="0.35">
      <c r="B2340"/>
      <c r="C2340"/>
      <c r="D2340"/>
      <c r="E2340"/>
      <c r="F2340"/>
      <c r="G2340"/>
      <c r="H2340"/>
      <c r="I2340"/>
      <c r="J2340"/>
      <c r="K2340"/>
      <c r="L2340" s="11"/>
      <c r="M2340"/>
      <c r="N2340" s="3"/>
      <c r="O2340" s="11"/>
      <c r="P2340" s="11"/>
      <c r="Q2340" s="11"/>
      <c r="R2340" s="11"/>
      <c r="S2340" s="11"/>
      <c r="T2340" s="11"/>
      <c r="U2340" s="11"/>
      <c r="V2340" s="11"/>
      <c r="W2340" s="11"/>
    </row>
    <row r="2341" spans="2:23" x14ac:dyDescent="0.35">
      <c r="B2341"/>
      <c r="C2341"/>
      <c r="D2341"/>
      <c r="E2341"/>
      <c r="F2341"/>
      <c r="G2341"/>
      <c r="H2341"/>
      <c r="I2341"/>
      <c r="J2341"/>
      <c r="K2341"/>
      <c r="L2341" s="11"/>
      <c r="M2341"/>
      <c r="N2341" s="3"/>
      <c r="O2341" s="11"/>
      <c r="P2341" s="11"/>
      <c r="Q2341" s="11"/>
      <c r="R2341" s="11"/>
      <c r="S2341" s="11"/>
      <c r="T2341" s="11"/>
      <c r="U2341" s="11"/>
      <c r="V2341" s="11"/>
      <c r="W2341" s="11"/>
    </row>
    <row r="2342" spans="2:23" x14ac:dyDescent="0.35">
      <c r="B2342"/>
      <c r="C2342"/>
      <c r="D2342"/>
      <c r="E2342"/>
      <c r="F2342"/>
      <c r="G2342"/>
      <c r="H2342"/>
      <c r="I2342"/>
      <c r="J2342"/>
      <c r="K2342"/>
      <c r="L2342" s="11"/>
      <c r="M2342"/>
      <c r="N2342" s="3"/>
      <c r="O2342" s="11"/>
      <c r="P2342" s="11"/>
      <c r="Q2342" s="11"/>
      <c r="R2342" s="11"/>
      <c r="S2342" s="11"/>
      <c r="T2342" s="11"/>
      <c r="U2342" s="11"/>
      <c r="V2342" s="11"/>
      <c r="W2342" s="11"/>
    </row>
    <row r="2343" spans="2:23" x14ac:dyDescent="0.35">
      <c r="B2343"/>
      <c r="C2343"/>
      <c r="D2343"/>
      <c r="E2343"/>
      <c r="F2343"/>
      <c r="G2343"/>
      <c r="H2343"/>
      <c r="I2343"/>
      <c r="J2343"/>
      <c r="K2343"/>
      <c r="L2343" s="11"/>
      <c r="M2343"/>
      <c r="N2343" s="3"/>
      <c r="O2343" s="11"/>
      <c r="P2343" s="11"/>
      <c r="Q2343" s="11"/>
      <c r="R2343" s="11"/>
      <c r="S2343" s="11"/>
      <c r="T2343" s="11"/>
      <c r="U2343" s="11"/>
      <c r="V2343" s="11"/>
      <c r="W2343" s="11"/>
    </row>
    <row r="2344" spans="2:23" x14ac:dyDescent="0.35">
      <c r="B2344"/>
      <c r="C2344"/>
      <c r="D2344"/>
      <c r="E2344"/>
      <c r="F2344"/>
      <c r="G2344"/>
      <c r="H2344"/>
      <c r="I2344"/>
      <c r="J2344"/>
      <c r="K2344"/>
      <c r="L2344" s="11"/>
      <c r="M2344"/>
      <c r="N2344" s="3"/>
      <c r="O2344" s="11"/>
      <c r="P2344" s="11"/>
      <c r="Q2344" s="11"/>
      <c r="R2344" s="11"/>
      <c r="S2344" s="11"/>
      <c r="T2344" s="11"/>
      <c r="U2344" s="11"/>
      <c r="V2344" s="11"/>
      <c r="W2344" s="11"/>
    </row>
    <row r="2345" spans="2:23" x14ac:dyDescent="0.35">
      <c r="B2345"/>
      <c r="C2345"/>
      <c r="D2345"/>
      <c r="E2345"/>
      <c r="F2345"/>
      <c r="G2345"/>
      <c r="H2345"/>
      <c r="I2345"/>
      <c r="J2345"/>
      <c r="K2345"/>
      <c r="L2345" s="11"/>
      <c r="M2345"/>
      <c r="N2345" s="3"/>
      <c r="O2345" s="11"/>
      <c r="P2345" s="11"/>
      <c r="Q2345" s="11"/>
      <c r="R2345" s="11"/>
      <c r="S2345" s="11"/>
      <c r="T2345" s="11"/>
      <c r="U2345" s="11"/>
      <c r="V2345" s="11"/>
      <c r="W2345" s="11"/>
    </row>
    <row r="2346" spans="2:23" x14ac:dyDescent="0.35">
      <c r="B2346"/>
      <c r="C2346"/>
      <c r="D2346"/>
      <c r="E2346"/>
      <c r="F2346"/>
      <c r="G2346"/>
      <c r="H2346"/>
      <c r="I2346"/>
      <c r="J2346"/>
      <c r="K2346"/>
      <c r="L2346" s="11"/>
      <c r="M2346"/>
      <c r="N2346" s="3"/>
      <c r="O2346" s="11"/>
      <c r="P2346" s="11"/>
      <c r="Q2346" s="11"/>
      <c r="R2346" s="11"/>
      <c r="S2346" s="11"/>
      <c r="T2346" s="11"/>
      <c r="U2346" s="11"/>
      <c r="V2346" s="11"/>
      <c r="W2346" s="11"/>
    </row>
    <row r="2347" spans="2:23" x14ac:dyDescent="0.35">
      <c r="B2347"/>
      <c r="C2347"/>
      <c r="D2347"/>
      <c r="E2347"/>
      <c r="F2347"/>
      <c r="G2347"/>
      <c r="H2347"/>
      <c r="I2347"/>
      <c r="J2347"/>
      <c r="K2347"/>
      <c r="L2347" s="11"/>
      <c r="M2347"/>
      <c r="N2347" s="3"/>
      <c r="O2347" s="11"/>
      <c r="P2347" s="11"/>
      <c r="Q2347" s="11"/>
      <c r="R2347" s="11"/>
      <c r="S2347" s="11"/>
      <c r="T2347" s="11"/>
      <c r="U2347" s="11"/>
      <c r="V2347" s="11"/>
      <c r="W2347" s="11"/>
    </row>
    <row r="2348" spans="2:23" x14ac:dyDescent="0.35">
      <c r="B2348"/>
      <c r="C2348"/>
      <c r="D2348"/>
      <c r="E2348"/>
      <c r="F2348"/>
      <c r="G2348"/>
      <c r="H2348"/>
      <c r="I2348"/>
      <c r="J2348"/>
      <c r="K2348"/>
      <c r="L2348" s="11"/>
      <c r="M2348"/>
      <c r="N2348" s="3"/>
      <c r="O2348" s="11"/>
      <c r="P2348" s="11"/>
      <c r="Q2348" s="11"/>
      <c r="R2348" s="11"/>
      <c r="S2348" s="11"/>
      <c r="T2348" s="11"/>
      <c r="U2348" s="11"/>
      <c r="V2348" s="11"/>
      <c r="W2348" s="11"/>
    </row>
    <row r="2349" spans="2:23" x14ac:dyDescent="0.35">
      <c r="B2349"/>
      <c r="C2349"/>
      <c r="D2349"/>
      <c r="E2349"/>
      <c r="F2349"/>
      <c r="G2349"/>
      <c r="H2349"/>
      <c r="I2349"/>
      <c r="J2349"/>
      <c r="K2349"/>
      <c r="L2349" s="11"/>
      <c r="M2349"/>
      <c r="N2349" s="3"/>
      <c r="O2349" s="11"/>
      <c r="P2349" s="11"/>
      <c r="Q2349" s="11"/>
      <c r="R2349" s="11"/>
      <c r="S2349" s="11"/>
      <c r="T2349" s="11"/>
      <c r="U2349" s="11"/>
      <c r="V2349" s="11"/>
      <c r="W2349" s="11"/>
    </row>
    <row r="2350" spans="2:23" x14ac:dyDescent="0.35">
      <c r="B2350"/>
      <c r="C2350"/>
      <c r="D2350"/>
      <c r="E2350"/>
      <c r="F2350"/>
      <c r="G2350"/>
      <c r="H2350"/>
      <c r="I2350"/>
      <c r="J2350"/>
      <c r="K2350"/>
      <c r="L2350" s="11"/>
      <c r="M2350"/>
      <c r="N2350" s="3"/>
      <c r="O2350" s="11"/>
      <c r="P2350" s="11"/>
      <c r="Q2350" s="11"/>
      <c r="R2350" s="11"/>
      <c r="S2350" s="11"/>
      <c r="T2350" s="11"/>
      <c r="U2350" s="11"/>
      <c r="V2350" s="11"/>
      <c r="W2350" s="11"/>
    </row>
    <row r="2351" spans="2:23" x14ac:dyDescent="0.35">
      <c r="B2351"/>
      <c r="C2351"/>
      <c r="D2351"/>
      <c r="E2351"/>
      <c r="F2351"/>
      <c r="G2351"/>
      <c r="H2351"/>
      <c r="I2351"/>
      <c r="J2351"/>
      <c r="K2351"/>
      <c r="L2351" s="11"/>
      <c r="M2351"/>
      <c r="N2351" s="3"/>
      <c r="O2351" s="11"/>
      <c r="P2351" s="11"/>
      <c r="Q2351" s="11"/>
      <c r="R2351" s="11"/>
      <c r="S2351" s="11"/>
      <c r="T2351" s="11"/>
      <c r="U2351" s="11"/>
      <c r="V2351" s="11"/>
      <c r="W2351" s="11"/>
    </row>
    <row r="2352" spans="2:23" x14ac:dyDescent="0.35">
      <c r="B2352"/>
      <c r="C2352"/>
      <c r="D2352"/>
      <c r="E2352"/>
      <c r="F2352"/>
      <c r="G2352"/>
      <c r="H2352"/>
      <c r="I2352"/>
      <c r="J2352"/>
      <c r="K2352"/>
      <c r="L2352" s="11"/>
      <c r="M2352"/>
      <c r="N2352" s="3"/>
      <c r="O2352" s="11"/>
      <c r="P2352" s="11"/>
      <c r="Q2352" s="11"/>
      <c r="R2352" s="11"/>
      <c r="S2352" s="11"/>
      <c r="T2352" s="11"/>
      <c r="U2352" s="11"/>
      <c r="V2352" s="11"/>
      <c r="W2352" s="11"/>
    </row>
    <row r="2353" spans="2:23" x14ac:dyDescent="0.35">
      <c r="B2353"/>
      <c r="C2353"/>
      <c r="D2353"/>
      <c r="E2353"/>
      <c r="F2353"/>
      <c r="G2353"/>
      <c r="H2353"/>
      <c r="I2353"/>
      <c r="J2353"/>
      <c r="K2353"/>
      <c r="L2353" s="11"/>
      <c r="M2353"/>
      <c r="N2353" s="3"/>
      <c r="O2353" s="11"/>
      <c r="P2353" s="11"/>
      <c r="Q2353" s="11"/>
      <c r="R2353" s="11"/>
      <c r="S2353" s="11"/>
      <c r="T2353" s="11"/>
      <c r="U2353" s="11"/>
      <c r="V2353" s="11"/>
      <c r="W2353" s="11"/>
    </row>
    <row r="2354" spans="2:23" x14ac:dyDescent="0.35">
      <c r="B2354"/>
      <c r="C2354"/>
      <c r="D2354"/>
      <c r="E2354"/>
      <c r="F2354"/>
      <c r="G2354"/>
      <c r="H2354"/>
      <c r="I2354"/>
      <c r="J2354"/>
      <c r="K2354"/>
      <c r="L2354" s="11"/>
      <c r="M2354"/>
      <c r="N2354" s="3"/>
      <c r="O2354" s="11"/>
      <c r="P2354" s="11"/>
      <c r="Q2354" s="11"/>
      <c r="R2354" s="11"/>
      <c r="S2354" s="11"/>
      <c r="T2354" s="11"/>
      <c r="U2354" s="11"/>
      <c r="V2354" s="11"/>
      <c r="W2354" s="11"/>
    </row>
    <row r="2355" spans="2:23" x14ac:dyDescent="0.35">
      <c r="B2355"/>
      <c r="C2355"/>
      <c r="D2355"/>
      <c r="E2355"/>
      <c r="F2355"/>
      <c r="G2355"/>
      <c r="H2355"/>
      <c r="I2355"/>
      <c r="J2355"/>
      <c r="K2355"/>
      <c r="L2355" s="11"/>
      <c r="M2355"/>
      <c r="N2355" s="3"/>
      <c r="O2355" s="11"/>
      <c r="P2355" s="11"/>
      <c r="Q2355" s="11"/>
      <c r="R2355" s="11"/>
      <c r="S2355" s="11"/>
      <c r="T2355" s="11"/>
      <c r="U2355" s="11"/>
      <c r="V2355" s="11"/>
      <c r="W2355" s="11"/>
    </row>
    <row r="2356" spans="2:23" x14ac:dyDescent="0.35">
      <c r="B2356"/>
      <c r="C2356"/>
      <c r="D2356"/>
      <c r="E2356"/>
      <c r="F2356"/>
      <c r="G2356"/>
      <c r="H2356"/>
      <c r="I2356"/>
      <c r="J2356"/>
      <c r="K2356"/>
      <c r="L2356" s="11"/>
      <c r="M2356"/>
      <c r="N2356" s="3"/>
      <c r="O2356" s="11"/>
      <c r="P2356" s="11"/>
      <c r="Q2356" s="11"/>
      <c r="R2356" s="11"/>
      <c r="S2356" s="11"/>
      <c r="T2356" s="11"/>
      <c r="U2356" s="11"/>
      <c r="V2356" s="11"/>
      <c r="W2356" s="11"/>
    </row>
    <row r="2357" spans="2:23" x14ac:dyDescent="0.35">
      <c r="B2357"/>
      <c r="C2357"/>
      <c r="D2357"/>
      <c r="E2357"/>
      <c r="F2357"/>
      <c r="G2357"/>
      <c r="H2357"/>
      <c r="I2357"/>
      <c r="J2357"/>
      <c r="K2357"/>
      <c r="L2357" s="11"/>
      <c r="M2357"/>
      <c r="N2357" s="3"/>
      <c r="O2357" s="11"/>
      <c r="P2357" s="11"/>
      <c r="Q2357" s="11"/>
      <c r="R2357" s="11"/>
      <c r="S2357" s="11"/>
      <c r="T2357" s="11"/>
      <c r="U2357" s="11"/>
      <c r="V2357" s="11"/>
      <c r="W2357" s="11"/>
    </row>
    <row r="2358" spans="2:23" x14ac:dyDescent="0.35">
      <c r="B2358"/>
      <c r="C2358"/>
      <c r="D2358"/>
      <c r="E2358"/>
      <c r="F2358"/>
      <c r="G2358"/>
      <c r="H2358"/>
      <c r="I2358"/>
      <c r="J2358"/>
      <c r="K2358"/>
      <c r="L2358" s="11"/>
      <c r="M2358"/>
      <c r="N2358" s="3"/>
      <c r="O2358" s="11"/>
      <c r="P2358" s="11"/>
      <c r="Q2358" s="11"/>
      <c r="R2358" s="11"/>
      <c r="S2358" s="11"/>
      <c r="T2358" s="11"/>
      <c r="U2358" s="11"/>
      <c r="V2358" s="11"/>
      <c r="W2358" s="11"/>
    </row>
    <row r="2359" spans="2:23" x14ac:dyDescent="0.35">
      <c r="B2359"/>
      <c r="C2359"/>
      <c r="D2359"/>
      <c r="E2359"/>
      <c r="F2359"/>
      <c r="G2359"/>
      <c r="H2359"/>
      <c r="I2359"/>
      <c r="J2359"/>
      <c r="K2359"/>
      <c r="L2359" s="11"/>
      <c r="M2359"/>
      <c r="N2359" s="3"/>
      <c r="O2359" s="11"/>
      <c r="P2359" s="11"/>
      <c r="Q2359" s="11"/>
      <c r="R2359" s="11"/>
      <c r="S2359" s="11"/>
      <c r="T2359" s="11"/>
      <c r="U2359" s="11"/>
      <c r="V2359" s="11"/>
      <c r="W2359" s="11"/>
    </row>
    <row r="2360" spans="2:23" x14ac:dyDescent="0.35">
      <c r="B2360"/>
      <c r="C2360"/>
      <c r="D2360"/>
      <c r="E2360"/>
      <c r="F2360"/>
      <c r="G2360"/>
      <c r="H2360"/>
      <c r="I2360"/>
      <c r="J2360"/>
      <c r="K2360"/>
      <c r="L2360" s="11"/>
      <c r="M2360"/>
      <c r="N2360" s="3"/>
      <c r="O2360" s="11"/>
      <c r="P2360" s="11"/>
      <c r="Q2360" s="11"/>
      <c r="R2360" s="11"/>
      <c r="S2360" s="11"/>
      <c r="T2360" s="11"/>
      <c r="U2360" s="11"/>
      <c r="V2360" s="11"/>
      <c r="W2360" s="11"/>
    </row>
    <row r="2361" spans="2:23" x14ac:dyDescent="0.35">
      <c r="B2361"/>
      <c r="C2361"/>
      <c r="D2361"/>
      <c r="E2361"/>
      <c r="F2361"/>
      <c r="G2361"/>
      <c r="H2361"/>
      <c r="I2361"/>
      <c r="J2361"/>
      <c r="K2361"/>
      <c r="L2361" s="11"/>
      <c r="M2361"/>
      <c r="N2361" s="3"/>
      <c r="O2361" s="11"/>
      <c r="P2361" s="11"/>
      <c r="Q2361" s="11"/>
      <c r="R2361" s="11"/>
      <c r="S2361" s="11"/>
      <c r="T2361" s="11"/>
      <c r="U2361" s="11"/>
      <c r="V2361" s="11"/>
      <c r="W2361" s="11"/>
    </row>
    <row r="2362" spans="2:23" x14ac:dyDescent="0.35">
      <c r="B2362"/>
      <c r="C2362"/>
      <c r="D2362"/>
      <c r="E2362"/>
      <c r="F2362"/>
      <c r="G2362"/>
      <c r="H2362"/>
      <c r="I2362"/>
      <c r="J2362"/>
      <c r="K2362"/>
      <c r="L2362" s="11"/>
      <c r="M2362"/>
      <c r="N2362" s="3"/>
      <c r="O2362" s="11"/>
      <c r="P2362" s="11"/>
      <c r="Q2362" s="11"/>
      <c r="R2362" s="11"/>
      <c r="S2362" s="11"/>
      <c r="T2362" s="11"/>
      <c r="U2362" s="11"/>
      <c r="V2362" s="11"/>
      <c r="W2362" s="11"/>
    </row>
    <row r="2363" spans="2:23" x14ac:dyDescent="0.35">
      <c r="B2363"/>
      <c r="C2363"/>
      <c r="D2363"/>
      <c r="E2363"/>
      <c r="F2363"/>
      <c r="G2363"/>
      <c r="H2363"/>
      <c r="I2363"/>
      <c r="J2363"/>
      <c r="K2363"/>
      <c r="L2363" s="11"/>
      <c r="M2363"/>
      <c r="N2363" s="3"/>
      <c r="O2363" s="11"/>
      <c r="P2363" s="11"/>
      <c r="Q2363" s="11"/>
      <c r="R2363" s="11"/>
      <c r="S2363" s="11"/>
      <c r="T2363" s="11"/>
      <c r="U2363" s="11"/>
      <c r="V2363" s="11"/>
      <c r="W2363" s="11"/>
    </row>
    <row r="2364" spans="2:23" x14ac:dyDescent="0.35">
      <c r="B2364"/>
      <c r="C2364"/>
      <c r="D2364"/>
      <c r="E2364"/>
      <c r="F2364"/>
      <c r="G2364"/>
      <c r="H2364"/>
      <c r="I2364"/>
      <c r="J2364"/>
      <c r="K2364"/>
      <c r="L2364" s="11"/>
      <c r="M2364"/>
      <c r="N2364" s="3"/>
      <c r="O2364" s="11"/>
      <c r="P2364" s="11"/>
      <c r="Q2364" s="11"/>
      <c r="R2364" s="11"/>
      <c r="S2364" s="11"/>
      <c r="T2364" s="11"/>
      <c r="U2364" s="11"/>
      <c r="V2364" s="11"/>
      <c r="W2364" s="11"/>
    </row>
    <row r="2365" spans="2:23" x14ac:dyDescent="0.35">
      <c r="B2365"/>
      <c r="C2365"/>
      <c r="D2365"/>
      <c r="E2365"/>
      <c r="F2365"/>
      <c r="G2365"/>
      <c r="H2365"/>
      <c r="I2365"/>
      <c r="J2365"/>
      <c r="K2365"/>
      <c r="L2365" s="11"/>
      <c r="M2365"/>
      <c r="N2365" s="3"/>
      <c r="O2365" s="11"/>
      <c r="P2365" s="11"/>
      <c r="Q2365" s="11"/>
      <c r="R2365" s="11"/>
      <c r="S2365" s="11"/>
      <c r="T2365" s="11"/>
      <c r="U2365" s="11"/>
      <c r="V2365" s="11"/>
      <c r="W2365" s="11"/>
    </row>
    <row r="2366" spans="2:23" x14ac:dyDescent="0.35">
      <c r="B2366"/>
      <c r="C2366"/>
      <c r="D2366"/>
      <c r="E2366"/>
      <c r="F2366"/>
      <c r="G2366"/>
      <c r="H2366"/>
      <c r="I2366"/>
      <c r="J2366"/>
      <c r="K2366"/>
      <c r="L2366" s="11"/>
      <c r="M2366"/>
      <c r="N2366" s="3"/>
      <c r="O2366" s="11"/>
      <c r="P2366" s="11"/>
      <c r="Q2366" s="11"/>
      <c r="R2366" s="11"/>
      <c r="S2366" s="11"/>
      <c r="T2366" s="11"/>
      <c r="U2366" s="11"/>
      <c r="V2366" s="11"/>
      <c r="W2366" s="11"/>
    </row>
    <row r="2367" spans="2:23" x14ac:dyDescent="0.35">
      <c r="B2367"/>
      <c r="C2367"/>
      <c r="D2367"/>
      <c r="E2367"/>
      <c r="F2367"/>
      <c r="G2367"/>
      <c r="H2367"/>
      <c r="I2367"/>
      <c r="J2367"/>
      <c r="K2367"/>
      <c r="L2367" s="11"/>
      <c r="M2367"/>
      <c r="N2367" s="3"/>
      <c r="O2367" s="11"/>
      <c r="P2367" s="11"/>
      <c r="Q2367" s="11"/>
      <c r="R2367" s="11"/>
      <c r="S2367" s="11"/>
      <c r="T2367" s="11"/>
      <c r="U2367" s="11"/>
      <c r="V2367" s="11"/>
      <c r="W2367" s="11"/>
    </row>
    <row r="2368" spans="2:23" x14ac:dyDescent="0.35">
      <c r="B2368"/>
      <c r="C2368"/>
      <c r="D2368"/>
      <c r="E2368"/>
      <c r="F2368"/>
      <c r="G2368"/>
      <c r="H2368"/>
      <c r="I2368"/>
      <c r="J2368"/>
      <c r="K2368"/>
      <c r="L2368" s="11"/>
      <c r="M2368"/>
      <c r="N2368" s="3"/>
      <c r="O2368" s="11"/>
      <c r="P2368" s="11"/>
      <c r="Q2368" s="11"/>
      <c r="R2368" s="11"/>
      <c r="S2368" s="11"/>
      <c r="T2368" s="11"/>
      <c r="U2368" s="11"/>
      <c r="V2368" s="11"/>
      <c r="W2368" s="11"/>
    </row>
    <row r="2369" spans="2:23" x14ac:dyDescent="0.35">
      <c r="B2369"/>
      <c r="C2369"/>
      <c r="D2369"/>
      <c r="E2369"/>
      <c r="F2369"/>
      <c r="G2369"/>
      <c r="H2369"/>
      <c r="I2369"/>
      <c r="J2369"/>
      <c r="K2369"/>
      <c r="L2369" s="11"/>
      <c r="M2369"/>
      <c r="N2369" s="3"/>
      <c r="O2369" s="11"/>
      <c r="P2369" s="11"/>
      <c r="Q2369" s="11"/>
      <c r="R2369" s="11"/>
      <c r="S2369" s="11"/>
      <c r="T2369" s="11"/>
      <c r="U2369" s="11"/>
      <c r="V2369" s="11"/>
      <c r="W2369" s="11"/>
    </row>
    <row r="2370" spans="2:23" x14ac:dyDescent="0.35">
      <c r="B2370"/>
      <c r="C2370"/>
      <c r="D2370"/>
      <c r="E2370"/>
      <c r="F2370"/>
      <c r="G2370"/>
      <c r="H2370"/>
      <c r="I2370"/>
      <c r="J2370"/>
      <c r="K2370"/>
      <c r="L2370" s="11"/>
      <c r="M2370"/>
      <c r="N2370" s="3"/>
      <c r="O2370" s="11"/>
      <c r="P2370" s="11"/>
      <c r="Q2370" s="11"/>
      <c r="R2370" s="11"/>
      <c r="S2370" s="11"/>
      <c r="T2370" s="11"/>
      <c r="U2370" s="11"/>
      <c r="V2370" s="11"/>
      <c r="W2370" s="11"/>
    </row>
    <row r="2371" spans="2:23" x14ac:dyDescent="0.35">
      <c r="B2371"/>
      <c r="C2371"/>
      <c r="D2371"/>
      <c r="E2371"/>
      <c r="F2371"/>
      <c r="G2371"/>
      <c r="H2371"/>
      <c r="I2371"/>
      <c r="J2371"/>
      <c r="K2371"/>
      <c r="L2371" s="11"/>
      <c r="M2371"/>
      <c r="N2371" s="3"/>
      <c r="O2371" s="11"/>
      <c r="P2371" s="11"/>
      <c r="Q2371" s="11"/>
      <c r="R2371" s="11"/>
      <c r="S2371" s="11"/>
      <c r="T2371" s="11"/>
      <c r="U2371" s="11"/>
      <c r="V2371" s="11"/>
      <c r="W2371" s="11"/>
    </row>
    <row r="2372" spans="2:23" x14ac:dyDescent="0.35">
      <c r="B2372"/>
      <c r="C2372"/>
      <c r="D2372"/>
      <c r="E2372"/>
      <c r="F2372"/>
      <c r="G2372"/>
      <c r="H2372"/>
      <c r="I2372"/>
      <c r="J2372"/>
      <c r="K2372"/>
      <c r="L2372" s="11"/>
      <c r="M2372"/>
      <c r="N2372" s="3"/>
      <c r="O2372" s="11"/>
      <c r="P2372" s="11"/>
      <c r="Q2372" s="11"/>
      <c r="R2372" s="11"/>
      <c r="S2372" s="11"/>
      <c r="T2372" s="11"/>
      <c r="U2372" s="11"/>
      <c r="V2372" s="11"/>
      <c r="W2372" s="11"/>
    </row>
    <row r="2373" spans="2:23" x14ac:dyDescent="0.35">
      <c r="B2373"/>
      <c r="C2373"/>
      <c r="D2373"/>
      <c r="E2373"/>
      <c r="F2373"/>
      <c r="G2373"/>
      <c r="H2373"/>
      <c r="I2373"/>
      <c r="J2373"/>
      <c r="K2373"/>
      <c r="L2373" s="11"/>
      <c r="M2373"/>
      <c r="N2373" s="3"/>
      <c r="O2373" s="11"/>
      <c r="P2373" s="11"/>
      <c r="Q2373" s="11"/>
      <c r="R2373" s="11"/>
      <c r="S2373" s="11"/>
      <c r="T2373" s="11"/>
      <c r="U2373" s="11"/>
      <c r="V2373" s="11"/>
      <c r="W2373" s="11"/>
    </row>
    <row r="2374" spans="2:23" x14ac:dyDescent="0.35">
      <c r="B2374"/>
      <c r="C2374"/>
      <c r="D2374"/>
      <c r="E2374"/>
      <c r="F2374"/>
      <c r="G2374"/>
      <c r="H2374"/>
      <c r="I2374"/>
      <c r="J2374"/>
      <c r="K2374"/>
      <c r="L2374" s="11"/>
      <c r="M2374"/>
      <c r="N2374" s="3"/>
      <c r="O2374" s="11"/>
      <c r="P2374" s="11"/>
      <c r="Q2374" s="11"/>
      <c r="R2374" s="11"/>
      <c r="S2374" s="11"/>
      <c r="T2374" s="11"/>
      <c r="U2374" s="11"/>
      <c r="V2374" s="11"/>
      <c r="W2374" s="11"/>
    </row>
    <row r="2375" spans="2:23" x14ac:dyDescent="0.35">
      <c r="B2375"/>
      <c r="C2375"/>
      <c r="D2375"/>
      <c r="E2375"/>
      <c r="F2375"/>
      <c r="G2375"/>
      <c r="H2375"/>
      <c r="I2375"/>
      <c r="J2375"/>
      <c r="K2375"/>
      <c r="L2375" s="11"/>
      <c r="M2375"/>
      <c r="N2375" s="3"/>
      <c r="O2375" s="11"/>
      <c r="P2375" s="11"/>
      <c r="Q2375" s="11"/>
      <c r="R2375" s="11"/>
      <c r="S2375" s="11"/>
      <c r="T2375" s="11"/>
      <c r="U2375" s="11"/>
      <c r="V2375" s="11"/>
      <c r="W2375" s="11"/>
    </row>
    <row r="2376" spans="2:23" x14ac:dyDescent="0.35">
      <c r="B2376"/>
      <c r="C2376"/>
      <c r="D2376"/>
      <c r="E2376"/>
      <c r="F2376"/>
      <c r="G2376"/>
      <c r="H2376"/>
      <c r="I2376"/>
      <c r="J2376"/>
      <c r="K2376"/>
      <c r="L2376" s="11"/>
      <c r="M2376"/>
      <c r="N2376" s="3"/>
      <c r="O2376" s="11"/>
      <c r="P2376" s="11"/>
      <c r="Q2376" s="11"/>
      <c r="R2376" s="11"/>
      <c r="S2376" s="11"/>
      <c r="T2376" s="11"/>
      <c r="U2376" s="11"/>
      <c r="V2376" s="11"/>
      <c r="W2376" s="11"/>
    </row>
    <row r="2377" spans="2:23" x14ac:dyDescent="0.35">
      <c r="B2377"/>
      <c r="C2377"/>
      <c r="D2377"/>
      <c r="E2377"/>
      <c r="F2377"/>
      <c r="G2377"/>
      <c r="H2377"/>
      <c r="I2377"/>
      <c r="J2377"/>
      <c r="K2377"/>
      <c r="L2377" s="11"/>
      <c r="M2377"/>
      <c r="N2377" s="3"/>
      <c r="O2377" s="11"/>
      <c r="P2377" s="11"/>
      <c r="Q2377" s="11"/>
      <c r="R2377" s="11"/>
      <c r="S2377" s="11"/>
      <c r="T2377" s="11"/>
      <c r="U2377" s="11"/>
      <c r="V2377" s="11"/>
      <c r="W2377" s="11"/>
    </row>
    <row r="2378" spans="2:23" x14ac:dyDescent="0.35">
      <c r="B2378"/>
      <c r="C2378"/>
      <c r="D2378"/>
      <c r="E2378"/>
      <c r="F2378"/>
      <c r="G2378"/>
      <c r="H2378"/>
      <c r="I2378"/>
      <c r="J2378"/>
      <c r="K2378"/>
      <c r="L2378" s="11"/>
      <c r="M2378"/>
      <c r="N2378" s="3"/>
      <c r="O2378" s="11"/>
      <c r="P2378" s="11"/>
      <c r="Q2378" s="11"/>
      <c r="R2378" s="11"/>
      <c r="S2378" s="11"/>
      <c r="T2378" s="11"/>
      <c r="U2378" s="11"/>
      <c r="V2378" s="11"/>
      <c r="W2378" s="11"/>
    </row>
    <row r="2379" spans="2:23" x14ac:dyDescent="0.35">
      <c r="B2379"/>
      <c r="C2379"/>
      <c r="D2379"/>
      <c r="E2379"/>
      <c r="F2379"/>
      <c r="G2379"/>
      <c r="H2379"/>
      <c r="I2379"/>
      <c r="J2379"/>
      <c r="K2379"/>
      <c r="L2379" s="11"/>
      <c r="M2379"/>
      <c r="N2379" s="3"/>
      <c r="O2379" s="11"/>
      <c r="P2379" s="11"/>
      <c r="Q2379" s="11"/>
      <c r="R2379" s="11"/>
      <c r="S2379" s="11"/>
      <c r="T2379" s="11"/>
      <c r="U2379" s="11"/>
      <c r="V2379" s="11"/>
      <c r="W2379" s="11"/>
    </row>
    <row r="2380" spans="2:23" x14ac:dyDescent="0.35">
      <c r="B2380"/>
      <c r="C2380"/>
      <c r="D2380"/>
      <c r="E2380"/>
      <c r="F2380"/>
      <c r="G2380"/>
      <c r="H2380"/>
      <c r="I2380"/>
      <c r="J2380"/>
      <c r="K2380"/>
      <c r="L2380" s="11"/>
      <c r="M2380"/>
      <c r="N2380" s="3"/>
      <c r="O2380" s="11"/>
      <c r="P2380" s="11"/>
      <c r="Q2380" s="11"/>
      <c r="R2380" s="11"/>
      <c r="S2380" s="11"/>
      <c r="T2380" s="11"/>
      <c r="U2380" s="11"/>
      <c r="V2380" s="11"/>
      <c r="W2380" s="11"/>
    </row>
    <row r="2381" spans="2:23" x14ac:dyDescent="0.35">
      <c r="B2381"/>
      <c r="C2381"/>
      <c r="D2381"/>
      <c r="E2381"/>
      <c r="F2381"/>
      <c r="G2381"/>
      <c r="H2381"/>
      <c r="I2381"/>
      <c r="J2381"/>
      <c r="K2381"/>
      <c r="L2381" s="11"/>
      <c r="M2381"/>
      <c r="N2381" s="3"/>
      <c r="O2381" s="11"/>
      <c r="P2381" s="11"/>
      <c r="Q2381" s="11"/>
      <c r="R2381" s="11"/>
      <c r="S2381" s="11"/>
      <c r="T2381" s="11"/>
      <c r="U2381" s="11"/>
      <c r="V2381" s="11"/>
      <c r="W2381" s="11"/>
    </row>
    <row r="2382" spans="2:23" x14ac:dyDescent="0.35">
      <c r="B2382"/>
      <c r="C2382"/>
      <c r="D2382"/>
      <c r="E2382"/>
      <c r="F2382"/>
      <c r="G2382"/>
      <c r="H2382"/>
      <c r="I2382"/>
      <c r="J2382"/>
      <c r="K2382"/>
      <c r="L2382" s="11"/>
      <c r="M2382"/>
      <c r="N2382" s="3"/>
      <c r="O2382" s="11"/>
      <c r="P2382" s="11"/>
      <c r="Q2382" s="11"/>
      <c r="R2382" s="11"/>
      <c r="S2382" s="11"/>
      <c r="T2382" s="11"/>
      <c r="U2382" s="11"/>
      <c r="V2382" s="11"/>
      <c r="W2382" s="11"/>
    </row>
    <row r="2383" spans="2:23" x14ac:dyDescent="0.35">
      <c r="B2383"/>
      <c r="C2383"/>
      <c r="D2383"/>
      <c r="E2383"/>
      <c r="F2383"/>
      <c r="G2383"/>
      <c r="H2383"/>
      <c r="I2383"/>
      <c r="J2383"/>
      <c r="K2383"/>
      <c r="L2383" s="11"/>
      <c r="M2383"/>
      <c r="N2383" s="3"/>
      <c r="O2383" s="11"/>
      <c r="P2383" s="11"/>
      <c r="Q2383" s="11"/>
      <c r="R2383" s="11"/>
      <c r="S2383" s="11"/>
      <c r="T2383" s="11"/>
      <c r="U2383" s="11"/>
      <c r="V2383" s="11"/>
      <c r="W2383" s="11"/>
    </row>
    <row r="2384" spans="2:23" x14ac:dyDescent="0.35">
      <c r="B2384"/>
      <c r="C2384"/>
      <c r="D2384"/>
      <c r="E2384"/>
      <c r="F2384"/>
      <c r="G2384"/>
      <c r="H2384"/>
      <c r="I2384"/>
      <c r="J2384"/>
      <c r="K2384"/>
      <c r="L2384" s="11"/>
      <c r="M2384"/>
      <c r="N2384" s="3"/>
      <c r="O2384" s="11"/>
      <c r="P2384" s="11"/>
      <c r="Q2384" s="11"/>
      <c r="R2384" s="11"/>
      <c r="S2384" s="11"/>
      <c r="T2384" s="11"/>
      <c r="U2384" s="11"/>
      <c r="V2384" s="11"/>
      <c r="W2384" s="11"/>
    </row>
    <row r="2385" spans="2:23" x14ac:dyDescent="0.35">
      <c r="B2385"/>
      <c r="C2385"/>
      <c r="D2385"/>
      <c r="E2385"/>
      <c r="F2385"/>
      <c r="G2385"/>
      <c r="H2385"/>
      <c r="I2385"/>
      <c r="J2385"/>
      <c r="K2385"/>
      <c r="L2385" s="11"/>
      <c r="M2385"/>
      <c r="N2385" s="3"/>
      <c r="O2385" s="11"/>
      <c r="P2385" s="11"/>
      <c r="Q2385" s="11"/>
      <c r="R2385" s="11"/>
      <c r="S2385" s="11"/>
      <c r="T2385" s="11"/>
      <c r="U2385" s="11"/>
      <c r="V2385" s="11"/>
      <c r="W2385" s="11"/>
    </row>
    <row r="2386" spans="2:23" x14ac:dyDescent="0.35">
      <c r="B2386"/>
      <c r="C2386"/>
      <c r="D2386"/>
      <c r="E2386"/>
      <c r="F2386"/>
      <c r="G2386"/>
      <c r="H2386"/>
      <c r="I2386"/>
      <c r="J2386"/>
      <c r="K2386"/>
      <c r="L2386" s="11"/>
      <c r="M2386"/>
      <c r="N2386" s="3"/>
      <c r="O2386" s="11"/>
      <c r="P2386" s="11"/>
      <c r="Q2386" s="11"/>
      <c r="R2386" s="11"/>
      <c r="S2386" s="11"/>
      <c r="T2386" s="11"/>
      <c r="U2386" s="11"/>
      <c r="V2386" s="11"/>
      <c r="W2386" s="11"/>
    </row>
    <row r="2387" spans="2:23" x14ac:dyDescent="0.35">
      <c r="B2387"/>
      <c r="C2387"/>
      <c r="D2387"/>
      <c r="E2387"/>
      <c r="F2387"/>
      <c r="G2387"/>
      <c r="H2387"/>
      <c r="I2387"/>
      <c r="J2387"/>
      <c r="K2387"/>
      <c r="L2387" s="11"/>
      <c r="M2387"/>
      <c r="N2387" s="3"/>
      <c r="O2387" s="11"/>
      <c r="P2387" s="11"/>
      <c r="Q2387" s="11"/>
      <c r="R2387" s="11"/>
      <c r="S2387" s="11"/>
      <c r="T2387" s="11"/>
      <c r="U2387" s="11"/>
      <c r="V2387" s="11"/>
      <c r="W2387" s="11"/>
    </row>
    <row r="2388" spans="2:23" x14ac:dyDescent="0.35">
      <c r="B2388"/>
      <c r="C2388"/>
      <c r="D2388"/>
      <c r="E2388"/>
      <c r="F2388"/>
      <c r="G2388"/>
      <c r="H2388"/>
      <c r="I2388"/>
      <c r="J2388"/>
      <c r="K2388"/>
      <c r="L2388" s="11"/>
      <c r="M2388"/>
      <c r="N2388" s="3"/>
      <c r="O2388" s="11"/>
      <c r="P2388" s="11"/>
      <c r="Q2388" s="11"/>
      <c r="R2388" s="11"/>
      <c r="S2388" s="11"/>
      <c r="T2388" s="11"/>
      <c r="U2388" s="11"/>
      <c r="V2388" s="11"/>
      <c r="W2388" s="11"/>
    </row>
    <row r="2389" spans="2:23" x14ac:dyDescent="0.35">
      <c r="B2389"/>
      <c r="C2389"/>
      <c r="D2389"/>
      <c r="E2389"/>
      <c r="F2389"/>
      <c r="G2389"/>
      <c r="H2389"/>
      <c r="I2389"/>
      <c r="J2389"/>
      <c r="K2389"/>
      <c r="L2389" s="11"/>
      <c r="M2389"/>
      <c r="N2389" s="3"/>
      <c r="O2389" s="11"/>
      <c r="P2389" s="11"/>
      <c r="Q2389" s="11"/>
      <c r="R2389" s="11"/>
      <c r="S2389" s="11"/>
      <c r="T2389" s="11"/>
      <c r="U2389" s="11"/>
      <c r="V2389" s="11"/>
      <c r="W2389" s="11"/>
    </row>
    <row r="2390" spans="2:23" x14ac:dyDescent="0.35">
      <c r="B2390"/>
      <c r="C2390"/>
      <c r="D2390"/>
      <c r="E2390"/>
      <c r="F2390"/>
      <c r="G2390"/>
      <c r="H2390"/>
      <c r="I2390"/>
      <c r="J2390"/>
      <c r="K2390"/>
      <c r="L2390" s="11"/>
      <c r="M2390"/>
      <c r="N2390" s="3"/>
      <c r="O2390" s="11"/>
      <c r="P2390" s="11"/>
      <c r="Q2390" s="11"/>
      <c r="R2390" s="11"/>
      <c r="S2390" s="11"/>
      <c r="T2390" s="11"/>
      <c r="U2390" s="11"/>
      <c r="V2390" s="11"/>
      <c r="W2390" s="11"/>
    </row>
    <row r="2391" spans="2:23" x14ac:dyDescent="0.35">
      <c r="B2391"/>
      <c r="C2391"/>
      <c r="D2391"/>
      <c r="E2391"/>
      <c r="F2391"/>
      <c r="G2391"/>
      <c r="H2391"/>
      <c r="I2391"/>
      <c r="J2391"/>
      <c r="K2391"/>
      <c r="L2391" s="11"/>
      <c r="M2391"/>
      <c r="N2391" s="3"/>
      <c r="O2391" s="11"/>
      <c r="P2391" s="11"/>
      <c r="Q2391" s="11"/>
      <c r="R2391" s="11"/>
      <c r="S2391" s="11"/>
      <c r="T2391" s="11"/>
      <c r="U2391" s="11"/>
      <c r="V2391" s="11"/>
      <c r="W2391" s="11"/>
    </row>
    <row r="2392" spans="2:23" x14ac:dyDescent="0.35">
      <c r="B2392"/>
      <c r="C2392"/>
      <c r="D2392"/>
      <c r="E2392"/>
      <c r="F2392"/>
      <c r="G2392"/>
      <c r="H2392"/>
      <c r="I2392"/>
      <c r="J2392"/>
      <c r="K2392"/>
      <c r="L2392" s="11"/>
      <c r="M2392"/>
      <c r="N2392" s="3"/>
      <c r="O2392" s="11"/>
      <c r="P2392" s="11"/>
      <c r="Q2392" s="11"/>
      <c r="R2392" s="11"/>
      <c r="S2392" s="11"/>
      <c r="T2392" s="11"/>
      <c r="U2392" s="11"/>
      <c r="V2392" s="11"/>
      <c r="W2392" s="11"/>
    </row>
    <row r="2393" spans="2:23" x14ac:dyDescent="0.35">
      <c r="B2393"/>
      <c r="C2393"/>
      <c r="D2393"/>
      <c r="E2393"/>
      <c r="F2393"/>
      <c r="G2393"/>
      <c r="H2393"/>
      <c r="I2393"/>
      <c r="J2393"/>
      <c r="K2393"/>
      <c r="L2393" s="11"/>
      <c r="M2393"/>
      <c r="N2393" s="3"/>
      <c r="O2393" s="11"/>
      <c r="P2393" s="11"/>
      <c r="Q2393" s="11"/>
      <c r="R2393" s="11"/>
      <c r="S2393" s="11"/>
      <c r="T2393" s="11"/>
      <c r="U2393" s="11"/>
      <c r="V2393" s="11"/>
      <c r="W2393" s="11"/>
    </row>
    <row r="2394" spans="2:23" x14ac:dyDescent="0.35">
      <c r="B2394"/>
      <c r="C2394"/>
      <c r="D2394"/>
      <c r="E2394"/>
      <c r="F2394"/>
      <c r="G2394"/>
      <c r="H2394"/>
      <c r="I2394"/>
      <c r="J2394"/>
      <c r="K2394"/>
      <c r="L2394" s="11"/>
      <c r="M2394"/>
      <c r="N2394" s="3"/>
      <c r="O2394" s="11"/>
      <c r="P2394" s="11"/>
      <c r="Q2394" s="11"/>
      <c r="R2394" s="11"/>
      <c r="S2394" s="11"/>
      <c r="T2394" s="11"/>
      <c r="U2394" s="11"/>
      <c r="V2394" s="11"/>
      <c r="W2394" s="11"/>
    </row>
    <row r="2395" spans="2:23" x14ac:dyDescent="0.35">
      <c r="B2395"/>
      <c r="C2395"/>
      <c r="D2395"/>
      <c r="E2395"/>
      <c r="F2395"/>
      <c r="G2395"/>
      <c r="H2395"/>
      <c r="I2395"/>
      <c r="J2395"/>
      <c r="K2395"/>
      <c r="L2395" s="11"/>
      <c r="M2395"/>
      <c r="N2395" s="3"/>
      <c r="O2395" s="11"/>
      <c r="P2395" s="11"/>
      <c r="Q2395" s="11"/>
      <c r="R2395" s="11"/>
      <c r="S2395" s="11"/>
      <c r="T2395" s="11"/>
      <c r="U2395" s="11"/>
      <c r="V2395" s="11"/>
      <c r="W2395" s="11"/>
    </row>
    <row r="2396" spans="2:23" x14ac:dyDescent="0.35">
      <c r="B2396"/>
      <c r="C2396"/>
      <c r="D2396"/>
      <c r="E2396"/>
      <c r="F2396"/>
      <c r="G2396"/>
      <c r="H2396"/>
      <c r="I2396"/>
      <c r="J2396"/>
      <c r="K2396"/>
      <c r="L2396" s="11"/>
      <c r="M2396"/>
      <c r="N2396" s="3"/>
      <c r="O2396" s="11"/>
      <c r="P2396" s="11"/>
      <c r="Q2396" s="11"/>
      <c r="R2396" s="11"/>
      <c r="S2396" s="11"/>
      <c r="T2396" s="11"/>
      <c r="U2396" s="11"/>
      <c r="V2396" s="11"/>
      <c r="W2396" s="11"/>
    </row>
    <row r="2397" spans="2:23" x14ac:dyDescent="0.35">
      <c r="B2397"/>
      <c r="C2397"/>
      <c r="D2397"/>
      <c r="E2397"/>
      <c r="F2397"/>
      <c r="G2397"/>
      <c r="H2397"/>
      <c r="I2397"/>
      <c r="J2397"/>
      <c r="K2397"/>
      <c r="L2397" s="11"/>
      <c r="M2397"/>
      <c r="N2397" s="3"/>
      <c r="O2397" s="11"/>
      <c r="P2397" s="11"/>
      <c r="Q2397" s="11"/>
      <c r="R2397" s="11"/>
      <c r="S2397" s="11"/>
      <c r="T2397" s="11"/>
      <c r="U2397" s="11"/>
      <c r="V2397" s="11"/>
      <c r="W2397" s="11"/>
    </row>
    <row r="2398" spans="2:23" x14ac:dyDescent="0.35">
      <c r="B2398"/>
      <c r="C2398"/>
      <c r="D2398"/>
      <c r="E2398"/>
      <c r="F2398"/>
      <c r="G2398"/>
      <c r="H2398"/>
      <c r="I2398"/>
      <c r="J2398"/>
      <c r="K2398"/>
      <c r="L2398" s="11"/>
      <c r="M2398"/>
      <c r="N2398" s="3"/>
      <c r="O2398" s="11"/>
      <c r="P2398" s="11"/>
      <c r="Q2398" s="11"/>
      <c r="R2398" s="11"/>
      <c r="S2398" s="11"/>
      <c r="T2398" s="11"/>
      <c r="U2398" s="11"/>
      <c r="V2398" s="11"/>
      <c r="W2398" s="11"/>
    </row>
    <row r="2399" spans="2:23" x14ac:dyDescent="0.35">
      <c r="B2399"/>
      <c r="C2399"/>
      <c r="D2399"/>
      <c r="E2399"/>
      <c r="F2399"/>
      <c r="G2399"/>
      <c r="H2399"/>
      <c r="I2399"/>
      <c r="J2399"/>
      <c r="K2399"/>
      <c r="L2399" s="11"/>
      <c r="M2399"/>
      <c r="N2399" s="3"/>
      <c r="O2399" s="11"/>
      <c r="P2399" s="11"/>
      <c r="Q2399" s="11"/>
      <c r="R2399" s="11"/>
      <c r="S2399" s="11"/>
      <c r="T2399" s="11"/>
      <c r="U2399" s="11"/>
      <c r="V2399" s="11"/>
      <c r="W2399" s="11"/>
    </row>
    <row r="2400" spans="2:23" x14ac:dyDescent="0.35">
      <c r="B2400"/>
      <c r="C2400"/>
      <c r="D2400"/>
      <c r="E2400"/>
      <c r="F2400"/>
      <c r="G2400"/>
      <c r="H2400"/>
      <c r="I2400"/>
      <c r="J2400"/>
      <c r="K2400"/>
      <c r="L2400" s="11"/>
      <c r="M2400"/>
      <c r="N2400" s="3"/>
      <c r="O2400" s="11"/>
      <c r="P2400" s="11"/>
      <c r="Q2400" s="11"/>
      <c r="R2400" s="11"/>
      <c r="S2400" s="11"/>
      <c r="T2400" s="11"/>
      <c r="U2400" s="11"/>
      <c r="V2400" s="11"/>
      <c r="W2400" s="11"/>
    </row>
    <row r="2401" spans="2:23" x14ac:dyDescent="0.35">
      <c r="B2401"/>
      <c r="C2401"/>
      <c r="D2401"/>
      <c r="E2401"/>
      <c r="F2401"/>
      <c r="G2401"/>
      <c r="H2401"/>
      <c r="I2401"/>
      <c r="J2401"/>
      <c r="K2401"/>
      <c r="L2401" s="11"/>
      <c r="M2401"/>
      <c r="N2401" s="3"/>
      <c r="O2401" s="11"/>
      <c r="P2401" s="11"/>
      <c r="Q2401" s="11"/>
      <c r="R2401" s="11"/>
      <c r="S2401" s="11"/>
      <c r="T2401" s="11"/>
      <c r="U2401" s="11"/>
      <c r="V2401" s="11"/>
      <c r="W2401" s="11"/>
    </row>
    <row r="2402" spans="2:23" x14ac:dyDescent="0.35">
      <c r="B2402"/>
      <c r="C2402"/>
      <c r="D2402"/>
      <c r="E2402"/>
      <c r="F2402"/>
      <c r="G2402"/>
      <c r="H2402"/>
      <c r="I2402"/>
      <c r="J2402"/>
      <c r="K2402"/>
      <c r="L2402" s="11"/>
      <c r="M2402"/>
      <c r="N2402" s="3"/>
      <c r="O2402" s="11"/>
      <c r="P2402" s="11"/>
      <c r="Q2402" s="11"/>
      <c r="R2402" s="11"/>
      <c r="S2402" s="11"/>
      <c r="T2402" s="11"/>
      <c r="U2402" s="11"/>
      <c r="V2402" s="11"/>
      <c r="W2402" s="11"/>
    </row>
    <row r="2403" spans="2:23" x14ac:dyDescent="0.35">
      <c r="B2403"/>
      <c r="C2403"/>
      <c r="D2403"/>
      <c r="E2403"/>
      <c r="F2403"/>
      <c r="G2403"/>
      <c r="H2403"/>
      <c r="I2403"/>
      <c r="J2403"/>
      <c r="K2403"/>
      <c r="L2403" s="11"/>
      <c r="M2403"/>
      <c r="N2403" s="3"/>
      <c r="O2403" s="11"/>
      <c r="P2403" s="11"/>
      <c r="Q2403" s="11"/>
      <c r="R2403" s="11"/>
      <c r="S2403" s="11"/>
      <c r="T2403" s="11"/>
      <c r="U2403" s="11"/>
      <c r="V2403" s="11"/>
      <c r="W2403" s="11"/>
    </row>
    <row r="2404" spans="2:23" x14ac:dyDescent="0.35">
      <c r="B2404"/>
      <c r="C2404"/>
      <c r="D2404"/>
      <c r="E2404"/>
      <c r="F2404"/>
      <c r="G2404"/>
      <c r="H2404"/>
      <c r="I2404"/>
      <c r="J2404"/>
      <c r="K2404"/>
      <c r="L2404" s="11"/>
      <c r="M2404"/>
      <c r="N2404" s="3"/>
      <c r="O2404" s="11"/>
      <c r="P2404" s="11"/>
      <c r="Q2404" s="11"/>
      <c r="R2404" s="11"/>
      <c r="S2404" s="11"/>
      <c r="T2404" s="11"/>
      <c r="U2404" s="11"/>
      <c r="V2404" s="11"/>
      <c r="W2404" s="11"/>
    </row>
    <row r="2405" spans="2:23" x14ac:dyDescent="0.35">
      <c r="B2405"/>
      <c r="C2405"/>
      <c r="D2405"/>
      <c r="E2405"/>
      <c r="F2405"/>
      <c r="G2405"/>
      <c r="H2405"/>
      <c r="I2405"/>
      <c r="J2405"/>
      <c r="K2405"/>
      <c r="L2405" s="11"/>
      <c r="M2405"/>
      <c r="N2405" s="3"/>
      <c r="O2405" s="11"/>
      <c r="P2405" s="11"/>
      <c r="Q2405" s="11"/>
      <c r="R2405" s="11"/>
      <c r="S2405" s="11"/>
      <c r="T2405" s="11"/>
      <c r="U2405" s="11"/>
      <c r="V2405" s="11"/>
      <c r="W2405" s="11"/>
    </row>
    <row r="2406" spans="2:23" x14ac:dyDescent="0.35">
      <c r="B2406"/>
      <c r="C2406"/>
      <c r="D2406"/>
      <c r="E2406"/>
      <c r="F2406"/>
      <c r="G2406"/>
      <c r="H2406"/>
      <c r="I2406"/>
      <c r="J2406"/>
      <c r="K2406"/>
      <c r="L2406" s="11"/>
      <c r="M2406"/>
      <c r="N2406" s="3"/>
      <c r="O2406" s="11"/>
      <c r="P2406" s="11"/>
      <c r="Q2406" s="11"/>
      <c r="R2406" s="11"/>
      <c r="S2406" s="11"/>
      <c r="T2406" s="11"/>
      <c r="U2406" s="11"/>
      <c r="V2406" s="11"/>
      <c r="W2406" s="11"/>
    </row>
    <row r="2407" spans="2:23" x14ac:dyDescent="0.35">
      <c r="B2407"/>
      <c r="C2407"/>
      <c r="D2407"/>
      <c r="E2407"/>
      <c r="F2407"/>
      <c r="G2407"/>
      <c r="H2407"/>
      <c r="I2407"/>
      <c r="J2407"/>
      <c r="K2407"/>
      <c r="L2407" s="11"/>
      <c r="M2407"/>
      <c r="N2407" s="3"/>
      <c r="O2407" s="11"/>
      <c r="P2407" s="11"/>
      <c r="Q2407" s="11"/>
      <c r="R2407" s="11"/>
      <c r="S2407" s="11"/>
      <c r="T2407" s="11"/>
      <c r="U2407" s="11"/>
      <c r="V2407" s="11"/>
      <c r="W2407" s="11"/>
    </row>
    <row r="2408" spans="2:23" x14ac:dyDescent="0.35">
      <c r="B2408"/>
      <c r="C2408"/>
      <c r="D2408"/>
      <c r="E2408"/>
      <c r="F2408"/>
      <c r="G2408"/>
      <c r="H2408"/>
      <c r="I2408"/>
      <c r="J2408"/>
      <c r="K2408"/>
      <c r="L2408" s="11"/>
      <c r="M2408"/>
      <c r="N2408" s="3"/>
      <c r="O2408" s="11"/>
      <c r="P2408" s="11"/>
      <c r="Q2408" s="11"/>
      <c r="R2408" s="11"/>
      <c r="S2408" s="11"/>
      <c r="T2408" s="11"/>
      <c r="U2408" s="11"/>
      <c r="V2408" s="11"/>
      <c r="W2408" s="11"/>
    </row>
    <row r="2409" spans="2:23" x14ac:dyDescent="0.35">
      <c r="B2409"/>
      <c r="C2409"/>
      <c r="D2409"/>
      <c r="E2409"/>
      <c r="F2409"/>
      <c r="G2409"/>
      <c r="H2409"/>
      <c r="I2409"/>
      <c r="J2409"/>
      <c r="K2409"/>
      <c r="L2409" s="11"/>
      <c r="M2409"/>
      <c r="N2409" s="3"/>
      <c r="O2409" s="11"/>
      <c r="P2409" s="11"/>
      <c r="Q2409" s="11"/>
      <c r="R2409" s="11"/>
      <c r="S2409" s="11"/>
      <c r="T2409" s="11"/>
      <c r="U2409" s="11"/>
      <c r="V2409" s="11"/>
      <c r="W2409" s="11"/>
    </row>
    <row r="2410" spans="2:23" x14ac:dyDescent="0.35">
      <c r="B2410"/>
      <c r="C2410"/>
      <c r="D2410"/>
      <c r="E2410"/>
      <c r="F2410"/>
      <c r="G2410"/>
      <c r="H2410"/>
      <c r="I2410"/>
      <c r="J2410"/>
      <c r="K2410"/>
      <c r="L2410" s="11"/>
      <c r="M2410"/>
      <c r="N2410" s="3"/>
      <c r="O2410" s="11"/>
      <c r="P2410" s="11"/>
      <c r="Q2410" s="11"/>
      <c r="R2410" s="11"/>
      <c r="S2410" s="11"/>
      <c r="T2410" s="11"/>
      <c r="U2410" s="11"/>
      <c r="V2410" s="11"/>
      <c r="W2410" s="11"/>
    </row>
    <row r="2411" spans="2:23" x14ac:dyDescent="0.35">
      <c r="B2411"/>
      <c r="C2411"/>
      <c r="D2411"/>
      <c r="E2411"/>
      <c r="F2411"/>
      <c r="G2411"/>
      <c r="H2411"/>
      <c r="I2411"/>
      <c r="J2411"/>
      <c r="K2411"/>
      <c r="L2411" s="11"/>
      <c r="M2411"/>
      <c r="N2411" s="3"/>
      <c r="O2411" s="11"/>
      <c r="P2411" s="11"/>
      <c r="Q2411" s="11"/>
      <c r="R2411" s="11"/>
      <c r="S2411" s="11"/>
      <c r="T2411" s="11"/>
      <c r="U2411" s="11"/>
      <c r="V2411" s="11"/>
      <c r="W2411" s="11"/>
    </row>
    <row r="2412" spans="2:23" x14ac:dyDescent="0.35">
      <c r="B2412"/>
      <c r="C2412"/>
      <c r="D2412"/>
      <c r="E2412"/>
      <c r="F2412"/>
      <c r="G2412"/>
      <c r="H2412"/>
      <c r="I2412"/>
      <c r="J2412"/>
      <c r="K2412"/>
      <c r="L2412" s="11"/>
      <c r="M2412"/>
      <c r="N2412" s="3"/>
      <c r="O2412" s="11"/>
      <c r="P2412" s="11"/>
      <c r="Q2412" s="11"/>
      <c r="R2412" s="11"/>
      <c r="S2412" s="11"/>
      <c r="T2412" s="11"/>
      <c r="U2412" s="11"/>
      <c r="V2412" s="11"/>
      <c r="W2412" s="11"/>
    </row>
    <row r="2413" spans="2:23" x14ac:dyDescent="0.35">
      <c r="B2413"/>
      <c r="C2413"/>
      <c r="D2413"/>
      <c r="E2413"/>
      <c r="F2413"/>
      <c r="G2413"/>
      <c r="H2413"/>
      <c r="I2413"/>
      <c r="J2413"/>
      <c r="K2413"/>
      <c r="L2413" s="11"/>
      <c r="M2413"/>
      <c r="N2413" s="3"/>
      <c r="O2413" s="11"/>
      <c r="P2413" s="11"/>
      <c r="Q2413" s="11"/>
      <c r="R2413" s="11"/>
      <c r="S2413" s="11"/>
      <c r="T2413" s="11"/>
      <c r="U2413" s="11"/>
      <c r="V2413" s="11"/>
      <c r="W2413" s="11"/>
    </row>
    <row r="2414" spans="2:23" x14ac:dyDescent="0.35">
      <c r="B2414"/>
      <c r="C2414"/>
      <c r="D2414"/>
      <c r="E2414"/>
      <c r="F2414"/>
      <c r="G2414"/>
      <c r="H2414"/>
      <c r="I2414"/>
      <c r="J2414"/>
      <c r="K2414"/>
      <c r="L2414" s="11"/>
      <c r="M2414"/>
      <c r="N2414" s="3"/>
      <c r="O2414" s="11"/>
      <c r="P2414" s="11"/>
      <c r="Q2414" s="11"/>
      <c r="R2414" s="11"/>
      <c r="S2414" s="11"/>
      <c r="T2414" s="11"/>
      <c r="U2414" s="11"/>
      <c r="V2414" s="11"/>
      <c r="W2414" s="11"/>
    </row>
    <row r="2415" spans="2:23" x14ac:dyDescent="0.35">
      <c r="B2415"/>
      <c r="C2415"/>
      <c r="D2415"/>
      <c r="E2415"/>
      <c r="F2415"/>
      <c r="G2415"/>
      <c r="H2415"/>
      <c r="I2415"/>
      <c r="J2415"/>
      <c r="K2415"/>
      <c r="L2415" s="11"/>
      <c r="M2415"/>
      <c r="N2415" s="3"/>
      <c r="O2415" s="11"/>
      <c r="P2415" s="11"/>
      <c r="Q2415" s="11"/>
      <c r="R2415" s="11"/>
      <c r="S2415" s="11"/>
      <c r="T2415" s="11"/>
      <c r="U2415" s="11"/>
      <c r="V2415" s="11"/>
      <c r="W2415" s="11"/>
    </row>
    <row r="2416" spans="2:23" x14ac:dyDescent="0.35">
      <c r="B2416"/>
      <c r="C2416"/>
      <c r="D2416"/>
      <c r="E2416"/>
      <c r="F2416"/>
      <c r="G2416"/>
      <c r="H2416"/>
      <c r="I2416"/>
      <c r="J2416"/>
      <c r="K2416"/>
      <c r="L2416" s="11"/>
      <c r="M2416"/>
      <c r="N2416" s="3"/>
      <c r="O2416" s="11"/>
      <c r="P2416" s="11"/>
      <c r="Q2416" s="11"/>
      <c r="R2416" s="11"/>
      <c r="S2416" s="11"/>
      <c r="T2416" s="11"/>
      <c r="U2416" s="11"/>
      <c r="V2416" s="11"/>
      <c r="W2416" s="11"/>
    </row>
    <row r="2417" spans="2:23" x14ac:dyDescent="0.35">
      <c r="B2417"/>
      <c r="C2417"/>
      <c r="D2417"/>
      <c r="E2417"/>
      <c r="F2417"/>
      <c r="G2417"/>
      <c r="H2417"/>
      <c r="I2417"/>
      <c r="J2417"/>
      <c r="K2417"/>
      <c r="L2417" s="11"/>
      <c r="M2417"/>
      <c r="N2417" s="3"/>
      <c r="O2417" s="11"/>
      <c r="P2417" s="11"/>
      <c r="Q2417" s="11"/>
      <c r="R2417" s="11"/>
      <c r="S2417" s="11"/>
      <c r="T2417" s="11"/>
      <c r="U2417" s="11"/>
      <c r="V2417" s="11"/>
      <c r="W2417" s="11"/>
    </row>
    <row r="2418" spans="2:23" x14ac:dyDescent="0.35">
      <c r="B2418"/>
      <c r="C2418"/>
      <c r="D2418"/>
      <c r="E2418"/>
      <c r="F2418"/>
      <c r="G2418"/>
      <c r="H2418"/>
      <c r="I2418"/>
      <c r="J2418"/>
      <c r="K2418"/>
      <c r="L2418" s="11"/>
      <c r="M2418"/>
      <c r="N2418" s="3"/>
      <c r="O2418" s="11"/>
      <c r="P2418" s="11"/>
      <c r="Q2418" s="11"/>
      <c r="R2418" s="11"/>
      <c r="S2418" s="11"/>
      <c r="T2418" s="11"/>
      <c r="U2418" s="11"/>
      <c r="V2418" s="11"/>
      <c r="W2418" s="11"/>
    </row>
    <row r="2419" spans="2:23" x14ac:dyDescent="0.35">
      <c r="B2419"/>
      <c r="C2419"/>
      <c r="D2419"/>
      <c r="E2419"/>
      <c r="F2419"/>
      <c r="G2419"/>
      <c r="H2419"/>
      <c r="I2419"/>
      <c r="J2419"/>
      <c r="K2419"/>
      <c r="L2419" s="11"/>
      <c r="M2419"/>
      <c r="N2419" s="3"/>
      <c r="O2419" s="11"/>
      <c r="P2419" s="11"/>
      <c r="Q2419" s="11"/>
      <c r="R2419" s="11"/>
      <c r="S2419" s="11"/>
      <c r="T2419" s="11"/>
      <c r="U2419" s="11"/>
      <c r="V2419" s="11"/>
      <c r="W2419" s="11"/>
    </row>
    <row r="2420" spans="2:23" x14ac:dyDescent="0.35">
      <c r="B2420"/>
      <c r="C2420"/>
      <c r="D2420"/>
      <c r="E2420"/>
      <c r="F2420"/>
      <c r="G2420"/>
      <c r="H2420"/>
      <c r="I2420"/>
      <c r="J2420"/>
      <c r="K2420"/>
      <c r="L2420" s="11"/>
      <c r="M2420"/>
      <c r="N2420" s="3"/>
      <c r="O2420" s="11"/>
      <c r="P2420" s="11"/>
      <c r="Q2420" s="11"/>
      <c r="R2420" s="11"/>
      <c r="S2420" s="11"/>
      <c r="T2420" s="11"/>
      <c r="U2420" s="11"/>
      <c r="V2420" s="11"/>
      <c r="W2420" s="11"/>
    </row>
    <row r="2421" spans="2:23" x14ac:dyDescent="0.35">
      <c r="B2421"/>
      <c r="C2421"/>
      <c r="D2421"/>
      <c r="E2421"/>
      <c r="F2421"/>
      <c r="G2421"/>
      <c r="H2421"/>
      <c r="I2421"/>
      <c r="J2421"/>
      <c r="K2421"/>
      <c r="L2421" s="11"/>
      <c r="M2421"/>
      <c r="N2421" s="3"/>
      <c r="O2421" s="11"/>
      <c r="P2421" s="11"/>
      <c r="Q2421" s="11"/>
      <c r="R2421" s="11"/>
      <c r="S2421" s="11"/>
      <c r="T2421" s="11"/>
      <c r="U2421" s="11"/>
      <c r="V2421" s="11"/>
      <c r="W2421" s="11"/>
    </row>
    <row r="2422" spans="2:23" x14ac:dyDescent="0.35">
      <c r="B2422"/>
      <c r="C2422"/>
      <c r="D2422"/>
      <c r="E2422"/>
      <c r="F2422"/>
      <c r="G2422"/>
      <c r="H2422"/>
      <c r="I2422"/>
      <c r="J2422"/>
      <c r="K2422"/>
      <c r="L2422" s="11"/>
      <c r="M2422"/>
      <c r="N2422" s="3"/>
      <c r="O2422" s="11"/>
      <c r="P2422" s="11"/>
      <c r="Q2422" s="11"/>
      <c r="R2422" s="11"/>
      <c r="S2422" s="11"/>
      <c r="T2422" s="11"/>
      <c r="U2422" s="11"/>
      <c r="V2422" s="11"/>
      <c r="W2422" s="11"/>
    </row>
    <row r="2423" spans="2:23" x14ac:dyDescent="0.35">
      <c r="B2423"/>
      <c r="C2423"/>
      <c r="D2423"/>
      <c r="E2423"/>
      <c r="F2423"/>
      <c r="G2423"/>
      <c r="H2423"/>
      <c r="I2423"/>
      <c r="J2423"/>
      <c r="K2423"/>
      <c r="L2423" s="11"/>
      <c r="M2423"/>
      <c r="N2423" s="3"/>
      <c r="O2423" s="11"/>
      <c r="P2423" s="11"/>
      <c r="Q2423" s="11"/>
      <c r="R2423" s="11"/>
      <c r="S2423" s="11"/>
      <c r="T2423" s="11"/>
      <c r="U2423" s="11"/>
      <c r="V2423" s="11"/>
      <c r="W2423" s="11"/>
    </row>
    <row r="2424" spans="2:23" x14ac:dyDescent="0.35">
      <c r="B2424"/>
      <c r="C2424"/>
      <c r="D2424"/>
      <c r="E2424"/>
      <c r="F2424"/>
      <c r="G2424"/>
      <c r="H2424"/>
      <c r="I2424"/>
      <c r="J2424"/>
      <c r="K2424"/>
      <c r="L2424" s="11"/>
      <c r="M2424"/>
      <c r="N2424" s="3"/>
      <c r="O2424" s="11"/>
      <c r="P2424" s="11"/>
      <c r="Q2424" s="11"/>
      <c r="R2424" s="11"/>
      <c r="S2424" s="11"/>
      <c r="T2424" s="11"/>
      <c r="U2424" s="11"/>
      <c r="V2424" s="11"/>
      <c r="W2424" s="11"/>
    </row>
    <row r="2425" spans="2:23" x14ac:dyDescent="0.35">
      <c r="B2425"/>
      <c r="C2425"/>
      <c r="D2425"/>
      <c r="E2425"/>
      <c r="F2425"/>
      <c r="G2425"/>
      <c r="H2425"/>
      <c r="I2425"/>
      <c r="J2425"/>
      <c r="K2425"/>
      <c r="L2425" s="11"/>
      <c r="M2425"/>
      <c r="N2425" s="3"/>
      <c r="O2425" s="11"/>
      <c r="P2425" s="11"/>
      <c r="Q2425" s="11"/>
      <c r="R2425" s="11"/>
      <c r="S2425" s="11"/>
      <c r="T2425" s="11"/>
      <c r="U2425" s="11"/>
      <c r="V2425" s="11"/>
      <c r="W2425" s="11"/>
    </row>
    <row r="2426" spans="2:23" x14ac:dyDescent="0.35">
      <c r="B2426"/>
      <c r="C2426"/>
      <c r="D2426"/>
      <c r="E2426"/>
      <c r="F2426"/>
      <c r="G2426"/>
      <c r="H2426"/>
      <c r="I2426"/>
      <c r="J2426"/>
      <c r="K2426"/>
      <c r="L2426" s="11"/>
      <c r="M2426"/>
      <c r="N2426" s="3"/>
      <c r="O2426" s="11"/>
      <c r="P2426" s="11"/>
      <c r="Q2426" s="11"/>
      <c r="R2426" s="11"/>
      <c r="S2426" s="11"/>
      <c r="T2426" s="11"/>
      <c r="U2426" s="11"/>
      <c r="V2426" s="11"/>
      <c r="W2426" s="11"/>
    </row>
    <row r="2427" spans="2:23" x14ac:dyDescent="0.35">
      <c r="B2427"/>
      <c r="C2427"/>
      <c r="D2427"/>
      <c r="E2427"/>
      <c r="F2427"/>
      <c r="G2427"/>
      <c r="H2427"/>
      <c r="I2427"/>
      <c r="J2427"/>
      <c r="K2427"/>
      <c r="L2427" s="11"/>
      <c r="M2427"/>
      <c r="N2427" s="3"/>
      <c r="O2427" s="11"/>
      <c r="P2427" s="11"/>
      <c r="Q2427" s="11"/>
      <c r="R2427" s="11"/>
      <c r="S2427" s="11"/>
      <c r="T2427" s="11"/>
      <c r="U2427" s="11"/>
      <c r="V2427" s="11"/>
      <c r="W2427" s="11"/>
    </row>
    <row r="2428" spans="2:23" x14ac:dyDescent="0.35">
      <c r="B2428"/>
      <c r="C2428"/>
      <c r="D2428"/>
      <c r="E2428"/>
      <c r="F2428"/>
      <c r="G2428"/>
      <c r="H2428"/>
      <c r="I2428"/>
      <c r="J2428"/>
      <c r="K2428"/>
      <c r="L2428" s="11"/>
      <c r="M2428"/>
      <c r="N2428" s="3"/>
      <c r="O2428" s="11"/>
      <c r="P2428" s="11"/>
      <c r="Q2428" s="11"/>
      <c r="R2428" s="11"/>
      <c r="S2428" s="11"/>
      <c r="T2428" s="11"/>
      <c r="U2428" s="11"/>
      <c r="V2428" s="11"/>
      <c r="W2428" s="11"/>
    </row>
    <row r="2429" spans="2:23" x14ac:dyDescent="0.35">
      <c r="B2429"/>
      <c r="C2429"/>
      <c r="D2429"/>
      <c r="E2429"/>
      <c r="F2429"/>
      <c r="G2429"/>
      <c r="H2429"/>
      <c r="I2429"/>
      <c r="J2429"/>
      <c r="K2429"/>
      <c r="L2429" s="11"/>
      <c r="M2429"/>
      <c r="N2429" s="3"/>
      <c r="O2429" s="11"/>
      <c r="P2429" s="11"/>
      <c r="Q2429" s="11"/>
      <c r="R2429" s="11"/>
      <c r="S2429" s="11"/>
      <c r="T2429" s="11"/>
      <c r="U2429" s="11"/>
      <c r="V2429" s="11"/>
      <c r="W2429" s="11"/>
    </row>
    <row r="2430" spans="2:23" x14ac:dyDescent="0.35">
      <c r="B2430"/>
      <c r="C2430"/>
      <c r="D2430"/>
      <c r="E2430"/>
      <c r="F2430"/>
      <c r="G2430"/>
      <c r="H2430"/>
      <c r="I2430"/>
      <c r="J2430"/>
      <c r="K2430"/>
      <c r="L2430" s="11"/>
      <c r="M2430"/>
      <c r="N2430" s="3"/>
      <c r="O2430" s="11"/>
      <c r="P2430" s="11"/>
      <c r="Q2430" s="11"/>
      <c r="R2430" s="11"/>
      <c r="S2430" s="11"/>
      <c r="T2430" s="11"/>
      <c r="U2430" s="11"/>
      <c r="V2430" s="11"/>
      <c r="W2430" s="11"/>
    </row>
    <row r="2431" spans="2:23" x14ac:dyDescent="0.35">
      <c r="B2431"/>
      <c r="C2431"/>
      <c r="D2431"/>
      <c r="E2431"/>
      <c r="F2431"/>
      <c r="G2431"/>
      <c r="H2431"/>
      <c r="I2431"/>
      <c r="J2431"/>
      <c r="K2431"/>
      <c r="L2431" s="11"/>
      <c r="M2431"/>
      <c r="N2431" s="3"/>
      <c r="O2431" s="11"/>
      <c r="P2431" s="11"/>
      <c r="Q2431" s="11"/>
      <c r="R2431" s="11"/>
      <c r="S2431" s="11"/>
      <c r="T2431" s="11"/>
      <c r="U2431" s="11"/>
      <c r="V2431" s="11"/>
      <c r="W2431" s="11"/>
    </row>
    <row r="2432" spans="2:23" x14ac:dyDescent="0.35">
      <c r="B2432"/>
      <c r="C2432"/>
      <c r="D2432"/>
      <c r="E2432"/>
      <c r="F2432"/>
      <c r="G2432"/>
      <c r="H2432"/>
      <c r="I2432"/>
      <c r="J2432"/>
      <c r="K2432"/>
      <c r="L2432" s="11"/>
      <c r="M2432"/>
      <c r="N2432" s="3"/>
      <c r="O2432" s="11"/>
      <c r="P2432" s="11"/>
      <c r="Q2432" s="11"/>
      <c r="R2432" s="11"/>
      <c r="S2432" s="11"/>
      <c r="T2432" s="11"/>
      <c r="U2432" s="11"/>
      <c r="V2432" s="11"/>
      <c r="W2432" s="11"/>
    </row>
    <row r="2433" spans="2:23" x14ac:dyDescent="0.35">
      <c r="B2433"/>
      <c r="C2433"/>
      <c r="D2433"/>
      <c r="E2433"/>
      <c r="F2433"/>
      <c r="G2433"/>
      <c r="H2433"/>
      <c r="I2433"/>
      <c r="J2433"/>
      <c r="K2433"/>
      <c r="L2433" s="11"/>
      <c r="M2433"/>
      <c r="N2433" s="3"/>
      <c r="O2433" s="11"/>
      <c r="P2433" s="11"/>
      <c r="Q2433" s="11"/>
      <c r="R2433" s="11"/>
      <c r="S2433" s="11"/>
      <c r="T2433" s="11"/>
      <c r="U2433" s="11"/>
      <c r="V2433" s="11"/>
      <c r="W2433" s="11"/>
    </row>
    <row r="2434" spans="2:23" x14ac:dyDescent="0.35">
      <c r="B2434"/>
      <c r="C2434"/>
      <c r="D2434"/>
      <c r="E2434"/>
      <c r="F2434"/>
      <c r="G2434"/>
      <c r="H2434"/>
      <c r="I2434"/>
      <c r="J2434"/>
      <c r="K2434"/>
      <c r="L2434" s="11"/>
      <c r="M2434"/>
      <c r="N2434" s="3"/>
      <c r="O2434" s="11"/>
      <c r="P2434" s="11"/>
      <c r="Q2434" s="11"/>
      <c r="R2434" s="11"/>
      <c r="S2434" s="11"/>
      <c r="T2434" s="11"/>
      <c r="U2434" s="11"/>
      <c r="V2434" s="11"/>
      <c r="W2434" s="11"/>
    </row>
    <row r="2435" spans="2:23" x14ac:dyDescent="0.35">
      <c r="B2435"/>
      <c r="C2435"/>
      <c r="D2435"/>
      <c r="E2435"/>
      <c r="F2435"/>
      <c r="G2435"/>
      <c r="H2435"/>
      <c r="I2435"/>
      <c r="J2435"/>
      <c r="K2435"/>
      <c r="L2435" s="11"/>
      <c r="M2435"/>
      <c r="N2435" s="3"/>
      <c r="O2435" s="11"/>
      <c r="P2435" s="11"/>
      <c r="Q2435" s="11"/>
      <c r="R2435" s="11"/>
      <c r="S2435" s="11"/>
      <c r="T2435" s="11"/>
      <c r="U2435" s="11"/>
      <c r="V2435" s="11"/>
      <c r="W2435" s="11"/>
    </row>
    <row r="2436" spans="2:23" x14ac:dyDescent="0.35">
      <c r="B2436"/>
      <c r="C2436"/>
      <c r="D2436"/>
      <c r="E2436"/>
      <c r="F2436"/>
      <c r="G2436"/>
      <c r="H2436"/>
      <c r="I2436"/>
      <c r="J2436"/>
      <c r="K2436"/>
      <c r="L2436" s="11"/>
      <c r="M2436"/>
      <c r="N2436" s="3"/>
      <c r="O2436" s="11"/>
      <c r="P2436" s="11"/>
      <c r="Q2436" s="11"/>
      <c r="R2436" s="11"/>
      <c r="S2436" s="11"/>
      <c r="T2436" s="11"/>
      <c r="U2436" s="11"/>
      <c r="V2436" s="11"/>
      <c r="W2436" s="11"/>
    </row>
    <row r="2437" spans="2:23" x14ac:dyDescent="0.35">
      <c r="B2437"/>
      <c r="C2437"/>
      <c r="D2437"/>
      <c r="E2437"/>
      <c r="F2437"/>
      <c r="G2437"/>
      <c r="H2437"/>
      <c r="I2437"/>
      <c r="J2437"/>
      <c r="K2437"/>
      <c r="L2437" s="11"/>
      <c r="M2437"/>
      <c r="N2437" s="3"/>
      <c r="O2437" s="11"/>
      <c r="P2437" s="11"/>
      <c r="Q2437" s="11"/>
      <c r="R2437" s="11"/>
      <c r="S2437" s="11"/>
      <c r="T2437" s="11"/>
      <c r="U2437" s="11"/>
      <c r="V2437" s="11"/>
      <c r="W2437" s="11"/>
    </row>
    <row r="2438" spans="2:23" x14ac:dyDescent="0.35">
      <c r="B2438"/>
      <c r="C2438"/>
      <c r="D2438"/>
      <c r="E2438"/>
      <c r="F2438"/>
      <c r="G2438"/>
      <c r="H2438"/>
      <c r="I2438"/>
      <c r="J2438"/>
      <c r="K2438"/>
      <c r="L2438" s="11"/>
      <c r="M2438"/>
      <c r="N2438" s="3"/>
      <c r="O2438" s="11"/>
      <c r="P2438" s="11"/>
      <c r="Q2438" s="11"/>
      <c r="R2438" s="11"/>
      <c r="S2438" s="11"/>
      <c r="T2438" s="11"/>
      <c r="U2438" s="11"/>
      <c r="V2438" s="11"/>
      <c r="W2438" s="11"/>
    </row>
    <row r="2439" spans="2:23" x14ac:dyDescent="0.35">
      <c r="B2439"/>
      <c r="C2439"/>
      <c r="D2439"/>
      <c r="E2439"/>
      <c r="F2439"/>
      <c r="G2439"/>
      <c r="H2439"/>
      <c r="I2439"/>
      <c r="J2439"/>
      <c r="K2439"/>
      <c r="L2439" s="11"/>
      <c r="M2439"/>
      <c r="N2439" s="3"/>
      <c r="O2439" s="11"/>
      <c r="P2439" s="11"/>
      <c r="Q2439" s="11"/>
      <c r="R2439" s="11"/>
      <c r="S2439" s="11"/>
      <c r="T2439" s="11"/>
      <c r="U2439" s="11"/>
      <c r="V2439" s="11"/>
      <c r="W2439" s="11"/>
    </row>
    <row r="2440" spans="2:23" x14ac:dyDescent="0.35">
      <c r="B2440"/>
      <c r="C2440"/>
      <c r="D2440"/>
      <c r="E2440"/>
      <c r="F2440"/>
      <c r="G2440"/>
      <c r="H2440"/>
      <c r="I2440"/>
      <c r="J2440"/>
      <c r="K2440"/>
      <c r="L2440" s="11"/>
      <c r="M2440"/>
      <c r="N2440" s="3"/>
      <c r="O2440" s="11"/>
      <c r="P2440" s="11"/>
      <c r="Q2440" s="11"/>
      <c r="R2440" s="11"/>
      <c r="S2440" s="11"/>
      <c r="T2440" s="11"/>
      <c r="U2440" s="11"/>
      <c r="V2440" s="11"/>
      <c r="W2440" s="11"/>
    </row>
    <row r="2441" spans="2:23" x14ac:dyDescent="0.35">
      <c r="B2441"/>
      <c r="C2441"/>
      <c r="D2441"/>
      <c r="E2441"/>
      <c r="F2441"/>
      <c r="G2441"/>
      <c r="H2441"/>
      <c r="I2441"/>
      <c r="J2441"/>
      <c r="K2441"/>
      <c r="L2441" s="11"/>
      <c r="M2441"/>
      <c r="N2441" s="3"/>
      <c r="O2441" s="11"/>
      <c r="P2441" s="11"/>
      <c r="Q2441" s="11"/>
      <c r="R2441" s="11"/>
      <c r="S2441" s="11"/>
      <c r="T2441" s="11"/>
      <c r="U2441" s="11"/>
      <c r="V2441" s="11"/>
      <c r="W2441" s="11"/>
    </row>
    <row r="2442" spans="2:23" x14ac:dyDescent="0.35">
      <c r="B2442"/>
      <c r="C2442"/>
      <c r="D2442"/>
      <c r="E2442"/>
      <c r="F2442"/>
      <c r="G2442"/>
      <c r="H2442"/>
      <c r="I2442"/>
      <c r="J2442"/>
      <c r="K2442"/>
      <c r="L2442" s="11"/>
      <c r="M2442"/>
      <c r="N2442" s="3"/>
      <c r="O2442" s="11"/>
      <c r="P2442" s="11"/>
      <c r="Q2442" s="11"/>
      <c r="R2442" s="11"/>
      <c r="S2442" s="11"/>
      <c r="T2442" s="11"/>
      <c r="U2442" s="11"/>
      <c r="V2442" s="11"/>
      <c r="W2442" s="11"/>
    </row>
    <row r="2443" spans="2:23" x14ac:dyDescent="0.35">
      <c r="B2443"/>
      <c r="C2443"/>
      <c r="D2443"/>
      <c r="E2443"/>
      <c r="F2443"/>
      <c r="G2443"/>
      <c r="H2443"/>
      <c r="I2443"/>
      <c r="J2443"/>
      <c r="K2443"/>
      <c r="L2443" s="11"/>
      <c r="M2443"/>
      <c r="N2443" s="3"/>
      <c r="O2443" s="11"/>
      <c r="P2443" s="11"/>
      <c r="Q2443" s="11"/>
      <c r="R2443" s="11"/>
      <c r="S2443" s="11"/>
      <c r="T2443" s="11"/>
      <c r="U2443" s="11"/>
      <c r="V2443" s="11"/>
      <c r="W2443" s="11"/>
    </row>
    <row r="2444" spans="2:23" x14ac:dyDescent="0.35">
      <c r="B2444"/>
      <c r="C2444"/>
      <c r="D2444"/>
      <c r="E2444"/>
      <c r="F2444"/>
      <c r="G2444"/>
      <c r="H2444"/>
      <c r="I2444"/>
      <c r="J2444"/>
      <c r="K2444"/>
      <c r="L2444" s="11"/>
      <c r="M2444"/>
      <c r="N2444" s="3"/>
      <c r="O2444" s="11"/>
      <c r="P2444" s="11"/>
      <c r="Q2444" s="11"/>
      <c r="R2444" s="11"/>
      <c r="S2444" s="11"/>
      <c r="T2444" s="11"/>
      <c r="U2444" s="11"/>
      <c r="V2444" s="11"/>
      <c r="W2444" s="11"/>
    </row>
    <row r="2445" spans="2:23" x14ac:dyDescent="0.35">
      <c r="B2445"/>
      <c r="C2445"/>
      <c r="D2445"/>
      <c r="E2445"/>
      <c r="F2445"/>
      <c r="G2445"/>
      <c r="H2445"/>
      <c r="I2445"/>
      <c r="J2445"/>
      <c r="K2445"/>
      <c r="L2445" s="11"/>
      <c r="M2445"/>
      <c r="N2445" s="3"/>
      <c r="O2445" s="11"/>
      <c r="P2445" s="11"/>
      <c r="Q2445" s="11"/>
      <c r="R2445" s="11"/>
      <c r="S2445" s="11"/>
      <c r="T2445" s="11"/>
      <c r="U2445" s="11"/>
      <c r="V2445" s="11"/>
      <c r="W2445" s="11"/>
    </row>
    <row r="2446" spans="2:23" x14ac:dyDescent="0.35">
      <c r="B2446"/>
      <c r="C2446"/>
      <c r="D2446"/>
      <c r="E2446"/>
      <c r="F2446"/>
      <c r="G2446"/>
      <c r="H2446"/>
      <c r="I2446"/>
      <c r="J2446"/>
      <c r="K2446"/>
      <c r="L2446" s="11"/>
      <c r="M2446"/>
      <c r="N2446" s="3"/>
      <c r="O2446" s="11"/>
      <c r="P2446" s="11"/>
      <c r="Q2446" s="11"/>
      <c r="R2446" s="11"/>
      <c r="S2446" s="11"/>
      <c r="T2446" s="11"/>
      <c r="U2446" s="11"/>
      <c r="V2446" s="11"/>
      <c r="W2446" s="11"/>
    </row>
    <row r="2447" spans="2:23" x14ac:dyDescent="0.35">
      <c r="B2447"/>
      <c r="C2447"/>
      <c r="D2447"/>
      <c r="E2447"/>
      <c r="F2447"/>
      <c r="G2447"/>
      <c r="H2447"/>
      <c r="I2447"/>
      <c r="J2447"/>
      <c r="K2447"/>
      <c r="L2447" s="11"/>
      <c r="M2447"/>
      <c r="N2447" s="3"/>
      <c r="O2447" s="11"/>
      <c r="P2447" s="11"/>
      <c r="Q2447" s="11"/>
      <c r="R2447" s="11"/>
      <c r="S2447" s="11"/>
      <c r="T2447" s="11"/>
      <c r="U2447" s="11"/>
      <c r="V2447" s="11"/>
      <c r="W2447" s="11"/>
    </row>
    <row r="2448" spans="2:23" x14ac:dyDescent="0.35">
      <c r="B2448"/>
      <c r="C2448"/>
      <c r="D2448"/>
      <c r="E2448"/>
      <c r="F2448"/>
      <c r="G2448"/>
      <c r="H2448"/>
      <c r="I2448"/>
      <c r="J2448"/>
      <c r="K2448"/>
      <c r="L2448" s="11"/>
      <c r="M2448"/>
      <c r="N2448" s="3"/>
      <c r="O2448" s="11"/>
      <c r="P2448" s="11"/>
      <c r="Q2448" s="11"/>
      <c r="R2448" s="11"/>
      <c r="S2448" s="11"/>
      <c r="T2448" s="11"/>
      <c r="U2448" s="11"/>
      <c r="V2448" s="11"/>
      <c r="W2448" s="11"/>
    </row>
    <row r="2449" spans="2:23" x14ac:dyDescent="0.35">
      <c r="B2449"/>
      <c r="C2449"/>
      <c r="D2449"/>
      <c r="E2449"/>
      <c r="F2449"/>
      <c r="G2449"/>
      <c r="H2449"/>
      <c r="I2449"/>
      <c r="J2449"/>
      <c r="K2449"/>
      <c r="L2449" s="11"/>
      <c r="M2449"/>
      <c r="N2449" s="3"/>
      <c r="O2449" s="11"/>
      <c r="P2449" s="11"/>
      <c r="Q2449" s="11"/>
      <c r="R2449" s="11"/>
      <c r="S2449" s="11"/>
      <c r="T2449" s="11"/>
      <c r="U2449" s="11"/>
      <c r="V2449" s="11"/>
      <c r="W2449" s="11"/>
    </row>
    <row r="2450" spans="2:23" x14ac:dyDescent="0.35">
      <c r="B2450"/>
      <c r="C2450"/>
      <c r="D2450"/>
      <c r="E2450"/>
      <c r="F2450"/>
      <c r="G2450"/>
      <c r="H2450"/>
      <c r="I2450"/>
      <c r="J2450"/>
      <c r="K2450"/>
      <c r="L2450" s="11"/>
      <c r="M2450"/>
      <c r="N2450" s="3"/>
      <c r="O2450" s="11"/>
      <c r="P2450" s="11"/>
      <c r="Q2450" s="11"/>
      <c r="R2450" s="11"/>
      <c r="S2450" s="11"/>
      <c r="T2450" s="11"/>
      <c r="U2450" s="11"/>
      <c r="V2450" s="11"/>
      <c r="W2450" s="11"/>
    </row>
    <row r="2451" spans="2:23" x14ac:dyDescent="0.35">
      <c r="B2451"/>
      <c r="C2451"/>
      <c r="D2451"/>
      <c r="E2451"/>
      <c r="F2451"/>
      <c r="G2451"/>
      <c r="H2451"/>
      <c r="I2451"/>
      <c r="J2451"/>
      <c r="K2451"/>
      <c r="L2451" s="11"/>
      <c r="M2451"/>
      <c r="N2451" s="3"/>
      <c r="O2451" s="11"/>
      <c r="P2451" s="11"/>
      <c r="Q2451" s="11"/>
      <c r="R2451" s="11"/>
      <c r="S2451" s="11"/>
      <c r="T2451" s="11"/>
      <c r="U2451" s="11"/>
      <c r="V2451" s="11"/>
      <c r="W2451" s="11"/>
    </row>
    <row r="2452" spans="2:23" x14ac:dyDescent="0.35">
      <c r="B2452"/>
      <c r="C2452"/>
      <c r="D2452"/>
      <c r="E2452"/>
      <c r="F2452"/>
      <c r="G2452"/>
      <c r="H2452"/>
      <c r="I2452"/>
      <c r="J2452"/>
      <c r="K2452"/>
      <c r="L2452" s="11"/>
      <c r="M2452"/>
      <c r="N2452" s="3"/>
      <c r="O2452" s="11"/>
      <c r="P2452" s="11"/>
      <c r="Q2452" s="11"/>
      <c r="R2452" s="11"/>
      <c r="S2452" s="11"/>
      <c r="T2452" s="11"/>
      <c r="U2452" s="11"/>
      <c r="V2452" s="11"/>
      <c r="W2452" s="11"/>
    </row>
    <row r="2453" spans="2:23" x14ac:dyDescent="0.35">
      <c r="B2453"/>
      <c r="C2453"/>
      <c r="D2453"/>
      <c r="E2453"/>
      <c r="F2453"/>
      <c r="G2453"/>
      <c r="H2453"/>
      <c r="I2453"/>
      <c r="J2453"/>
      <c r="K2453"/>
      <c r="L2453" s="11"/>
      <c r="M2453"/>
      <c r="N2453" s="3"/>
      <c r="O2453" s="11"/>
      <c r="P2453" s="11"/>
      <c r="Q2453" s="11"/>
      <c r="R2453" s="11"/>
      <c r="S2453" s="11"/>
      <c r="T2453" s="11"/>
      <c r="U2453" s="11"/>
      <c r="V2453" s="11"/>
      <c r="W2453" s="11"/>
    </row>
    <row r="2454" spans="2:23" x14ac:dyDescent="0.35">
      <c r="B2454"/>
      <c r="C2454"/>
      <c r="D2454"/>
      <c r="E2454"/>
      <c r="F2454"/>
      <c r="G2454"/>
      <c r="H2454"/>
      <c r="I2454"/>
      <c r="J2454"/>
      <c r="K2454"/>
      <c r="L2454" s="11"/>
      <c r="M2454"/>
      <c r="N2454" s="3"/>
      <c r="O2454" s="11"/>
      <c r="P2454" s="11"/>
      <c r="Q2454" s="11"/>
      <c r="R2454" s="11"/>
      <c r="S2454" s="11"/>
      <c r="T2454" s="11"/>
      <c r="U2454" s="11"/>
      <c r="V2454" s="11"/>
      <c r="W2454" s="11"/>
    </row>
    <row r="2455" spans="2:23" x14ac:dyDescent="0.35">
      <c r="B2455"/>
      <c r="C2455"/>
      <c r="D2455"/>
      <c r="E2455"/>
      <c r="F2455"/>
      <c r="G2455"/>
      <c r="H2455"/>
      <c r="I2455"/>
      <c r="J2455"/>
      <c r="K2455"/>
      <c r="L2455" s="11"/>
      <c r="M2455"/>
      <c r="N2455" s="3"/>
      <c r="O2455" s="11"/>
      <c r="P2455" s="11"/>
      <c r="Q2455" s="11"/>
      <c r="R2455" s="11"/>
      <c r="S2455" s="11"/>
      <c r="T2455" s="11"/>
      <c r="U2455" s="11"/>
      <c r="V2455" s="11"/>
      <c r="W2455" s="11"/>
    </row>
    <row r="2456" spans="2:23" x14ac:dyDescent="0.35">
      <c r="B2456"/>
      <c r="C2456"/>
      <c r="D2456"/>
      <c r="E2456"/>
      <c r="F2456"/>
      <c r="G2456"/>
      <c r="H2456"/>
      <c r="I2456"/>
      <c r="J2456"/>
      <c r="K2456"/>
      <c r="L2456" s="11"/>
      <c r="M2456"/>
      <c r="N2456" s="3"/>
      <c r="O2456" s="11"/>
      <c r="P2456" s="11"/>
      <c r="Q2456" s="11"/>
      <c r="R2456" s="11"/>
      <c r="S2456" s="11"/>
      <c r="T2456" s="11"/>
      <c r="U2456" s="11"/>
      <c r="V2456" s="11"/>
      <c r="W2456" s="11"/>
    </row>
    <row r="2457" spans="2:23" x14ac:dyDescent="0.35">
      <c r="B2457"/>
      <c r="C2457"/>
      <c r="D2457"/>
      <c r="E2457"/>
      <c r="F2457"/>
      <c r="G2457"/>
      <c r="H2457"/>
      <c r="I2457"/>
      <c r="J2457"/>
      <c r="K2457"/>
      <c r="L2457" s="11"/>
      <c r="M2457"/>
      <c r="N2457" s="3"/>
      <c r="O2457" s="11"/>
      <c r="P2457" s="11"/>
      <c r="Q2457" s="11"/>
      <c r="R2457" s="11"/>
      <c r="S2457" s="11"/>
      <c r="T2457" s="11"/>
      <c r="U2457" s="11"/>
      <c r="V2457" s="11"/>
      <c r="W2457" s="11"/>
    </row>
    <row r="2458" spans="2:23" x14ac:dyDescent="0.35">
      <c r="B2458"/>
      <c r="C2458"/>
      <c r="D2458"/>
      <c r="E2458"/>
      <c r="F2458"/>
      <c r="G2458"/>
      <c r="H2458"/>
      <c r="I2458"/>
      <c r="J2458"/>
      <c r="K2458"/>
      <c r="L2458" s="11"/>
      <c r="M2458"/>
      <c r="N2458" s="3"/>
      <c r="O2458" s="11"/>
      <c r="P2458" s="11"/>
      <c r="Q2458" s="11"/>
      <c r="R2458" s="11"/>
      <c r="S2458" s="11"/>
      <c r="T2458" s="11"/>
      <c r="U2458" s="11"/>
      <c r="V2458" s="11"/>
      <c r="W2458" s="11"/>
    </row>
    <row r="2459" spans="2:23" x14ac:dyDescent="0.35">
      <c r="B2459"/>
      <c r="C2459"/>
      <c r="D2459"/>
      <c r="E2459"/>
      <c r="F2459"/>
      <c r="G2459"/>
      <c r="H2459"/>
      <c r="I2459"/>
      <c r="J2459"/>
      <c r="K2459"/>
      <c r="L2459" s="11"/>
      <c r="M2459"/>
      <c r="N2459" s="3"/>
      <c r="O2459" s="11"/>
      <c r="P2459" s="11"/>
      <c r="Q2459" s="11"/>
      <c r="R2459" s="11"/>
      <c r="S2459" s="11"/>
      <c r="T2459" s="11"/>
      <c r="U2459" s="11"/>
      <c r="V2459" s="11"/>
      <c r="W2459" s="11"/>
    </row>
    <row r="2460" spans="2:23" x14ac:dyDescent="0.35">
      <c r="B2460"/>
      <c r="C2460"/>
      <c r="D2460"/>
      <c r="E2460"/>
      <c r="F2460"/>
      <c r="G2460"/>
      <c r="H2460"/>
      <c r="I2460"/>
      <c r="J2460"/>
      <c r="K2460"/>
      <c r="L2460" s="11"/>
      <c r="M2460"/>
      <c r="N2460" s="3"/>
      <c r="O2460" s="11"/>
      <c r="P2460" s="11"/>
      <c r="Q2460" s="11"/>
      <c r="R2460" s="11"/>
      <c r="S2460" s="11"/>
      <c r="T2460" s="11"/>
      <c r="U2460" s="11"/>
      <c r="V2460" s="11"/>
      <c r="W2460" s="11"/>
    </row>
    <row r="2461" spans="2:23" x14ac:dyDescent="0.35">
      <c r="B2461"/>
      <c r="C2461"/>
      <c r="D2461"/>
      <c r="E2461"/>
      <c r="F2461"/>
      <c r="G2461"/>
      <c r="H2461"/>
      <c r="I2461"/>
      <c r="J2461"/>
      <c r="K2461"/>
      <c r="L2461" s="11"/>
      <c r="M2461"/>
      <c r="N2461" s="3"/>
      <c r="O2461" s="11"/>
      <c r="P2461" s="11"/>
      <c r="Q2461" s="11"/>
      <c r="R2461" s="11"/>
      <c r="S2461" s="11"/>
      <c r="T2461" s="11"/>
      <c r="U2461" s="11"/>
      <c r="V2461" s="11"/>
      <c r="W2461" s="11"/>
    </row>
    <row r="2462" spans="2:23" x14ac:dyDescent="0.35">
      <c r="B2462"/>
      <c r="C2462"/>
      <c r="D2462"/>
      <c r="E2462"/>
      <c r="F2462"/>
      <c r="G2462"/>
      <c r="H2462"/>
      <c r="I2462"/>
      <c r="J2462"/>
      <c r="K2462"/>
      <c r="L2462" s="11"/>
      <c r="M2462"/>
      <c r="N2462" s="3"/>
      <c r="O2462" s="11"/>
      <c r="P2462" s="11"/>
      <c r="Q2462" s="11"/>
      <c r="R2462" s="11"/>
      <c r="S2462" s="11"/>
      <c r="T2462" s="11"/>
      <c r="U2462" s="11"/>
      <c r="V2462" s="11"/>
      <c r="W2462" s="11"/>
    </row>
    <row r="2463" spans="2:23" x14ac:dyDescent="0.35">
      <c r="B2463"/>
      <c r="C2463"/>
      <c r="D2463"/>
      <c r="E2463"/>
      <c r="F2463"/>
      <c r="G2463"/>
      <c r="H2463"/>
      <c r="I2463"/>
      <c r="J2463"/>
      <c r="K2463"/>
      <c r="L2463" s="11"/>
      <c r="M2463"/>
      <c r="N2463" s="3"/>
      <c r="O2463" s="11"/>
      <c r="P2463" s="11"/>
      <c r="Q2463" s="11"/>
      <c r="R2463" s="11"/>
      <c r="S2463" s="11"/>
      <c r="T2463" s="11"/>
      <c r="U2463" s="11"/>
      <c r="V2463" s="11"/>
      <c r="W2463" s="11"/>
    </row>
    <row r="2464" spans="2:23" x14ac:dyDescent="0.35">
      <c r="B2464"/>
      <c r="C2464"/>
      <c r="D2464"/>
      <c r="E2464"/>
      <c r="F2464"/>
      <c r="G2464"/>
      <c r="H2464"/>
      <c r="I2464"/>
      <c r="J2464"/>
      <c r="K2464"/>
      <c r="L2464" s="11"/>
      <c r="M2464"/>
      <c r="N2464" s="3"/>
      <c r="O2464" s="11"/>
      <c r="P2464" s="11"/>
      <c r="Q2464" s="11"/>
      <c r="R2464" s="11"/>
      <c r="S2464" s="11"/>
      <c r="T2464" s="11"/>
      <c r="U2464" s="11"/>
      <c r="V2464" s="11"/>
      <c r="W2464" s="11"/>
    </row>
    <row r="2465" spans="2:23" x14ac:dyDescent="0.35">
      <c r="B2465"/>
      <c r="C2465"/>
      <c r="D2465"/>
      <c r="E2465"/>
      <c r="F2465"/>
      <c r="G2465"/>
      <c r="H2465"/>
      <c r="I2465"/>
      <c r="J2465"/>
      <c r="K2465"/>
      <c r="L2465" s="11"/>
      <c r="M2465"/>
      <c r="N2465" s="3"/>
      <c r="O2465" s="11"/>
      <c r="P2465" s="11"/>
      <c r="Q2465" s="11"/>
      <c r="R2465" s="11"/>
      <c r="S2465" s="11"/>
      <c r="T2465" s="11"/>
      <c r="U2465" s="11"/>
      <c r="V2465" s="11"/>
      <c r="W2465" s="11"/>
    </row>
    <row r="2466" spans="2:23" x14ac:dyDescent="0.35">
      <c r="B2466"/>
      <c r="C2466"/>
      <c r="D2466"/>
      <c r="E2466"/>
      <c r="F2466"/>
      <c r="G2466"/>
      <c r="H2466"/>
      <c r="I2466"/>
      <c r="J2466"/>
      <c r="K2466"/>
      <c r="L2466" s="11"/>
      <c r="M2466"/>
      <c r="N2466" s="3"/>
      <c r="O2466" s="11"/>
      <c r="P2466" s="11"/>
      <c r="Q2466" s="11"/>
      <c r="R2466" s="11"/>
      <c r="S2466" s="11"/>
      <c r="T2466" s="11"/>
      <c r="U2466" s="11"/>
      <c r="V2466" s="11"/>
      <c r="W2466" s="11"/>
    </row>
    <row r="2467" spans="2:23" x14ac:dyDescent="0.35">
      <c r="B2467"/>
      <c r="C2467"/>
      <c r="D2467"/>
      <c r="E2467"/>
      <c r="F2467"/>
      <c r="G2467"/>
      <c r="H2467"/>
      <c r="I2467"/>
      <c r="J2467"/>
      <c r="K2467"/>
      <c r="L2467" s="11"/>
      <c r="M2467"/>
      <c r="N2467" s="3"/>
      <c r="O2467" s="11"/>
      <c r="P2467" s="11"/>
      <c r="Q2467" s="11"/>
      <c r="R2467" s="11"/>
      <c r="S2467" s="11"/>
      <c r="T2467" s="11"/>
      <c r="U2467" s="11"/>
      <c r="V2467" s="11"/>
      <c r="W2467" s="11"/>
    </row>
    <row r="2468" spans="2:23" x14ac:dyDescent="0.35">
      <c r="B2468"/>
      <c r="C2468"/>
      <c r="D2468"/>
      <c r="E2468"/>
      <c r="F2468"/>
      <c r="G2468"/>
      <c r="H2468"/>
      <c r="I2468"/>
      <c r="J2468"/>
      <c r="K2468"/>
      <c r="L2468" s="11"/>
      <c r="M2468"/>
      <c r="N2468" s="3"/>
      <c r="O2468" s="11"/>
      <c r="P2468" s="11"/>
      <c r="Q2468" s="11"/>
      <c r="R2468" s="11"/>
      <c r="S2468" s="11"/>
      <c r="T2468" s="11"/>
      <c r="U2468" s="11"/>
      <c r="V2468" s="11"/>
      <c r="W2468" s="11"/>
    </row>
    <row r="2469" spans="2:23" x14ac:dyDescent="0.35">
      <c r="B2469"/>
      <c r="C2469"/>
      <c r="D2469"/>
      <c r="E2469"/>
      <c r="F2469"/>
      <c r="G2469"/>
      <c r="H2469"/>
      <c r="I2469"/>
      <c r="J2469"/>
      <c r="K2469"/>
      <c r="L2469" s="11"/>
      <c r="M2469"/>
      <c r="N2469" s="3"/>
      <c r="O2469" s="11"/>
      <c r="P2469" s="11"/>
      <c r="Q2469" s="11"/>
      <c r="R2469" s="11"/>
      <c r="S2469" s="11"/>
      <c r="T2469" s="11"/>
      <c r="U2469" s="11"/>
      <c r="V2469" s="11"/>
      <c r="W2469" s="11"/>
    </row>
    <row r="2470" spans="2:23" x14ac:dyDescent="0.35">
      <c r="B2470"/>
      <c r="C2470"/>
      <c r="D2470"/>
      <c r="E2470"/>
      <c r="F2470"/>
      <c r="G2470"/>
      <c r="H2470"/>
      <c r="I2470"/>
      <c r="J2470"/>
      <c r="K2470"/>
      <c r="L2470" s="11"/>
      <c r="M2470"/>
      <c r="N2470" s="3"/>
      <c r="O2470" s="11"/>
      <c r="P2470" s="11"/>
      <c r="Q2470" s="11"/>
      <c r="R2470" s="11"/>
      <c r="S2470" s="11"/>
      <c r="T2470" s="11"/>
      <c r="U2470" s="11"/>
      <c r="V2470" s="11"/>
      <c r="W2470" s="11"/>
    </row>
    <row r="2471" spans="2:23" x14ac:dyDescent="0.35">
      <c r="B2471"/>
      <c r="C2471"/>
      <c r="D2471"/>
      <c r="E2471"/>
      <c r="F2471"/>
      <c r="G2471"/>
      <c r="H2471"/>
      <c r="I2471"/>
      <c r="J2471"/>
      <c r="K2471"/>
      <c r="L2471" s="11"/>
      <c r="M2471"/>
      <c r="N2471" s="3"/>
      <c r="O2471" s="11"/>
      <c r="P2471" s="11"/>
      <c r="Q2471" s="11"/>
      <c r="R2471" s="11"/>
      <c r="S2471" s="11"/>
      <c r="T2471" s="11"/>
      <c r="U2471" s="11"/>
      <c r="V2471" s="11"/>
      <c r="W2471" s="11"/>
    </row>
    <row r="2472" spans="2:23" x14ac:dyDescent="0.35">
      <c r="B2472"/>
      <c r="C2472"/>
      <c r="D2472"/>
      <c r="E2472"/>
      <c r="F2472"/>
      <c r="G2472"/>
      <c r="H2472"/>
      <c r="I2472"/>
      <c r="J2472"/>
      <c r="K2472"/>
      <c r="L2472" s="11"/>
      <c r="M2472"/>
      <c r="N2472" s="3"/>
      <c r="O2472" s="11"/>
      <c r="P2472" s="11"/>
      <c r="Q2472" s="11"/>
      <c r="R2472" s="11"/>
      <c r="S2472" s="11"/>
      <c r="T2472" s="11"/>
      <c r="U2472" s="11"/>
      <c r="V2472" s="11"/>
      <c r="W2472" s="11"/>
    </row>
    <row r="2473" spans="2:23" x14ac:dyDescent="0.35">
      <c r="B2473"/>
      <c r="C2473"/>
      <c r="D2473"/>
      <c r="E2473"/>
      <c r="F2473"/>
      <c r="G2473"/>
      <c r="H2473"/>
      <c r="I2473"/>
      <c r="J2473"/>
      <c r="K2473"/>
      <c r="L2473" s="11"/>
      <c r="M2473"/>
      <c r="N2473" s="3"/>
      <c r="O2473" s="11"/>
      <c r="P2473" s="11"/>
      <c r="Q2473" s="11"/>
      <c r="R2473" s="11"/>
      <c r="S2473" s="11"/>
      <c r="T2473" s="11"/>
      <c r="U2473" s="11"/>
      <c r="V2473" s="11"/>
      <c r="W2473" s="11"/>
    </row>
    <row r="2474" spans="2:23" x14ac:dyDescent="0.35">
      <c r="B2474"/>
      <c r="C2474"/>
      <c r="D2474"/>
      <c r="E2474"/>
      <c r="F2474"/>
      <c r="G2474"/>
      <c r="H2474"/>
      <c r="I2474"/>
      <c r="J2474"/>
      <c r="K2474"/>
      <c r="L2474" s="11"/>
      <c r="M2474"/>
      <c r="N2474" s="3"/>
      <c r="O2474" s="11"/>
      <c r="P2474" s="11"/>
      <c r="Q2474" s="11"/>
      <c r="R2474" s="11"/>
      <c r="S2474" s="11"/>
      <c r="T2474" s="11"/>
      <c r="U2474" s="11"/>
      <c r="V2474" s="11"/>
      <c r="W2474" s="11"/>
    </row>
    <row r="2475" spans="2:23" x14ac:dyDescent="0.35">
      <c r="B2475"/>
      <c r="C2475"/>
      <c r="D2475"/>
      <c r="E2475"/>
      <c r="F2475"/>
      <c r="G2475"/>
      <c r="H2475"/>
      <c r="I2475"/>
      <c r="J2475"/>
      <c r="K2475"/>
      <c r="L2475" s="11"/>
      <c r="M2475"/>
      <c r="N2475" s="3"/>
      <c r="O2475" s="11"/>
      <c r="P2475" s="11"/>
      <c r="Q2475" s="11"/>
      <c r="R2475" s="11"/>
      <c r="S2475" s="11"/>
      <c r="T2475" s="11"/>
      <c r="U2475" s="11"/>
      <c r="V2475" s="11"/>
      <c r="W2475" s="11"/>
    </row>
    <row r="2476" spans="2:23" x14ac:dyDescent="0.35">
      <c r="B2476"/>
      <c r="C2476"/>
      <c r="D2476"/>
      <c r="E2476"/>
      <c r="F2476"/>
      <c r="G2476"/>
      <c r="H2476"/>
      <c r="I2476"/>
      <c r="J2476"/>
      <c r="K2476"/>
      <c r="L2476" s="11"/>
      <c r="M2476"/>
      <c r="N2476" s="3"/>
      <c r="O2476" s="11"/>
      <c r="P2476" s="11"/>
      <c r="Q2476" s="11"/>
      <c r="R2476" s="11"/>
      <c r="S2476" s="11"/>
      <c r="T2476" s="11"/>
      <c r="U2476" s="11"/>
      <c r="V2476" s="11"/>
      <c r="W2476" s="11"/>
    </row>
    <row r="2477" spans="2:23" x14ac:dyDescent="0.35">
      <c r="B2477"/>
      <c r="C2477"/>
      <c r="D2477"/>
      <c r="E2477"/>
      <c r="F2477"/>
      <c r="G2477"/>
      <c r="H2477"/>
      <c r="I2477"/>
      <c r="J2477"/>
      <c r="K2477"/>
      <c r="L2477" s="11"/>
      <c r="M2477"/>
      <c r="N2477" s="3"/>
      <c r="O2477" s="11"/>
      <c r="P2477" s="11"/>
      <c r="Q2477" s="11"/>
      <c r="R2477" s="11"/>
      <c r="S2477" s="11"/>
      <c r="T2477" s="11"/>
      <c r="U2477" s="11"/>
      <c r="V2477" s="11"/>
      <c r="W2477" s="11"/>
    </row>
    <row r="2478" spans="2:23" x14ac:dyDescent="0.35">
      <c r="B2478"/>
      <c r="C2478"/>
      <c r="D2478"/>
      <c r="E2478"/>
      <c r="F2478"/>
      <c r="G2478"/>
      <c r="H2478"/>
      <c r="I2478"/>
      <c r="J2478"/>
      <c r="K2478"/>
      <c r="L2478" s="11"/>
      <c r="M2478"/>
      <c r="N2478" s="3"/>
      <c r="O2478" s="11"/>
      <c r="P2478" s="11"/>
      <c r="Q2478" s="11"/>
      <c r="R2478" s="11"/>
      <c r="S2478" s="11"/>
      <c r="T2478" s="11"/>
      <c r="U2478" s="11"/>
      <c r="V2478" s="11"/>
      <c r="W2478" s="11"/>
    </row>
    <row r="2479" spans="2:23" x14ac:dyDescent="0.35">
      <c r="B2479"/>
      <c r="C2479"/>
      <c r="D2479"/>
      <c r="E2479"/>
      <c r="F2479"/>
      <c r="G2479"/>
      <c r="H2479"/>
      <c r="I2479"/>
      <c r="J2479"/>
      <c r="K2479"/>
      <c r="L2479" s="11"/>
      <c r="M2479"/>
      <c r="N2479" s="3"/>
      <c r="O2479" s="11"/>
      <c r="P2479" s="11"/>
      <c r="Q2479" s="11"/>
      <c r="R2479" s="11"/>
      <c r="S2479" s="11"/>
      <c r="T2479" s="11"/>
      <c r="U2479" s="11"/>
      <c r="V2479" s="11"/>
      <c r="W2479" s="11"/>
    </row>
    <row r="2480" spans="2:23" x14ac:dyDescent="0.35">
      <c r="B2480"/>
      <c r="C2480"/>
      <c r="D2480"/>
      <c r="E2480"/>
      <c r="F2480"/>
      <c r="G2480"/>
      <c r="H2480"/>
      <c r="I2480"/>
      <c r="J2480"/>
      <c r="K2480"/>
      <c r="L2480" s="11"/>
      <c r="M2480"/>
      <c r="N2480" s="3"/>
      <c r="O2480" s="11"/>
      <c r="P2480" s="11"/>
      <c r="Q2480" s="11"/>
      <c r="R2480" s="11"/>
      <c r="S2480" s="11"/>
      <c r="T2480" s="11"/>
      <c r="U2480" s="11"/>
      <c r="V2480" s="11"/>
      <c r="W2480" s="11"/>
    </row>
    <row r="2481" spans="2:23" x14ac:dyDescent="0.35">
      <c r="B2481"/>
      <c r="C2481"/>
      <c r="D2481"/>
      <c r="E2481"/>
      <c r="F2481"/>
      <c r="G2481"/>
      <c r="H2481"/>
      <c r="I2481"/>
      <c r="J2481"/>
      <c r="K2481"/>
      <c r="L2481" s="11"/>
      <c r="M2481"/>
      <c r="N2481" s="3"/>
      <c r="O2481" s="11"/>
      <c r="P2481" s="11"/>
      <c r="Q2481" s="11"/>
      <c r="R2481" s="11"/>
      <c r="S2481" s="11"/>
      <c r="T2481" s="11"/>
      <c r="U2481" s="11"/>
      <c r="V2481" s="11"/>
      <c r="W2481" s="11"/>
    </row>
    <row r="2482" spans="2:23" x14ac:dyDescent="0.35">
      <c r="B2482"/>
      <c r="C2482"/>
      <c r="D2482"/>
      <c r="E2482"/>
      <c r="F2482"/>
      <c r="G2482"/>
      <c r="H2482"/>
      <c r="I2482"/>
      <c r="J2482"/>
      <c r="K2482"/>
      <c r="L2482" s="11"/>
      <c r="M2482"/>
      <c r="N2482" s="3"/>
      <c r="O2482" s="11"/>
      <c r="P2482" s="11"/>
      <c r="Q2482" s="11"/>
      <c r="R2482" s="11"/>
      <c r="S2482" s="11"/>
      <c r="T2482" s="11"/>
      <c r="U2482" s="11"/>
      <c r="V2482" s="11"/>
      <c r="W2482" s="11"/>
    </row>
    <row r="2483" spans="2:23" x14ac:dyDescent="0.35">
      <c r="B2483"/>
      <c r="C2483"/>
      <c r="D2483"/>
      <c r="E2483"/>
      <c r="F2483"/>
      <c r="G2483"/>
      <c r="H2483"/>
      <c r="I2483"/>
      <c r="J2483"/>
      <c r="K2483"/>
      <c r="L2483" s="11"/>
      <c r="M2483"/>
      <c r="N2483" s="3"/>
      <c r="O2483" s="11"/>
      <c r="P2483" s="11"/>
      <c r="Q2483" s="11"/>
      <c r="R2483" s="11"/>
      <c r="S2483" s="11"/>
      <c r="T2483" s="11"/>
      <c r="U2483" s="11"/>
      <c r="V2483" s="11"/>
      <c r="W2483" s="11"/>
    </row>
    <row r="2484" spans="2:23" x14ac:dyDescent="0.35">
      <c r="B2484"/>
      <c r="C2484"/>
      <c r="D2484"/>
      <c r="E2484"/>
      <c r="F2484"/>
      <c r="G2484"/>
      <c r="H2484"/>
      <c r="I2484"/>
      <c r="J2484"/>
      <c r="K2484"/>
      <c r="L2484" s="11"/>
      <c r="M2484"/>
      <c r="N2484" s="3"/>
      <c r="O2484" s="11"/>
      <c r="P2484" s="11"/>
      <c r="Q2484" s="11"/>
      <c r="R2484" s="11"/>
      <c r="S2484" s="11"/>
      <c r="T2484" s="11"/>
      <c r="U2484" s="11"/>
      <c r="V2484" s="11"/>
      <c r="W2484" s="11"/>
    </row>
    <row r="2485" spans="2:23" x14ac:dyDescent="0.35">
      <c r="B2485"/>
      <c r="C2485"/>
      <c r="D2485"/>
      <c r="E2485"/>
      <c r="F2485"/>
      <c r="G2485"/>
      <c r="H2485"/>
      <c r="I2485"/>
      <c r="J2485"/>
      <c r="K2485"/>
      <c r="L2485" s="11"/>
      <c r="M2485"/>
      <c r="N2485" s="3"/>
      <c r="O2485" s="11"/>
      <c r="P2485" s="11"/>
      <c r="Q2485" s="11"/>
      <c r="R2485" s="11"/>
      <c r="S2485" s="11"/>
      <c r="T2485" s="11"/>
      <c r="U2485" s="11"/>
      <c r="V2485" s="11"/>
      <c r="W2485" s="11"/>
    </row>
    <row r="2486" spans="2:23" x14ac:dyDescent="0.35">
      <c r="B2486"/>
      <c r="C2486"/>
      <c r="D2486"/>
      <c r="E2486"/>
      <c r="F2486"/>
      <c r="G2486"/>
      <c r="H2486"/>
      <c r="I2486"/>
      <c r="J2486"/>
      <c r="K2486"/>
      <c r="L2486" s="11"/>
      <c r="M2486"/>
      <c r="N2486" s="3"/>
      <c r="O2486" s="11"/>
      <c r="P2486" s="11"/>
      <c r="Q2486" s="11"/>
      <c r="R2486" s="11"/>
      <c r="S2486" s="11"/>
      <c r="T2486" s="11"/>
      <c r="U2486" s="11"/>
      <c r="V2486" s="11"/>
      <c r="W2486" s="11"/>
    </row>
    <row r="2487" spans="2:23" x14ac:dyDescent="0.35">
      <c r="B2487"/>
      <c r="C2487"/>
      <c r="D2487"/>
      <c r="E2487"/>
      <c r="F2487"/>
      <c r="G2487"/>
      <c r="H2487"/>
      <c r="I2487"/>
      <c r="J2487"/>
      <c r="K2487"/>
      <c r="L2487" s="11"/>
      <c r="M2487"/>
      <c r="N2487" s="3"/>
      <c r="O2487" s="11"/>
      <c r="P2487" s="11"/>
      <c r="Q2487" s="11"/>
      <c r="R2487" s="11"/>
      <c r="S2487" s="11"/>
      <c r="T2487" s="11"/>
      <c r="U2487" s="11"/>
      <c r="V2487" s="11"/>
      <c r="W2487" s="11"/>
    </row>
    <row r="2488" spans="2:23" x14ac:dyDescent="0.35">
      <c r="B2488"/>
      <c r="C2488"/>
      <c r="D2488"/>
      <c r="E2488"/>
      <c r="F2488"/>
      <c r="G2488"/>
      <c r="H2488"/>
      <c r="I2488"/>
      <c r="J2488"/>
      <c r="K2488"/>
      <c r="L2488" s="11"/>
      <c r="M2488"/>
      <c r="N2488" s="3"/>
      <c r="O2488" s="11"/>
      <c r="P2488" s="11"/>
      <c r="Q2488" s="11"/>
      <c r="R2488" s="11"/>
      <c r="S2488" s="11"/>
      <c r="T2488" s="11"/>
      <c r="U2488" s="11"/>
      <c r="V2488" s="11"/>
      <c r="W2488" s="11"/>
    </row>
    <row r="2489" spans="2:23" x14ac:dyDescent="0.35">
      <c r="B2489"/>
      <c r="C2489"/>
      <c r="D2489"/>
      <c r="E2489"/>
      <c r="F2489"/>
      <c r="G2489"/>
      <c r="H2489"/>
      <c r="I2489"/>
      <c r="J2489"/>
      <c r="K2489"/>
      <c r="L2489" s="11"/>
      <c r="M2489"/>
      <c r="N2489" s="3"/>
      <c r="O2489" s="11"/>
      <c r="P2489" s="11"/>
      <c r="Q2489" s="11"/>
      <c r="R2489" s="11"/>
      <c r="S2489" s="11"/>
      <c r="T2489" s="11"/>
      <c r="U2489" s="11"/>
      <c r="V2489" s="11"/>
      <c r="W2489" s="11"/>
    </row>
    <row r="2490" spans="2:23" x14ac:dyDescent="0.35">
      <c r="B2490"/>
      <c r="C2490"/>
      <c r="D2490"/>
      <c r="E2490"/>
      <c r="F2490"/>
      <c r="G2490"/>
      <c r="H2490"/>
      <c r="I2490"/>
      <c r="J2490"/>
      <c r="K2490"/>
      <c r="L2490" s="11"/>
      <c r="M2490"/>
      <c r="N2490" s="3"/>
      <c r="O2490" s="11"/>
      <c r="P2490" s="11"/>
      <c r="Q2490" s="11"/>
      <c r="R2490" s="11"/>
      <c r="S2490" s="11"/>
      <c r="T2490" s="11"/>
      <c r="U2490" s="11"/>
      <c r="V2490" s="11"/>
      <c r="W2490" s="11"/>
    </row>
    <row r="2491" spans="2:23" x14ac:dyDescent="0.35">
      <c r="B2491"/>
      <c r="C2491"/>
      <c r="D2491"/>
      <c r="E2491"/>
      <c r="F2491"/>
      <c r="G2491"/>
      <c r="H2491"/>
      <c r="I2491"/>
      <c r="J2491"/>
      <c r="K2491"/>
      <c r="L2491" s="11"/>
      <c r="M2491"/>
      <c r="N2491" s="3"/>
      <c r="O2491" s="11"/>
      <c r="P2491" s="11"/>
      <c r="Q2491" s="11"/>
      <c r="R2491" s="11"/>
      <c r="S2491" s="11"/>
      <c r="T2491" s="11"/>
      <c r="U2491" s="11"/>
      <c r="V2491" s="11"/>
      <c r="W2491" s="11"/>
    </row>
    <row r="2492" spans="2:23" x14ac:dyDescent="0.35">
      <c r="B2492"/>
      <c r="C2492"/>
      <c r="D2492"/>
      <c r="E2492"/>
      <c r="F2492"/>
      <c r="G2492"/>
      <c r="H2492"/>
      <c r="I2492"/>
      <c r="J2492"/>
      <c r="K2492"/>
      <c r="L2492" s="11"/>
      <c r="M2492"/>
      <c r="N2492" s="3"/>
      <c r="O2492" s="11"/>
      <c r="P2492" s="11"/>
      <c r="Q2492" s="11"/>
      <c r="R2492" s="11"/>
      <c r="S2492" s="11"/>
      <c r="T2492" s="11"/>
      <c r="U2492" s="11"/>
      <c r="V2492" s="11"/>
      <c r="W2492" s="11"/>
    </row>
    <row r="2493" spans="2:23" x14ac:dyDescent="0.35">
      <c r="B2493"/>
      <c r="C2493"/>
      <c r="D2493"/>
      <c r="E2493"/>
      <c r="F2493"/>
      <c r="G2493"/>
      <c r="H2493"/>
      <c r="I2493"/>
      <c r="J2493"/>
      <c r="K2493"/>
      <c r="L2493" s="11"/>
      <c r="M2493"/>
      <c r="N2493" s="3"/>
      <c r="O2493" s="11"/>
      <c r="P2493" s="11"/>
      <c r="Q2493" s="11"/>
      <c r="R2493" s="11"/>
      <c r="S2493" s="11"/>
      <c r="T2493" s="11"/>
      <c r="U2493" s="11"/>
      <c r="V2493" s="11"/>
      <c r="W2493" s="11"/>
    </row>
    <row r="2494" spans="2:23" x14ac:dyDescent="0.35">
      <c r="B2494"/>
      <c r="C2494"/>
      <c r="D2494"/>
      <c r="E2494"/>
      <c r="F2494"/>
      <c r="G2494"/>
      <c r="H2494"/>
      <c r="I2494"/>
      <c r="J2494"/>
      <c r="K2494"/>
      <c r="L2494" s="11"/>
      <c r="M2494"/>
      <c r="N2494" s="3"/>
      <c r="O2494" s="11"/>
      <c r="P2494" s="11"/>
      <c r="Q2494" s="11"/>
      <c r="R2494" s="11"/>
      <c r="S2494" s="11"/>
      <c r="T2494" s="11"/>
      <c r="U2494" s="11"/>
      <c r="V2494" s="11"/>
      <c r="W2494" s="11"/>
    </row>
    <row r="2495" spans="2:23" x14ac:dyDescent="0.35">
      <c r="B2495"/>
      <c r="C2495"/>
      <c r="D2495"/>
      <c r="E2495"/>
      <c r="F2495"/>
      <c r="G2495"/>
      <c r="H2495"/>
      <c r="I2495"/>
      <c r="J2495"/>
      <c r="K2495"/>
      <c r="L2495" s="11"/>
      <c r="M2495"/>
      <c r="N2495" s="3"/>
      <c r="O2495" s="11"/>
      <c r="P2495" s="11"/>
      <c r="Q2495" s="11"/>
      <c r="R2495" s="11"/>
      <c r="S2495" s="11"/>
      <c r="T2495" s="11"/>
      <c r="U2495" s="11"/>
      <c r="V2495" s="11"/>
      <c r="W2495" s="11"/>
    </row>
    <row r="2496" spans="2:23" x14ac:dyDescent="0.35">
      <c r="B2496"/>
      <c r="C2496"/>
      <c r="D2496"/>
      <c r="E2496"/>
      <c r="F2496"/>
      <c r="G2496"/>
      <c r="H2496"/>
      <c r="I2496"/>
      <c r="J2496"/>
      <c r="K2496"/>
      <c r="L2496" s="11"/>
      <c r="M2496"/>
      <c r="N2496" s="3"/>
      <c r="O2496" s="11"/>
      <c r="P2496" s="11"/>
      <c r="Q2496" s="11"/>
      <c r="R2496" s="11"/>
      <c r="S2496" s="11"/>
      <c r="T2496" s="11"/>
      <c r="U2496" s="11"/>
      <c r="V2496" s="11"/>
      <c r="W2496" s="11"/>
    </row>
    <row r="2497" spans="2:23" x14ac:dyDescent="0.35">
      <c r="B2497"/>
      <c r="C2497"/>
      <c r="D2497"/>
      <c r="E2497"/>
      <c r="F2497"/>
      <c r="G2497"/>
      <c r="H2497"/>
      <c r="I2497"/>
      <c r="J2497"/>
      <c r="K2497"/>
      <c r="L2497" s="11"/>
      <c r="M2497"/>
      <c r="N2497" s="3"/>
      <c r="O2497" s="11"/>
      <c r="P2497" s="11"/>
      <c r="Q2497" s="11"/>
      <c r="R2497" s="11"/>
      <c r="S2497" s="11"/>
      <c r="T2497" s="11"/>
      <c r="U2497" s="11"/>
      <c r="V2497" s="11"/>
      <c r="W2497" s="11"/>
    </row>
    <row r="2498" spans="2:23" x14ac:dyDescent="0.35">
      <c r="B2498"/>
      <c r="C2498"/>
      <c r="D2498"/>
      <c r="E2498"/>
      <c r="F2498"/>
      <c r="G2498"/>
      <c r="H2498"/>
      <c r="I2498"/>
      <c r="J2498"/>
      <c r="K2498"/>
      <c r="L2498" s="11"/>
      <c r="M2498"/>
      <c r="N2498" s="3"/>
      <c r="O2498" s="11"/>
      <c r="P2498" s="11"/>
      <c r="Q2498" s="11"/>
      <c r="R2498" s="11"/>
      <c r="S2498" s="11"/>
      <c r="T2498" s="11"/>
      <c r="U2498" s="11"/>
      <c r="V2498" s="11"/>
      <c r="W2498" s="11"/>
    </row>
    <row r="2499" spans="2:23" x14ac:dyDescent="0.35">
      <c r="B2499"/>
      <c r="C2499"/>
      <c r="D2499"/>
      <c r="E2499"/>
      <c r="F2499"/>
      <c r="G2499"/>
      <c r="H2499"/>
      <c r="I2499"/>
      <c r="J2499"/>
      <c r="K2499"/>
      <c r="L2499" s="11"/>
      <c r="M2499"/>
      <c r="N2499" s="3"/>
      <c r="O2499" s="11"/>
      <c r="P2499" s="11"/>
      <c r="Q2499" s="11"/>
      <c r="R2499" s="11"/>
      <c r="S2499" s="11"/>
      <c r="T2499" s="11"/>
      <c r="U2499" s="11"/>
      <c r="V2499" s="11"/>
      <c r="W2499" s="11"/>
    </row>
    <row r="2500" spans="2:23" x14ac:dyDescent="0.35">
      <c r="B2500"/>
      <c r="C2500"/>
      <c r="D2500"/>
      <c r="E2500"/>
      <c r="F2500"/>
      <c r="G2500"/>
      <c r="H2500"/>
      <c r="I2500"/>
      <c r="J2500"/>
      <c r="K2500"/>
      <c r="L2500" s="11"/>
      <c r="M2500"/>
      <c r="N2500" s="3"/>
      <c r="O2500" s="11"/>
      <c r="P2500" s="11"/>
      <c r="Q2500" s="11"/>
      <c r="R2500" s="11"/>
      <c r="S2500" s="11"/>
      <c r="T2500" s="11"/>
      <c r="U2500" s="11"/>
      <c r="V2500" s="11"/>
      <c r="W2500" s="11"/>
    </row>
    <row r="2501" spans="2:23" x14ac:dyDescent="0.35">
      <c r="B2501"/>
      <c r="C2501"/>
      <c r="D2501"/>
      <c r="E2501"/>
      <c r="F2501"/>
      <c r="G2501"/>
      <c r="H2501"/>
      <c r="I2501"/>
      <c r="J2501"/>
      <c r="K2501"/>
      <c r="L2501" s="11"/>
      <c r="M2501"/>
      <c r="N2501" s="3"/>
      <c r="O2501" s="11"/>
      <c r="P2501" s="11"/>
      <c r="Q2501" s="11"/>
      <c r="R2501" s="11"/>
      <c r="S2501" s="11"/>
      <c r="T2501" s="11"/>
      <c r="U2501" s="11"/>
      <c r="V2501" s="11"/>
      <c r="W2501" s="11"/>
    </row>
    <row r="2502" spans="2:23" x14ac:dyDescent="0.35">
      <c r="B2502"/>
      <c r="C2502"/>
      <c r="D2502"/>
      <c r="E2502"/>
      <c r="F2502"/>
      <c r="G2502"/>
      <c r="H2502"/>
      <c r="I2502"/>
      <c r="J2502"/>
      <c r="K2502"/>
      <c r="L2502" s="11"/>
      <c r="M2502"/>
      <c r="N2502" s="3"/>
      <c r="O2502" s="11"/>
      <c r="P2502" s="11"/>
      <c r="Q2502" s="11"/>
      <c r="R2502" s="11"/>
      <c r="S2502" s="11"/>
      <c r="T2502" s="11"/>
      <c r="U2502" s="11"/>
      <c r="V2502" s="11"/>
      <c r="W2502" s="11"/>
    </row>
    <row r="2503" spans="2:23" x14ac:dyDescent="0.35">
      <c r="B2503"/>
      <c r="C2503"/>
      <c r="D2503"/>
      <c r="E2503"/>
      <c r="F2503"/>
      <c r="G2503"/>
      <c r="H2503"/>
      <c r="I2503"/>
      <c r="J2503"/>
      <c r="K2503"/>
      <c r="L2503" s="11"/>
      <c r="M2503"/>
      <c r="N2503" s="3"/>
      <c r="O2503" s="11"/>
      <c r="P2503" s="11"/>
      <c r="Q2503" s="11"/>
      <c r="R2503" s="11"/>
      <c r="S2503" s="11"/>
      <c r="T2503" s="11"/>
      <c r="U2503" s="11"/>
      <c r="V2503" s="11"/>
      <c r="W2503" s="11"/>
    </row>
    <row r="2504" spans="2:23" x14ac:dyDescent="0.35">
      <c r="B2504"/>
      <c r="C2504"/>
      <c r="D2504"/>
      <c r="E2504"/>
      <c r="F2504"/>
      <c r="G2504"/>
      <c r="H2504"/>
      <c r="I2504"/>
      <c r="J2504"/>
      <c r="K2504"/>
      <c r="L2504" s="11"/>
      <c r="M2504"/>
      <c r="N2504" s="3"/>
      <c r="O2504" s="11"/>
      <c r="P2504" s="11"/>
      <c r="Q2504" s="11"/>
      <c r="R2504" s="11"/>
      <c r="S2504" s="11"/>
      <c r="T2504" s="11"/>
      <c r="U2504" s="11"/>
      <c r="V2504" s="11"/>
      <c r="W2504" s="11"/>
    </row>
    <row r="2505" spans="2:23" x14ac:dyDescent="0.35">
      <c r="B2505"/>
      <c r="C2505"/>
      <c r="D2505"/>
      <c r="E2505"/>
      <c r="F2505"/>
      <c r="G2505"/>
      <c r="H2505"/>
      <c r="I2505"/>
      <c r="J2505"/>
      <c r="K2505"/>
      <c r="L2505" s="11"/>
      <c r="M2505"/>
      <c r="N2505" s="3"/>
      <c r="O2505" s="11"/>
      <c r="P2505" s="11"/>
      <c r="Q2505" s="11"/>
      <c r="R2505" s="11"/>
      <c r="S2505" s="11"/>
      <c r="T2505" s="11"/>
      <c r="U2505" s="11"/>
      <c r="V2505" s="11"/>
      <c r="W2505" s="11"/>
    </row>
    <row r="2506" spans="2:23" x14ac:dyDescent="0.35">
      <c r="B2506"/>
      <c r="C2506"/>
      <c r="D2506"/>
      <c r="E2506"/>
      <c r="F2506"/>
      <c r="G2506"/>
      <c r="H2506"/>
      <c r="I2506"/>
      <c r="J2506"/>
      <c r="K2506"/>
      <c r="L2506" s="11"/>
      <c r="M2506"/>
      <c r="N2506" s="3"/>
      <c r="O2506" s="11"/>
      <c r="P2506" s="11"/>
      <c r="Q2506" s="11"/>
      <c r="R2506" s="11"/>
      <c r="S2506" s="11"/>
      <c r="T2506" s="11"/>
      <c r="U2506" s="11"/>
      <c r="V2506" s="11"/>
      <c r="W2506" s="11"/>
    </row>
    <row r="2507" spans="2:23" x14ac:dyDescent="0.35">
      <c r="B2507"/>
      <c r="C2507"/>
      <c r="D2507"/>
      <c r="E2507"/>
      <c r="F2507"/>
      <c r="G2507"/>
      <c r="H2507"/>
      <c r="I2507"/>
      <c r="J2507"/>
      <c r="K2507"/>
      <c r="L2507" s="11"/>
      <c r="M2507"/>
      <c r="N2507" s="3"/>
      <c r="O2507" s="11"/>
      <c r="P2507" s="11"/>
      <c r="Q2507" s="11"/>
      <c r="R2507" s="11"/>
      <c r="S2507" s="11"/>
      <c r="T2507" s="11"/>
      <c r="U2507" s="11"/>
      <c r="V2507" s="11"/>
      <c r="W2507" s="11"/>
    </row>
    <row r="2508" spans="2:23" x14ac:dyDescent="0.35">
      <c r="B2508"/>
      <c r="C2508"/>
      <c r="D2508"/>
      <c r="E2508"/>
      <c r="F2508"/>
      <c r="G2508"/>
      <c r="H2508"/>
      <c r="I2508"/>
      <c r="J2508"/>
      <c r="K2508"/>
      <c r="L2508" s="11"/>
      <c r="M2508"/>
      <c r="N2508" s="3"/>
      <c r="O2508" s="11"/>
      <c r="P2508" s="11"/>
      <c r="Q2508" s="11"/>
      <c r="R2508" s="11"/>
      <c r="S2508" s="11"/>
      <c r="T2508" s="11"/>
      <c r="U2508" s="11"/>
      <c r="V2508" s="11"/>
      <c r="W2508" s="11"/>
    </row>
    <row r="2509" spans="2:23" x14ac:dyDescent="0.35">
      <c r="B2509"/>
      <c r="C2509"/>
      <c r="D2509"/>
      <c r="E2509"/>
      <c r="F2509"/>
      <c r="G2509"/>
      <c r="H2509"/>
      <c r="I2509"/>
      <c r="J2509"/>
      <c r="K2509"/>
      <c r="L2509" s="11"/>
      <c r="M2509"/>
      <c r="N2509" s="3"/>
      <c r="O2509" s="11"/>
      <c r="P2509" s="11"/>
      <c r="Q2509" s="11"/>
      <c r="R2509" s="11"/>
      <c r="S2509" s="11"/>
      <c r="T2509" s="11"/>
      <c r="U2509" s="11"/>
      <c r="V2509" s="11"/>
      <c r="W2509" s="11"/>
    </row>
    <row r="2510" spans="2:23" x14ac:dyDescent="0.35">
      <c r="B2510"/>
      <c r="C2510"/>
      <c r="D2510"/>
      <c r="E2510"/>
      <c r="F2510"/>
      <c r="G2510"/>
      <c r="H2510"/>
      <c r="I2510"/>
      <c r="J2510"/>
      <c r="K2510"/>
      <c r="L2510" s="11"/>
      <c r="M2510"/>
      <c r="N2510" s="3"/>
      <c r="O2510" s="11"/>
      <c r="P2510" s="11"/>
      <c r="Q2510" s="11"/>
      <c r="R2510" s="11"/>
      <c r="S2510" s="11"/>
      <c r="T2510" s="11"/>
      <c r="U2510" s="11"/>
      <c r="V2510" s="11"/>
      <c r="W2510" s="11"/>
    </row>
    <row r="2511" spans="2:23" x14ac:dyDescent="0.35">
      <c r="B2511"/>
      <c r="C2511"/>
      <c r="D2511"/>
      <c r="E2511"/>
      <c r="F2511"/>
      <c r="G2511"/>
      <c r="H2511"/>
      <c r="I2511"/>
      <c r="J2511"/>
      <c r="K2511"/>
      <c r="L2511" s="11"/>
      <c r="M2511"/>
      <c r="N2511" s="3"/>
      <c r="O2511" s="11"/>
      <c r="P2511" s="11"/>
      <c r="Q2511" s="11"/>
      <c r="R2511" s="11"/>
      <c r="S2511" s="11"/>
      <c r="T2511" s="11"/>
      <c r="U2511" s="11"/>
      <c r="V2511" s="11"/>
      <c r="W2511" s="11"/>
    </row>
    <row r="2512" spans="2:23" x14ac:dyDescent="0.35">
      <c r="B2512"/>
      <c r="C2512"/>
      <c r="D2512"/>
      <c r="E2512"/>
      <c r="F2512"/>
      <c r="G2512"/>
      <c r="H2512"/>
      <c r="I2512"/>
      <c r="J2512"/>
      <c r="K2512"/>
      <c r="L2512" s="11"/>
      <c r="M2512"/>
      <c r="N2512" s="3"/>
      <c r="O2512" s="11"/>
      <c r="P2512" s="11"/>
      <c r="Q2512" s="11"/>
      <c r="R2512" s="11"/>
      <c r="S2512" s="11"/>
      <c r="T2512" s="11"/>
      <c r="U2512" s="11"/>
      <c r="V2512" s="11"/>
      <c r="W2512" s="11"/>
    </row>
    <row r="2513" spans="2:23" x14ac:dyDescent="0.35">
      <c r="B2513"/>
      <c r="C2513"/>
      <c r="D2513"/>
      <c r="E2513"/>
      <c r="F2513"/>
      <c r="G2513"/>
      <c r="H2513"/>
      <c r="I2513"/>
      <c r="J2513"/>
      <c r="K2513"/>
      <c r="L2513" s="11"/>
      <c r="M2513"/>
      <c r="N2513" s="3"/>
      <c r="O2513" s="11"/>
      <c r="P2513" s="11"/>
      <c r="Q2513" s="11"/>
      <c r="R2513" s="11"/>
      <c r="S2513" s="11"/>
      <c r="T2513" s="11"/>
      <c r="U2513" s="11"/>
      <c r="V2513" s="11"/>
      <c r="W2513" s="11"/>
    </row>
    <row r="2514" spans="2:23" x14ac:dyDescent="0.35">
      <c r="B2514"/>
      <c r="C2514"/>
      <c r="D2514"/>
      <c r="E2514"/>
      <c r="F2514"/>
      <c r="G2514"/>
      <c r="H2514"/>
      <c r="I2514"/>
      <c r="J2514"/>
      <c r="K2514"/>
      <c r="L2514" s="11"/>
      <c r="M2514"/>
      <c r="N2514" s="3"/>
      <c r="O2514" s="11"/>
      <c r="P2514" s="11"/>
      <c r="Q2514" s="11"/>
      <c r="R2514" s="11"/>
      <c r="S2514" s="11"/>
      <c r="T2514" s="11"/>
      <c r="U2514" s="11"/>
      <c r="V2514" s="11"/>
      <c r="W2514" s="11"/>
    </row>
    <row r="2515" spans="2:23" x14ac:dyDescent="0.35">
      <c r="B2515"/>
      <c r="C2515"/>
      <c r="D2515"/>
      <c r="E2515"/>
      <c r="F2515"/>
      <c r="G2515"/>
      <c r="H2515"/>
      <c r="I2515"/>
      <c r="J2515"/>
      <c r="K2515"/>
      <c r="L2515" s="11"/>
      <c r="M2515"/>
      <c r="N2515" s="3"/>
      <c r="O2515" s="11"/>
      <c r="P2515" s="11"/>
      <c r="Q2515" s="11"/>
      <c r="R2515" s="11"/>
      <c r="S2515" s="11"/>
      <c r="T2515" s="11"/>
      <c r="U2515" s="11"/>
      <c r="V2515" s="11"/>
      <c r="W2515" s="11"/>
    </row>
    <row r="2516" spans="2:23" x14ac:dyDescent="0.35">
      <c r="B2516"/>
      <c r="C2516"/>
      <c r="D2516"/>
      <c r="E2516"/>
      <c r="F2516"/>
      <c r="G2516"/>
      <c r="H2516"/>
      <c r="I2516"/>
      <c r="J2516"/>
      <c r="K2516"/>
      <c r="L2516" s="11"/>
      <c r="M2516"/>
      <c r="N2516" s="3"/>
      <c r="O2516" s="11"/>
      <c r="P2516" s="11"/>
      <c r="Q2516" s="11"/>
      <c r="R2516" s="11"/>
      <c r="S2516" s="11"/>
      <c r="T2516" s="11"/>
      <c r="U2516" s="11"/>
      <c r="V2516" s="11"/>
      <c r="W2516" s="11"/>
    </row>
    <row r="2517" spans="2:23" x14ac:dyDescent="0.35">
      <c r="B2517"/>
      <c r="C2517"/>
      <c r="D2517"/>
      <c r="E2517"/>
      <c r="F2517"/>
      <c r="G2517"/>
      <c r="H2517"/>
      <c r="I2517"/>
      <c r="J2517"/>
      <c r="K2517"/>
      <c r="L2517" s="11"/>
      <c r="M2517"/>
      <c r="N2517" s="3"/>
      <c r="O2517" s="11"/>
      <c r="P2517" s="11"/>
      <c r="Q2517" s="11"/>
      <c r="R2517" s="11"/>
      <c r="S2517" s="11"/>
      <c r="T2517" s="11"/>
      <c r="U2517" s="11"/>
      <c r="V2517" s="11"/>
      <c r="W2517" s="11"/>
    </row>
    <row r="2518" spans="2:23" x14ac:dyDescent="0.35">
      <c r="B2518"/>
      <c r="C2518"/>
      <c r="D2518"/>
      <c r="E2518"/>
      <c r="F2518"/>
      <c r="G2518"/>
      <c r="H2518"/>
      <c r="I2518"/>
      <c r="J2518"/>
      <c r="K2518"/>
      <c r="L2518" s="11"/>
      <c r="M2518"/>
      <c r="N2518" s="3"/>
      <c r="O2518" s="11"/>
      <c r="P2518" s="11"/>
      <c r="Q2518" s="11"/>
      <c r="R2518" s="11"/>
      <c r="S2518" s="11"/>
      <c r="T2518" s="11"/>
      <c r="U2518" s="11"/>
      <c r="V2518" s="11"/>
      <c r="W2518" s="11"/>
    </row>
    <row r="2519" spans="2:23" x14ac:dyDescent="0.35">
      <c r="B2519"/>
      <c r="C2519"/>
      <c r="D2519"/>
      <c r="E2519"/>
      <c r="F2519"/>
      <c r="G2519"/>
      <c r="H2519"/>
      <c r="I2519"/>
      <c r="J2519"/>
      <c r="K2519"/>
      <c r="L2519" s="11"/>
      <c r="M2519"/>
      <c r="N2519" s="3"/>
      <c r="O2519" s="11"/>
      <c r="P2519" s="11"/>
      <c r="Q2519" s="11"/>
      <c r="R2519" s="11"/>
      <c r="S2519" s="11"/>
      <c r="T2519" s="11"/>
      <c r="U2519" s="11"/>
      <c r="V2519" s="11"/>
      <c r="W2519" s="11"/>
    </row>
    <row r="2520" spans="2:23" x14ac:dyDescent="0.35">
      <c r="B2520"/>
      <c r="C2520"/>
      <c r="D2520"/>
      <c r="E2520"/>
      <c r="F2520"/>
      <c r="G2520"/>
      <c r="H2520"/>
      <c r="I2520"/>
      <c r="J2520"/>
      <c r="K2520"/>
      <c r="L2520" s="11"/>
      <c r="M2520"/>
      <c r="N2520" s="3"/>
      <c r="O2520" s="11"/>
      <c r="P2520" s="11"/>
      <c r="Q2520" s="11"/>
      <c r="R2520" s="11"/>
      <c r="S2520" s="11"/>
      <c r="T2520" s="11"/>
      <c r="U2520" s="11"/>
      <c r="V2520" s="11"/>
      <c r="W2520" s="11"/>
    </row>
    <row r="2521" spans="2:23" x14ac:dyDescent="0.35">
      <c r="B2521"/>
      <c r="C2521"/>
      <c r="D2521"/>
      <c r="E2521"/>
      <c r="F2521"/>
      <c r="G2521"/>
      <c r="H2521"/>
      <c r="I2521"/>
      <c r="J2521"/>
      <c r="K2521"/>
      <c r="L2521" s="11"/>
      <c r="M2521"/>
      <c r="N2521" s="3"/>
      <c r="O2521" s="11"/>
      <c r="P2521" s="11"/>
      <c r="Q2521" s="11"/>
      <c r="R2521" s="11"/>
      <c r="S2521" s="11"/>
      <c r="T2521" s="11"/>
      <c r="U2521" s="11"/>
      <c r="V2521" s="11"/>
      <c r="W2521" s="11"/>
    </row>
    <row r="2522" spans="2:23" x14ac:dyDescent="0.35">
      <c r="B2522"/>
      <c r="C2522"/>
      <c r="D2522"/>
      <c r="E2522"/>
      <c r="F2522"/>
      <c r="G2522"/>
      <c r="H2522"/>
      <c r="I2522"/>
      <c r="J2522"/>
      <c r="K2522"/>
      <c r="L2522" s="11"/>
      <c r="M2522"/>
      <c r="N2522" s="3"/>
      <c r="O2522" s="11"/>
      <c r="P2522" s="11"/>
      <c r="Q2522" s="11"/>
      <c r="R2522" s="11"/>
      <c r="S2522" s="11"/>
      <c r="T2522" s="11"/>
      <c r="U2522" s="11"/>
      <c r="V2522" s="11"/>
      <c r="W2522" s="11"/>
    </row>
    <row r="2523" spans="2:23" x14ac:dyDescent="0.35">
      <c r="B2523"/>
      <c r="C2523"/>
      <c r="D2523"/>
      <c r="E2523"/>
      <c r="F2523"/>
      <c r="G2523"/>
      <c r="H2523"/>
      <c r="I2523"/>
      <c r="J2523"/>
      <c r="K2523"/>
      <c r="L2523" s="11"/>
      <c r="M2523"/>
      <c r="N2523" s="3"/>
      <c r="O2523" s="11"/>
      <c r="P2523" s="11"/>
      <c r="Q2523" s="11"/>
      <c r="R2523" s="11"/>
      <c r="S2523" s="11"/>
      <c r="T2523" s="11"/>
      <c r="U2523" s="11"/>
      <c r="V2523" s="11"/>
      <c r="W2523" s="11"/>
    </row>
    <row r="2524" spans="2:23" x14ac:dyDescent="0.35">
      <c r="B2524"/>
      <c r="C2524"/>
      <c r="D2524"/>
      <c r="E2524"/>
      <c r="F2524"/>
      <c r="G2524"/>
      <c r="H2524"/>
      <c r="I2524"/>
      <c r="J2524"/>
      <c r="K2524"/>
      <c r="L2524" s="11"/>
      <c r="M2524"/>
      <c r="N2524" s="3"/>
      <c r="O2524" s="11"/>
      <c r="P2524" s="11"/>
      <c r="Q2524" s="11"/>
      <c r="R2524" s="11"/>
      <c r="S2524" s="11"/>
      <c r="T2524" s="11"/>
      <c r="U2524" s="11"/>
      <c r="V2524" s="11"/>
      <c r="W2524" s="11"/>
    </row>
    <row r="2525" spans="2:23" x14ac:dyDescent="0.35">
      <c r="B2525"/>
      <c r="C2525"/>
      <c r="D2525"/>
      <c r="E2525"/>
      <c r="F2525"/>
      <c r="G2525"/>
      <c r="H2525"/>
      <c r="I2525"/>
      <c r="J2525"/>
      <c r="K2525"/>
      <c r="L2525" s="11"/>
      <c r="M2525"/>
      <c r="N2525" s="3"/>
      <c r="O2525" s="11"/>
      <c r="P2525" s="11"/>
      <c r="Q2525" s="11"/>
      <c r="R2525" s="11"/>
      <c r="S2525" s="11"/>
      <c r="T2525" s="11"/>
      <c r="U2525" s="11"/>
      <c r="V2525" s="11"/>
      <c r="W2525" s="11"/>
    </row>
    <row r="2526" spans="2:23" x14ac:dyDescent="0.35">
      <c r="B2526"/>
      <c r="C2526"/>
      <c r="D2526"/>
      <c r="E2526"/>
      <c r="F2526"/>
      <c r="G2526"/>
      <c r="H2526"/>
      <c r="I2526"/>
      <c r="J2526"/>
      <c r="K2526"/>
      <c r="L2526" s="11"/>
      <c r="M2526"/>
      <c r="N2526" s="3"/>
      <c r="O2526" s="11"/>
      <c r="P2526" s="11"/>
      <c r="Q2526" s="11"/>
      <c r="R2526" s="11"/>
      <c r="S2526" s="11"/>
      <c r="T2526" s="11"/>
      <c r="U2526" s="11"/>
      <c r="V2526" s="11"/>
      <c r="W2526" s="11"/>
    </row>
    <row r="2527" spans="2:23" x14ac:dyDescent="0.35">
      <c r="B2527"/>
      <c r="C2527"/>
      <c r="D2527"/>
      <c r="E2527"/>
      <c r="F2527"/>
      <c r="G2527"/>
      <c r="H2527"/>
      <c r="I2527"/>
      <c r="J2527"/>
      <c r="K2527"/>
      <c r="L2527" s="11"/>
      <c r="M2527"/>
      <c r="N2527" s="3"/>
      <c r="O2527" s="11"/>
      <c r="P2527" s="11"/>
      <c r="Q2527" s="11"/>
      <c r="R2527" s="11"/>
      <c r="S2527" s="11"/>
      <c r="T2527" s="11"/>
      <c r="U2527" s="11"/>
      <c r="V2527" s="11"/>
      <c r="W2527" s="11"/>
    </row>
    <row r="2528" spans="2:23" x14ac:dyDescent="0.35">
      <c r="B2528"/>
      <c r="C2528"/>
      <c r="D2528"/>
      <c r="E2528"/>
      <c r="F2528"/>
      <c r="G2528"/>
      <c r="H2528"/>
      <c r="I2528"/>
      <c r="J2528"/>
      <c r="K2528"/>
      <c r="L2528" s="11"/>
      <c r="M2528"/>
      <c r="N2528" s="3"/>
      <c r="O2528" s="11"/>
      <c r="P2528" s="11"/>
      <c r="Q2528" s="11"/>
      <c r="R2528" s="11"/>
      <c r="S2528" s="11"/>
      <c r="T2528" s="11"/>
      <c r="U2528" s="11"/>
      <c r="V2528" s="11"/>
      <c r="W2528" s="11"/>
    </row>
    <row r="2529" spans="2:23" x14ac:dyDescent="0.35">
      <c r="B2529"/>
      <c r="C2529"/>
      <c r="D2529"/>
      <c r="E2529"/>
      <c r="F2529"/>
      <c r="G2529"/>
      <c r="H2529"/>
      <c r="I2529"/>
      <c r="J2529"/>
      <c r="K2529"/>
      <c r="L2529" s="11"/>
      <c r="M2529"/>
      <c r="N2529" s="3"/>
      <c r="O2529" s="11"/>
      <c r="P2529" s="11"/>
      <c r="Q2529" s="11"/>
      <c r="R2529" s="11"/>
      <c r="S2529" s="11"/>
      <c r="T2529" s="11"/>
      <c r="U2529" s="11"/>
      <c r="V2529" s="11"/>
      <c r="W2529" s="11"/>
    </row>
    <row r="2530" spans="2:23" x14ac:dyDescent="0.35">
      <c r="B2530"/>
      <c r="C2530"/>
      <c r="D2530"/>
      <c r="E2530"/>
      <c r="F2530"/>
      <c r="G2530"/>
      <c r="H2530"/>
      <c r="I2530"/>
      <c r="J2530"/>
      <c r="K2530"/>
      <c r="L2530" s="11"/>
      <c r="M2530"/>
      <c r="N2530" s="3"/>
      <c r="O2530" s="11"/>
      <c r="P2530" s="11"/>
      <c r="Q2530" s="11"/>
      <c r="R2530" s="11"/>
      <c r="S2530" s="11"/>
      <c r="T2530" s="11"/>
      <c r="U2530" s="11"/>
      <c r="V2530" s="11"/>
      <c r="W2530" s="11"/>
    </row>
    <row r="2531" spans="2:23" x14ac:dyDescent="0.35">
      <c r="B2531"/>
      <c r="C2531"/>
      <c r="D2531"/>
      <c r="E2531"/>
      <c r="F2531"/>
      <c r="G2531"/>
      <c r="H2531"/>
      <c r="I2531"/>
      <c r="J2531"/>
      <c r="K2531"/>
      <c r="L2531" s="11"/>
      <c r="M2531"/>
      <c r="N2531" s="3"/>
      <c r="O2531" s="11"/>
      <c r="P2531" s="11"/>
      <c r="Q2531" s="11"/>
      <c r="R2531" s="11"/>
      <c r="S2531" s="11"/>
      <c r="T2531" s="11"/>
      <c r="U2531" s="11"/>
      <c r="V2531" s="11"/>
      <c r="W2531" s="11"/>
    </row>
    <row r="2532" spans="2:23" x14ac:dyDescent="0.35">
      <c r="B2532"/>
      <c r="C2532"/>
      <c r="D2532"/>
      <c r="E2532"/>
      <c r="F2532"/>
      <c r="G2532"/>
      <c r="H2532"/>
      <c r="I2532"/>
      <c r="J2532"/>
      <c r="K2532"/>
      <c r="L2532" s="11"/>
      <c r="M2532"/>
      <c r="N2532" s="3"/>
      <c r="O2532" s="11"/>
      <c r="P2532" s="11"/>
      <c r="Q2532" s="11"/>
      <c r="R2532" s="11"/>
      <c r="S2532" s="11"/>
      <c r="T2532" s="11"/>
      <c r="U2532" s="11"/>
      <c r="V2532" s="11"/>
      <c r="W2532" s="11"/>
    </row>
    <row r="2533" spans="2:23" x14ac:dyDescent="0.35">
      <c r="B2533"/>
      <c r="C2533"/>
      <c r="D2533"/>
      <c r="E2533"/>
      <c r="F2533"/>
      <c r="G2533"/>
      <c r="H2533"/>
      <c r="I2533"/>
      <c r="J2533"/>
      <c r="K2533"/>
      <c r="L2533" s="11"/>
      <c r="M2533"/>
      <c r="N2533" s="3"/>
      <c r="O2533" s="11"/>
      <c r="P2533" s="11"/>
      <c r="Q2533" s="11"/>
      <c r="R2533" s="11"/>
      <c r="S2533" s="11"/>
      <c r="T2533" s="11"/>
      <c r="U2533" s="11"/>
      <c r="V2533" s="11"/>
      <c r="W2533" s="11"/>
    </row>
    <row r="2534" spans="2:23" x14ac:dyDescent="0.35">
      <c r="B2534"/>
      <c r="C2534"/>
      <c r="D2534"/>
      <c r="E2534"/>
      <c r="F2534"/>
      <c r="G2534"/>
      <c r="H2534"/>
      <c r="I2534"/>
      <c r="J2534"/>
      <c r="K2534"/>
      <c r="L2534" s="11"/>
      <c r="M2534"/>
      <c r="N2534" s="3"/>
      <c r="O2534" s="11"/>
      <c r="P2534" s="11"/>
      <c r="Q2534" s="11"/>
      <c r="R2534" s="11"/>
      <c r="S2534" s="11"/>
      <c r="T2534" s="11"/>
      <c r="U2534" s="11"/>
      <c r="V2534" s="11"/>
      <c r="W2534" s="11"/>
    </row>
    <row r="2535" spans="2:23" x14ac:dyDescent="0.35">
      <c r="B2535"/>
      <c r="C2535"/>
      <c r="D2535"/>
      <c r="E2535"/>
      <c r="F2535"/>
      <c r="G2535"/>
      <c r="H2535"/>
      <c r="I2535"/>
      <c r="J2535"/>
      <c r="K2535"/>
      <c r="L2535" s="11"/>
      <c r="M2535"/>
      <c r="N2535" s="3"/>
      <c r="O2535" s="11"/>
      <c r="P2535" s="11"/>
      <c r="Q2535" s="11"/>
      <c r="R2535" s="11"/>
      <c r="S2535" s="11"/>
      <c r="T2535" s="11"/>
      <c r="U2535" s="11"/>
      <c r="V2535" s="11"/>
      <c r="W2535" s="11"/>
    </row>
    <row r="2536" spans="2:23" x14ac:dyDescent="0.35">
      <c r="B2536"/>
      <c r="C2536"/>
      <c r="D2536"/>
      <c r="E2536"/>
      <c r="F2536"/>
      <c r="G2536"/>
      <c r="H2536"/>
      <c r="I2536"/>
      <c r="J2536"/>
      <c r="K2536"/>
      <c r="L2536" s="11"/>
      <c r="M2536"/>
      <c r="N2536" s="3"/>
      <c r="O2536" s="11"/>
      <c r="P2536" s="11"/>
      <c r="Q2536" s="11"/>
      <c r="R2536" s="11"/>
      <c r="S2536" s="11"/>
      <c r="T2536" s="11"/>
      <c r="U2536" s="11"/>
      <c r="V2536" s="11"/>
      <c r="W2536" s="11"/>
    </row>
    <row r="2537" spans="2:23" x14ac:dyDescent="0.35">
      <c r="B2537"/>
      <c r="C2537"/>
      <c r="D2537"/>
      <c r="E2537"/>
      <c r="F2537"/>
      <c r="G2537"/>
      <c r="H2537"/>
      <c r="I2537"/>
      <c r="J2537"/>
      <c r="K2537"/>
      <c r="L2537" s="11"/>
      <c r="M2537"/>
      <c r="N2537" s="3"/>
      <c r="O2537" s="11"/>
      <c r="P2537" s="11"/>
      <c r="Q2537" s="11"/>
      <c r="R2537" s="11"/>
      <c r="S2537" s="11"/>
      <c r="T2537" s="11"/>
      <c r="U2537" s="11"/>
      <c r="V2537" s="11"/>
      <c r="W2537" s="11"/>
    </row>
    <row r="2538" spans="2:23" x14ac:dyDescent="0.35">
      <c r="B2538"/>
      <c r="C2538"/>
      <c r="D2538"/>
      <c r="E2538"/>
      <c r="F2538"/>
      <c r="G2538"/>
      <c r="H2538"/>
      <c r="I2538"/>
      <c r="J2538"/>
      <c r="K2538"/>
      <c r="L2538" s="11"/>
      <c r="M2538"/>
      <c r="N2538" s="3"/>
      <c r="O2538" s="11"/>
      <c r="P2538" s="11"/>
      <c r="Q2538" s="11"/>
      <c r="R2538" s="11"/>
      <c r="S2538" s="11"/>
      <c r="T2538" s="11"/>
      <c r="U2538" s="11"/>
      <c r="V2538" s="11"/>
      <c r="W2538" s="11"/>
    </row>
    <row r="2539" spans="2:23" x14ac:dyDescent="0.35">
      <c r="B2539"/>
      <c r="C2539"/>
      <c r="D2539"/>
      <c r="E2539"/>
      <c r="F2539"/>
      <c r="G2539"/>
      <c r="H2539"/>
      <c r="I2539"/>
      <c r="J2539"/>
      <c r="K2539"/>
      <c r="L2539" s="11"/>
      <c r="M2539"/>
      <c r="N2539" s="3"/>
      <c r="O2539" s="11"/>
      <c r="P2539" s="11"/>
      <c r="Q2539" s="11"/>
      <c r="R2539" s="11"/>
      <c r="S2539" s="11"/>
      <c r="T2539" s="11"/>
      <c r="U2539" s="11"/>
      <c r="V2539" s="11"/>
      <c r="W2539" s="11"/>
    </row>
    <row r="2540" spans="2:23" x14ac:dyDescent="0.35">
      <c r="B2540"/>
      <c r="C2540"/>
      <c r="D2540"/>
      <c r="E2540"/>
      <c r="F2540"/>
      <c r="G2540"/>
      <c r="H2540"/>
      <c r="I2540"/>
      <c r="J2540"/>
      <c r="K2540"/>
      <c r="L2540" s="11"/>
      <c r="M2540"/>
      <c r="N2540" s="3"/>
      <c r="O2540" s="11"/>
      <c r="P2540" s="11"/>
      <c r="Q2540" s="11"/>
      <c r="R2540" s="11"/>
      <c r="S2540" s="11"/>
      <c r="T2540" s="11"/>
      <c r="U2540" s="11"/>
      <c r="V2540" s="11"/>
      <c r="W2540" s="11"/>
    </row>
    <row r="2541" spans="2:23" x14ac:dyDescent="0.35">
      <c r="B2541"/>
      <c r="C2541"/>
      <c r="D2541"/>
      <c r="E2541"/>
      <c r="F2541"/>
      <c r="G2541"/>
      <c r="H2541"/>
      <c r="I2541"/>
      <c r="J2541"/>
      <c r="K2541"/>
      <c r="L2541" s="11"/>
      <c r="M2541"/>
      <c r="N2541" s="3"/>
      <c r="O2541" s="11"/>
      <c r="P2541" s="11"/>
      <c r="Q2541" s="11"/>
      <c r="R2541" s="11"/>
      <c r="S2541" s="11"/>
      <c r="T2541" s="11"/>
      <c r="U2541" s="11"/>
      <c r="V2541" s="11"/>
      <c r="W2541" s="11"/>
    </row>
    <row r="2542" spans="2:23" x14ac:dyDescent="0.35">
      <c r="B2542"/>
      <c r="C2542"/>
      <c r="D2542"/>
      <c r="E2542"/>
      <c r="F2542"/>
      <c r="G2542"/>
      <c r="H2542"/>
      <c r="I2542"/>
      <c r="J2542"/>
      <c r="K2542"/>
      <c r="L2542" s="11"/>
      <c r="M2542"/>
      <c r="N2542" s="3"/>
      <c r="O2542" s="11"/>
      <c r="P2542" s="11"/>
      <c r="Q2542" s="11"/>
      <c r="R2542" s="11"/>
      <c r="S2542" s="11"/>
      <c r="T2542" s="11"/>
      <c r="U2542" s="11"/>
      <c r="V2542" s="11"/>
      <c r="W2542" s="11"/>
    </row>
    <row r="2543" spans="2:23" x14ac:dyDescent="0.35">
      <c r="B2543"/>
      <c r="C2543"/>
      <c r="D2543"/>
      <c r="E2543"/>
      <c r="F2543"/>
      <c r="G2543"/>
      <c r="H2543"/>
      <c r="I2543"/>
      <c r="J2543"/>
      <c r="K2543"/>
      <c r="L2543" s="11"/>
      <c r="M2543"/>
      <c r="N2543" s="3"/>
      <c r="O2543" s="11"/>
      <c r="P2543" s="11"/>
      <c r="Q2543" s="11"/>
      <c r="R2543" s="11"/>
      <c r="S2543" s="11"/>
      <c r="T2543" s="11"/>
      <c r="U2543" s="11"/>
      <c r="V2543" s="11"/>
      <c r="W2543" s="11"/>
    </row>
    <row r="2544" spans="2:23" x14ac:dyDescent="0.35">
      <c r="B2544"/>
      <c r="C2544"/>
      <c r="D2544"/>
      <c r="E2544"/>
      <c r="F2544"/>
      <c r="G2544"/>
      <c r="H2544"/>
      <c r="I2544"/>
      <c r="J2544"/>
      <c r="K2544"/>
      <c r="L2544" s="11"/>
      <c r="M2544"/>
      <c r="N2544" s="3"/>
      <c r="O2544" s="11"/>
      <c r="P2544" s="11"/>
      <c r="Q2544" s="11"/>
      <c r="R2544" s="11"/>
      <c r="S2544" s="11"/>
      <c r="T2544" s="11"/>
      <c r="U2544" s="11"/>
      <c r="V2544" s="11"/>
      <c r="W2544" s="11"/>
    </row>
    <row r="2545" spans="2:23" x14ac:dyDescent="0.35">
      <c r="B2545"/>
      <c r="C2545"/>
      <c r="D2545"/>
      <c r="E2545"/>
      <c r="F2545"/>
      <c r="G2545"/>
      <c r="H2545"/>
      <c r="I2545"/>
      <c r="J2545"/>
      <c r="K2545"/>
      <c r="L2545" s="11"/>
      <c r="M2545"/>
      <c r="N2545" s="3"/>
      <c r="O2545" s="11"/>
      <c r="P2545" s="11"/>
      <c r="Q2545" s="11"/>
      <c r="R2545" s="11"/>
      <c r="S2545" s="11"/>
      <c r="T2545" s="11"/>
      <c r="U2545" s="11"/>
      <c r="V2545" s="11"/>
      <c r="W2545" s="11"/>
    </row>
    <row r="2546" spans="2:23" x14ac:dyDescent="0.35">
      <c r="B2546"/>
      <c r="C2546"/>
      <c r="D2546"/>
      <c r="E2546"/>
      <c r="F2546"/>
      <c r="G2546"/>
      <c r="H2546"/>
      <c r="I2546"/>
      <c r="J2546"/>
      <c r="K2546"/>
      <c r="L2546" s="11"/>
      <c r="M2546"/>
      <c r="N2546" s="3"/>
      <c r="O2546" s="11"/>
      <c r="P2546" s="11"/>
      <c r="Q2546" s="11"/>
      <c r="R2546" s="11"/>
      <c r="S2546" s="11"/>
      <c r="T2546" s="11"/>
      <c r="U2546" s="11"/>
      <c r="V2546" s="11"/>
      <c r="W2546" s="11"/>
    </row>
    <row r="2547" spans="2:23" x14ac:dyDescent="0.35">
      <c r="B2547"/>
      <c r="C2547"/>
      <c r="D2547"/>
      <c r="E2547"/>
      <c r="F2547"/>
      <c r="G2547"/>
      <c r="H2547"/>
      <c r="I2547"/>
      <c r="J2547"/>
      <c r="K2547"/>
      <c r="L2547" s="11"/>
      <c r="M2547"/>
      <c r="N2547" s="3"/>
      <c r="O2547" s="11"/>
      <c r="P2547" s="11"/>
      <c r="Q2547" s="11"/>
      <c r="R2547" s="11"/>
      <c r="S2547" s="11"/>
      <c r="T2547" s="11"/>
      <c r="U2547" s="11"/>
      <c r="V2547" s="11"/>
      <c r="W2547" s="11"/>
    </row>
    <row r="2548" spans="2:23" x14ac:dyDescent="0.35">
      <c r="B2548"/>
      <c r="C2548"/>
      <c r="D2548"/>
      <c r="E2548"/>
      <c r="F2548"/>
      <c r="G2548"/>
      <c r="H2548"/>
      <c r="I2548"/>
      <c r="J2548"/>
      <c r="K2548"/>
      <c r="L2548" s="11"/>
      <c r="M2548"/>
      <c r="N2548" s="3"/>
      <c r="O2548" s="11"/>
      <c r="P2548" s="11"/>
      <c r="Q2548" s="11"/>
      <c r="R2548" s="11"/>
      <c r="S2548" s="11"/>
      <c r="T2548" s="11"/>
      <c r="U2548" s="11"/>
      <c r="V2548" s="11"/>
      <c r="W2548" s="11"/>
    </row>
    <row r="2549" spans="2:23" x14ac:dyDescent="0.35">
      <c r="B2549"/>
      <c r="C2549"/>
      <c r="D2549"/>
      <c r="E2549"/>
      <c r="F2549"/>
      <c r="G2549"/>
      <c r="H2549"/>
      <c r="I2549"/>
      <c r="J2549"/>
      <c r="K2549"/>
      <c r="L2549" s="11"/>
      <c r="M2549"/>
      <c r="N2549" s="3"/>
      <c r="O2549" s="11"/>
      <c r="P2549" s="11"/>
      <c r="Q2549" s="11"/>
      <c r="R2549" s="11"/>
      <c r="S2549" s="11"/>
      <c r="T2549" s="11"/>
      <c r="U2549" s="11"/>
      <c r="V2549" s="11"/>
      <c r="W2549" s="11"/>
    </row>
    <row r="2550" spans="2:23" x14ac:dyDescent="0.35">
      <c r="B2550"/>
      <c r="C2550"/>
      <c r="D2550"/>
      <c r="E2550"/>
      <c r="F2550"/>
      <c r="G2550"/>
      <c r="H2550"/>
      <c r="I2550"/>
      <c r="J2550"/>
      <c r="K2550"/>
      <c r="L2550" s="11"/>
      <c r="M2550"/>
      <c r="N2550" s="3"/>
      <c r="O2550" s="11"/>
      <c r="P2550" s="11"/>
      <c r="Q2550" s="11"/>
      <c r="R2550" s="11"/>
      <c r="S2550" s="11"/>
      <c r="T2550" s="11"/>
      <c r="U2550" s="11"/>
      <c r="V2550" s="11"/>
      <c r="W2550" s="11"/>
    </row>
    <row r="2551" spans="2:23" x14ac:dyDescent="0.35">
      <c r="B2551"/>
      <c r="C2551"/>
      <c r="D2551"/>
      <c r="E2551"/>
      <c r="F2551"/>
      <c r="G2551"/>
      <c r="H2551"/>
      <c r="I2551"/>
      <c r="J2551"/>
      <c r="K2551"/>
      <c r="L2551" s="11"/>
      <c r="M2551"/>
      <c r="N2551" s="3"/>
      <c r="O2551" s="11"/>
      <c r="P2551" s="11"/>
      <c r="Q2551" s="11"/>
      <c r="R2551" s="11"/>
      <c r="S2551" s="11"/>
      <c r="T2551" s="11"/>
      <c r="U2551" s="11"/>
      <c r="V2551" s="11"/>
      <c r="W2551" s="11"/>
    </row>
    <row r="2552" spans="2:23" x14ac:dyDescent="0.35">
      <c r="B2552"/>
      <c r="C2552"/>
      <c r="D2552"/>
      <c r="E2552"/>
      <c r="F2552"/>
      <c r="G2552"/>
      <c r="H2552"/>
      <c r="I2552"/>
      <c r="J2552"/>
      <c r="K2552"/>
      <c r="L2552" s="11"/>
      <c r="M2552"/>
      <c r="N2552" s="3"/>
      <c r="O2552" s="11"/>
      <c r="P2552" s="11"/>
      <c r="Q2552" s="11"/>
      <c r="R2552" s="11"/>
      <c r="S2552" s="11"/>
      <c r="T2552" s="11"/>
      <c r="U2552" s="11"/>
      <c r="V2552" s="11"/>
      <c r="W2552" s="11"/>
    </row>
    <row r="2553" spans="2:23" x14ac:dyDescent="0.35">
      <c r="B2553"/>
      <c r="C2553"/>
      <c r="D2553"/>
      <c r="E2553"/>
      <c r="F2553"/>
      <c r="G2553"/>
      <c r="H2553"/>
      <c r="I2553"/>
      <c r="J2553"/>
      <c r="K2553"/>
      <c r="L2553" s="11"/>
      <c r="M2553"/>
      <c r="N2553" s="3"/>
      <c r="O2553" s="11"/>
      <c r="P2553" s="11"/>
      <c r="Q2553" s="11"/>
      <c r="R2553" s="11"/>
      <c r="S2553" s="11"/>
      <c r="T2553" s="11"/>
      <c r="U2553" s="11"/>
      <c r="V2553" s="11"/>
      <c r="W2553" s="11"/>
    </row>
    <row r="2554" spans="2:23" x14ac:dyDescent="0.35">
      <c r="B2554"/>
      <c r="C2554"/>
      <c r="D2554"/>
      <c r="E2554"/>
      <c r="F2554"/>
      <c r="G2554"/>
      <c r="H2554"/>
      <c r="I2554"/>
      <c r="J2554"/>
      <c r="K2554"/>
      <c r="L2554" s="11"/>
      <c r="M2554"/>
      <c r="N2554" s="3"/>
      <c r="O2554" s="11"/>
      <c r="P2554" s="11"/>
      <c r="Q2554" s="11"/>
      <c r="R2554" s="11"/>
      <c r="S2554" s="11"/>
      <c r="T2554" s="11"/>
      <c r="U2554" s="11"/>
      <c r="V2554" s="11"/>
      <c r="W2554" s="11"/>
    </row>
    <row r="2555" spans="2:23" x14ac:dyDescent="0.35">
      <c r="B2555"/>
      <c r="C2555"/>
      <c r="D2555"/>
      <c r="E2555"/>
      <c r="F2555"/>
      <c r="G2555"/>
      <c r="H2555"/>
      <c r="I2555"/>
      <c r="J2555"/>
      <c r="K2555"/>
      <c r="L2555" s="11"/>
      <c r="M2555"/>
      <c r="N2555" s="3"/>
      <c r="O2555" s="11"/>
      <c r="P2555" s="11"/>
      <c r="Q2555" s="11"/>
      <c r="R2555" s="11"/>
      <c r="S2555" s="11"/>
      <c r="T2555" s="11"/>
      <c r="U2555" s="11"/>
      <c r="V2555" s="11"/>
      <c r="W2555" s="11"/>
    </row>
    <row r="2556" spans="2:23" x14ac:dyDescent="0.35">
      <c r="B2556"/>
      <c r="C2556"/>
      <c r="D2556"/>
      <c r="E2556"/>
      <c r="F2556"/>
      <c r="G2556"/>
      <c r="H2556"/>
      <c r="I2556"/>
      <c r="J2556"/>
      <c r="K2556"/>
      <c r="L2556" s="11"/>
      <c r="M2556"/>
      <c r="N2556" s="3"/>
      <c r="O2556" s="11"/>
      <c r="P2556" s="11"/>
      <c r="Q2556" s="11"/>
      <c r="R2556" s="11"/>
      <c r="S2556" s="11"/>
      <c r="T2556" s="11"/>
      <c r="U2556" s="11"/>
      <c r="V2556" s="11"/>
      <c r="W2556" s="11"/>
    </row>
    <row r="2557" spans="2:23" x14ac:dyDescent="0.35">
      <c r="B2557"/>
      <c r="C2557"/>
      <c r="D2557"/>
      <c r="E2557"/>
      <c r="F2557"/>
      <c r="G2557"/>
      <c r="H2557"/>
      <c r="I2557"/>
      <c r="J2557"/>
      <c r="K2557"/>
      <c r="L2557" s="11"/>
      <c r="M2557"/>
      <c r="N2557" s="3"/>
      <c r="O2557" s="11"/>
      <c r="P2557" s="11"/>
      <c r="Q2557" s="11"/>
      <c r="R2557" s="11"/>
      <c r="S2557" s="11"/>
      <c r="T2557" s="11"/>
      <c r="U2557" s="11"/>
      <c r="V2557" s="11"/>
      <c r="W2557" s="11"/>
    </row>
    <row r="2558" spans="2:23" x14ac:dyDescent="0.35">
      <c r="B2558"/>
      <c r="C2558"/>
      <c r="D2558"/>
      <c r="E2558"/>
      <c r="F2558"/>
      <c r="G2558"/>
      <c r="H2558"/>
      <c r="I2558"/>
      <c r="J2558"/>
      <c r="K2558"/>
      <c r="L2558" s="11"/>
      <c r="M2558"/>
      <c r="N2558" s="3"/>
      <c r="O2558" s="11"/>
      <c r="P2558" s="11"/>
      <c r="Q2558" s="11"/>
      <c r="R2558" s="11"/>
      <c r="S2558" s="11"/>
      <c r="T2558" s="11"/>
      <c r="U2558" s="11"/>
      <c r="V2558" s="11"/>
      <c r="W2558" s="11"/>
    </row>
    <row r="2559" spans="2:23" x14ac:dyDescent="0.35">
      <c r="B2559"/>
      <c r="C2559"/>
      <c r="D2559"/>
      <c r="E2559"/>
      <c r="F2559"/>
      <c r="G2559"/>
      <c r="H2559"/>
      <c r="I2559"/>
      <c r="J2559"/>
      <c r="K2559"/>
      <c r="L2559" s="11"/>
      <c r="M2559"/>
      <c r="N2559" s="3"/>
      <c r="O2559" s="11"/>
      <c r="P2559" s="11"/>
      <c r="Q2559" s="11"/>
      <c r="R2559" s="11"/>
      <c r="S2559" s="11"/>
      <c r="T2559" s="11"/>
      <c r="U2559" s="11"/>
      <c r="V2559" s="11"/>
      <c r="W2559" s="11"/>
    </row>
    <row r="2560" spans="2:23" x14ac:dyDescent="0.35">
      <c r="B2560"/>
      <c r="C2560"/>
      <c r="D2560"/>
      <c r="E2560"/>
      <c r="F2560"/>
      <c r="G2560"/>
      <c r="H2560"/>
      <c r="I2560"/>
      <c r="J2560"/>
      <c r="K2560"/>
      <c r="L2560" s="11"/>
      <c r="M2560"/>
      <c r="N2560" s="3"/>
      <c r="O2560" s="11"/>
      <c r="P2560" s="11"/>
      <c r="Q2560" s="11"/>
      <c r="R2560" s="11"/>
      <c r="S2560" s="11"/>
      <c r="T2560" s="11"/>
      <c r="U2560" s="11"/>
      <c r="V2560" s="11"/>
      <c r="W2560" s="11"/>
    </row>
    <row r="2561" spans="2:23" x14ac:dyDescent="0.35">
      <c r="B2561"/>
      <c r="C2561"/>
      <c r="D2561"/>
      <c r="E2561"/>
      <c r="F2561"/>
      <c r="G2561"/>
      <c r="H2561"/>
      <c r="I2561"/>
      <c r="J2561"/>
      <c r="K2561"/>
      <c r="L2561" s="11"/>
      <c r="M2561"/>
      <c r="N2561" s="3"/>
      <c r="O2561" s="11"/>
      <c r="P2561" s="11"/>
      <c r="Q2561" s="11"/>
      <c r="R2561" s="11"/>
      <c r="S2561" s="11"/>
      <c r="T2561" s="11"/>
      <c r="U2561" s="11"/>
      <c r="V2561" s="11"/>
      <c r="W2561" s="11"/>
    </row>
    <row r="2562" spans="2:23" x14ac:dyDescent="0.35">
      <c r="B2562"/>
      <c r="C2562"/>
      <c r="D2562"/>
      <c r="E2562"/>
      <c r="F2562"/>
      <c r="G2562"/>
      <c r="H2562"/>
      <c r="I2562"/>
      <c r="J2562"/>
      <c r="K2562"/>
      <c r="L2562" s="11"/>
      <c r="M2562"/>
      <c r="N2562" s="3"/>
      <c r="O2562" s="11"/>
      <c r="P2562" s="11"/>
      <c r="Q2562" s="11"/>
      <c r="R2562" s="11"/>
      <c r="S2562" s="11"/>
      <c r="T2562" s="11"/>
      <c r="U2562" s="11"/>
      <c r="V2562" s="11"/>
      <c r="W2562" s="11"/>
    </row>
    <row r="2563" spans="2:23" x14ac:dyDescent="0.35">
      <c r="B2563"/>
      <c r="C2563"/>
      <c r="D2563"/>
      <c r="E2563"/>
      <c r="F2563"/>
      <c r="G2563"/>
      <c r="H2563"/>
      <c r="I2563"/>
      <c r="J2563"/>
      <c r="K2563"/>
      <c r="L2563" s="11"/>
      <c r="M2563"/>
      <c r="N2563" s="3"/>
      <c r="O2563" s="11"/>
      <c r="P2563" s="11"/>
      <c r="Q2563" s="11"/>
      <c r="R2563" s="11"/>
      <c r="S2563" s="11"/>
      <c r="T2563" s="11"/>
      <c r="U2563" s="11"/>
      <c r="V2563" s="11"/>
      <c r="W2563" s="11"/>
    </row>
    <row r="2564" spans="2:23" x14ac:dyDescent="0.35">
      <c r="B2564"/>
      <c r="C2564"/>
      <c r="D2564"/>
      <c r="E2564"/>
      <c r="F2564"/>
      <c r="G2564"/>
      <c r="H2564"/>
      <c r="I2564"/>
      <c r="J2564"/>
      <c r="K2564"/>
      <c r="L2564" s="11"/>
      <c r="M2564"/>
      <c r="N2564" s="3"/>
      <c r="O2564" s="11"/>
      <c r="P2564" s="11"/>
      <c r="Q2564" s="11"/>
      <c r="R2564" s="11"/>
      <c r="S2564" s="11"/>
      <c r="T2564" s="11"/>
      <c r="U2564" s="11"/>
      <c r="V2564" s="11"/>
      <c r="W2564" s="11"/>
    </row>
    <row r="2565" spans="2:23" x14ac:dyDescent="0.35">
      <c r="B2565"/>
      <c r="C2565"/>
      <c r="D2565"/>
      <c r="E2565"/>
      <c r="F2565"/>
      <c r="G2565"/>
      <c r="H2565"/>
      <c r="I2565"/>
      <c r="J2565"/>
      <c r="K2565"/>
      <c r="L2565" s="11"/>
      <c r="M2565"/>
      <c r="N2565" s="3"/>
      <c r="O2565" s="11"/>
      <c r="P2565" s="11"/>
      <c r="Q2565" s="11"/>
      <c r="R2565" s="11"/>
      <c r="S2565" s="11"/>
      <c r="T2565" s="11"/>
      <c r="U2565" s="11"/>
      <c r="V2565" s="11"/>
      <c r="W2565" s="11"/>
    </row>
    <row r="2566" spans="2:23" x14ac:dyDescent="0.35">
      <c r="B2566"/>
      <c r="C2566"/>
      <c r="D2566"/>
      <c r="E2566"/>
      <c r="F2566"/>
      <c r="G2566"/>
      <c r="H2566"/>
      <c r="I2566"/>
      <c r="J2566"/>
      <c r="K2566"/>
      <c r="L2566" s="11"/>
      <c r="M2566"/>
      <c r="N2566" s="3"/>
      <c r="O2566" s="11"/>
      <c r="P2566" s="11"/>
      <c r="Q2566" s="11"/>
      <c r="R2566" s="11"/>
      <c r="S2566" s="11"/>
      <c r="T2566" s="11"/>
      <c r="U2566" s="11"/>
      <c r="V2566" s="11"/>
      <c r="W2566" s="11"/>
    </row>
    <row r="2567" spans="2:23" x14ac:dyDescent="0.35">
      <c r="B2567"/>
      <c r="C2567"/>
      <c r="D2567"/>
      <c r="E2567"/>
      <c r="F2567"/>
      <c r="G2567"/>
      <c r="H2567"/>
      <c r="I2567"/>
      <c r="J2567"/>
      <c r="K2567"/>
      <c r="L2567" s="11"/>
      <c r="M2567"/>
      <c r="N2567" s="3"/>
      <c r="O2567" s="11"/>
      <c r="P2567" s="11"/>
      <c r="Q2567" s="11"/>
      <c r="R2567" s="11"/>
      <c r="S2567" s="11"/>
      <c r="T2567" s="11"/>
      <c r="U2567" s="11"/>
      <c r="V2567" s="11"/>
      <c r="W2567" s="11"/>
    </row>
    <row r="2568" spans="2:23" x14ac:dyDescent="0.35">
      <c r="B2568"/>
      <c r="C2568"/>
      <c r="D2568"/>
      <c r="E2568"/>
      <c r="F2568"/>
      <c r="G2568"/>
      <c r="H2568"/>
      <c r="I2568"/>
      <c r="J2568"/>
      <c r="K2568"/>
      <c r="L2568" s="11"/>
      <c r="M2568"/>
      <c r="N2568" s="3"/>
      <c r="O2568" s="11"/>
      <c r="P2568" s="11"/>
      <c r="Q2568" s="11"/>
      <c r="R2568" s="11"/>
      <c r="S2568" s="11"/>
      <c r="T2568" s="11"/>
      <c r="U2568" s="11"/>
      <c r="V2568" s="11"/>
      <c r="W2568" s="11"/>
    </row>
    <row r="2569" spans="2:23" x14ac:dyDescent="0.35">
      <c r="B2569"/>
      <c r="C2569"/>
      <c r="D2569"/>
      <c r="E2569"/>
      <c r="F2569"/>
      <c r="G2569"/>
      <c r="H2569"/>
      <c r="I2569"/>
      <c r="J2569"/>
      <c r="K2569"/>
      <c r="L2569" s="11"/>
      <c r="M2569"/>
      <c r="N2569" s="3"/>
      <c r="O2569" s="11"/>
      <c r="P2569" s="11"/>
      <c r="Q2569" s="11"/>
      <c r="R2569" s="11"/>
      <c r="S2569" s="11"/>
      <c r="T2569" s="11"/>
      <c r="U2569" s="11"/>
      <c r="V2569" s="11"/>
      <c r="W2569" s="11"/>
    </row>
    <row r="2570" spans="2:23" x14ac:dyDescent="0.35">
      <c r="B2570"/>
      <c r="C2570"/>
      <c r="D2570"/>
      <c r="E2570"/>
      <c r="F2570"/>
      <c r="G2570"/>
      <c r="H2570"/>
      <c r="I2570"/>
      <c r="J2570"/>
      <c r="K2570"/>
      <c r="L2570" s="11"/>
      <c r="M2570"/>
      <c r="N2570" s="3"/>
      <c r="O2570" s="11"/>
      <c r="P2570" s="11"/>
      <c r="Q2570" s="11"/>
      <c r="R2570" s="11"/>
      <c r="S2570" s="11"/>
      <c r="T2570" s="11"/>
      <c r="U2570" s="11"/>
      <c r="V2570" s="11"/>
      <c r="W2570" s="11"/>
    </row>
    <row r="2571" spans="2:23" x14ac:dyDescent="0.35">
      <c r="B2571"/>
      <c r="C2571"/>
      <c r="D2571"/>
      <c r="E2571"/>
      <c r="F2571"/>
      <c r="G2571"/>
      <c r="H2571"/>
      <c r="I2571"/>
      <c r="J2571"/>
      <c r="K2571"/>
      <c r="L2571" s="11"/>
      <c r="M2571"/>
      <c r="N2571" s="3"/>
      <c r="O2571" s="11"/>
      <c r="P2571" s="11"/>
      <c r="Q2571" s="11"/>
      <c r="R2571" s="11"/>
      <c r="S2571" s="11"/>
      <c r="T2571" s="11"/>
      <c r="U2571" s="11"/>
      <c r="V2571" s="11"/>
      <c r="W2571" s="11"/>
    </row>
    <row r="2572" spans="2:23" x14ac:dyDescent="0.35">
      <c r="B2572"/>
      <c r="C2572"/>
      <c r="D2572"/>
      <c r="E2572"/>
      <c r="F2572"/>
      <c r="G2572"/>
      <c r="H2572"/>
      <c r="I2572"/>
      <c r="J2572"/>
      <c r="K2572"/>
      <c r="L2572" s="11"/>
      <c r="M2572"/>
      <c r="N2572" s="3"/>
      <c r="O2572" s="11"/>
      <c r="P2572" s="11"/>
      <c r="Q2572" s="11"/>
      <c r="R2572" s="11"/>
      <c r="S2572" s="11"/>
      <c r="T2572" s="11"/>
      <c r="U2572" s="11"/>
      <c r="V2572" s="11"/>
      <c r="W2572" s="11"/>
    </row>
    <row r="2573" spans="2:23" x14ac:dyDescent="0.35">
      <c r="B2573"/>
      <c r="C2573"/>
      <c r="D2573"/>
      <c r="E2573"/>
      <c r="F2573"/>
      <c r="G2573"/>
      <c r="H2573"/>
      <c r="I2573"/>
      <c r="J2573"/>
      <c r="K2573"/>
      <c r="L2573" s="11"/>
      <c r="M2573"/>
      <c r="N2573" s="3"/>
      <c r="O2573" s="11"/>
      <c r="P2573" s="11"/>
      <c r="Q2573" s="11"/>
      <c r="R2573" s="11"/>
      <c r="S2573" s="11"/>
      <c r="T2573" s="11"/>
      <c r="U2573" s="11"/>
      <c r="V2573" s="11"/>
      <c r="W2573" s="11"/>
    </row>
    <row r="2574" spans="2:23" x14ac:dyDescent="0.35">
      <c r="B2574"/>
      <c r="C2574"/>
      <c r="D2574"/>
      <c r="E2574"/>
      <c r="F2574"/>
      <c r="G2574"/>
      <c r="H2574"/>
      <c r="I2574"/>
      <c r="J2574"/>
      <c r="K2574"/>
      <c r="L2574" s="11"/>
      <c r="M2574"/>
      <c r="N2574" s="3"/>
      <c r="O2574" s="11"/>
      <c r="P2574" s="11"/>
      <c r="Q2574" s="11"/>
      <c r="R2574" s="11"/>
      <c r="S2574" s="11"/>
      <c r="T2574" s="11"/>
      <c r="U2574" s="11"/>
      <c r="V2574" s="11"/>
      <c r="W2574" s="11"/>
    </row>
    <row r="2575" spans="2:23" x14ac:dyDescent="0.35">
      <c r="B2575"/>
      <c r="C2575"/>
      <c r="D2575"/>
      <c r="E2575"/>
      <c r="F2575"/>
      <c r="G2575"/>
      <c r="H2575"/>
      <c r="I2575"/>
      <c r="J2575"/>
      <c r="K2575"/>
      <c r="L2575" s="11"/>
      <c r="M2575"/>
      <c r="N2575" s="3"/>
      <c r="O2575" s="11"/>
      <c r="P2575" s="11"/>
      <c r="Q2575" s="11"/>
      <c r="R2575" s="11"/>
      <c r="S2575" s="11"/>
      <c r="T2575" s="11"/>
      <c r="U2575" s="11"/>
      <c r="V2575" s="11"/>
      <c r="W2575" s="11"/>
    </row>
    <row r="2576" spans="2:23" x14ac:dyDescent="0.35">
      <c r="B2576"/>
      <c r="C2576"/>
      <c r="D2576"/>
      <c r="E2576"/>
      <c r="F2576"/>
      <c r="G2576"/>
      <c r="H2576"/>
      <c r="I2576"/>
      <c r="J2576"/>
      <c r="K2576"/>
      <c r="L2576" s="11"/>
      <c r="M2576"/>
      <c r="N2576" s="3"/>
      <c r="O2576" s="11"/>
      <c r="P2576" s="11"/>
      <c r="Q2576" s="11"/>
      <c r="R2576" s="11"/>
      <c r="S2576" s="11"/>
      <c r="T2576" s="11"/>
      <c r="U2576" s="11"/>
      <c r="V2576" s="11"/>
      <c r="W2576" s="11"/>
    </row>
    <row r="2577" spans="2:23" x14ac:dyDescent="0.35">
      <c r="B2577"/>
      <c r="C2577"/>
      <c r="D2577"/>
      <c r="E2577"/>
      <c r="F2577"/>
      <c r="G2577"/>
      <c r="H2577"/>
      <c r="I2577"/>
      <c r="J2577"/>
      <c r="K2577"/>
      <c r="L2577" s="11"/>
      <c r="M2577"/>
      <c r="N2577" s="3"/>
      <c r="O2577" s="11"/>
      <c r="P2577" s="11"/>
      <c r="Q2577" s="11"/>
      <c r="R2577" s="11"/>
      <c r="S2577" s="11"/>
      <c r="T2577" s="11"/>
      <c r="U2577" s="11"/>
      <c r="V2577" s="11"/>
      <c r="W2577" s="11"/>
    </row>
    <row r="2578" spans="2:23" x14ac:dyDescent="0.35">
      <c r="B2578"/>
      <c r="C2578"/>
      <c r="D2578"/>
      <c r="E2578"/>
      <c r="F2578"/>
      <c r="G2578"/>
      <c r="H2578"/>
      <c r="I2578"/>
      <c r="J2578"/>
      <c r="K2578"/>
      <c r="L2578" s="11"/>
      <c r="M2578"/>
      <c r="N2578" s="3"/>
      <c r="O2578" s="11"/>
      <c r="P2578" s="11"/>
      <c r="Q2578" s="11"/>
      <c r="R2578" s="11"/>
      <c r="S2578" s="11"/>
      <c r="T2578" s="11"/>
      <c r="U2578" s="11"/>
      <c r="V2578" s="11"/>
      <c r="W2578" s="11"/>
    </row>
    <row r="2579" spans="2:23" x14ac:dyDescent="0.35">
      <c r="B2579"/>
      <c r="C2579"/>
      <c r="D2579"/>
      <c r="E2579"/>
      <c r="F2579"/>
      <c r="G2579"/>
      <c r="H2579"/>
      <c r="I2579"/>
      <c r="J2579"/>
      <c r="K2579"/>
      <c r="L2579" s="11"/>
      <c r="M2579"/>
      <c r="N2579" s="3"/>
      <c r="O2579" s="11"/>
      <c r="P2579" s="11"/>
      <c r="Q2579" s="11"/>
      <c r="R2579" s="11"/>
      <c r="S2579" s="11"/>
      <c r="T2579" s="11"/>
      <c r="U2579" s="11"/>
      <c r="V2579" s="11"/>
      <c r="W2579" s="11"/>
    </row>
    <row r="2580" spans="2:23" x14ac:dyDescent="0.35">
      <c r="B2580"/>
      <c r="C2580"/>
      <c r="D2580"/>
      <c r="E2580"/>
      <c r="F2580"/>
      <c r="G2580"/>
      <c r="H2580"/>
      <c r="I2580"/>
      <c r="J2580"/>
      <c r="K2580"/>
      <c r="L2580" s="11"/>
      <c r="M2580"/>
      <c r="N2580" s="3"/>
      <c r="O2580" s="11"/>
      <c r="P2580" s="11"/>
      <c r="Q2580" s="11"/>
      <c r="R2580" s="11"/>
      <c r="S2580" s="11"/>
      <c r="T2580" s="11"/>
      <c r="U2580" s="11"/>
      <c r="V2580" s="11"/>
      <c r="W2580" s="11"/>
    </row>
    <row r="2581" spans="2:23" x14ac:dyDescent="0.35">
      <c r="B2581"/>
      <c r="C2581"/>
      <c r="D2581"/>
      <c r="E2581"/>
      <c r="F2581"/>
      <c r="G2581"/>
      <c r="H2581"/>
      <c r="I2581"/>
      <c r="J2581"/>
      <c r="K2581"/>
      <c r="L2581" s="11"/>
      <c r="M2581"/>
      <c r="N2581" s="3"/>
      <c r="O2581" s="11"/>
      <c r="P2581" s="11"/>
      <c r="Q2581" s="11"/>
      <c r="R2581" s="11"/>
      <c r="S2581" s="11"/>
      <c r="T2581" s="11"/>
      <c r="U2581" s="11"/>
      <c r="V2581" s="11"/>
      <c r="W2581" s="11"/>
    </row>
    <row r="2582" spans="2:23" x14ac:dyDescent="0.35">
      <c r="B2582"/>
      <c r="C2582"/>
      <c r="D2582"/>
      <c r="E2582"/>
      <c r="F2582"/>
      <c r="G2582"/>
      <c r="H2582"/>
      <c r="I2582"/>
      <c r="J2582"/>
      <c r="K2582"/>
      <c r="L2582" s="11"/>
      <c r="M2582"/>
      <c r="N2582" s="3"/>
      <c r="O2582" s="11"/>
      <c r="P2582" s="11"/>
      <c r="Q2582" s="11"/>
      <c r="R2582" s="11"/>
      <c r="S2582" s="11"/>
      <c r="T2582" s="11"/>
      <c r="U2582" s="11"/>
      <c r="V2582" s="11"/>
      <c r="W2582" s="11"/>
    </row>
    <row r="2583" spans="2:23" x14ac:dyDescent="0.35">
      <c r="B2583"/>
      <c r="C2583"/>
      <c r="D2583"/>
      <c r="E2583"/>
      <c r="F2583"/>
      <c r="G2583"/>
      <c r="H2583"/>
      <c r="I2583"/>
      <c r="J2583"/>
      <c r="K2583"/>
      <c r="L2583" s="11"/>
      <c r="M2583"/>
      <c r="N2583" s="3"/>
      <c r="O2583" s="11"/>
      <c r="P2583" s="11"/>
      <c r="Q2583" s="11"/>
      <c r="R2583" s="11"/>
      <c r="S2583" s="11"/>
      <c r="T2583" s="11"/>
      <c r="U2583" s="11"/>
      <c r="V2583" s="11"/>
      <c r="W2583" s="11"/>
    </row>
    <row r="2584" spans="2:23" x14ac:dyDescent="0.35">
      <c r="B2584"/>
      <c r="C2584"/>
      <c r="D2584"/>
      <c r="E2584"/>
      <c r="F2584"/>
      <c r="G2584"/>
      <c r="H2584"/>
      <c r="I2584"/>
      <c r="J2584"/>
      <c r="K2584"/>
      <c r="L2584" s="11"/>
      <c r="M2584"/>
      <c r="N2584" s="3"/>
      <c r="O2584" s="11"/>
      <c r="P2584" s="11"/>
      <c r="Q2584" s="11"/>
      <c r="R2584" s="11"/>
      <c r="S2584" s="11"/>
      <c r="T2584" s="11"/>
      <c r="U2584" s="11"/>
      <c r="V2584" s="11"/>
      <c r="W2584" s="11"/>
    </row>
    <row r="2585" spans="2:23" x14ac:dyDescent="0.35">
      <c r="B2585"/>
      <c r="C2585"/>
      <c r="D2585"/>
      <c r="E2585"/>
      <c r="F2585"/>
      <c r="G2585"/>
      <c r="H2585"/>
      <c r="I2585"/>
      <c r="J2585"/>
      <c r="K2585"/>
      <c r="L2585" s="11"/>
      <c r="M2585"/>
      <c r="N2585" s="3"/>
      <c r="O2585" s="11"/>
      <c r="P2585" s="11"/>
      <c r="Q2585" s="11"/>
      <c r="R2585" s="11"/>
      <c r="S2585" s="11"/>
      <c r="T2585" s="11"/>
      <c r="U2585" s="11"/>
      <c r="V2585" s="11"/>
      <c r="W2585" s="11"/>
    </row>
    <row r="2586" spans="2:23" x14ac:dyDescent="0.35">
      <c r="B2586"/>
      <c r="C2586"/>
      <c r="D2586"/>
      <c r="E2586"/>
      <c r="F2586"/>
      <c r="G2586"/>
      <c r="H2586"/>
      <c r="I2586"/>
      <c r="J2586"/>
      <c r="K2586"/>
      <c r="L2586" s="11"/>
      <c r="M2586"/>
      <c r="N2586" s="3"/>
      <c r="O2586" s="11"/>
      <c r="P2586" s="11"/>
      <c r="Q2586" s="11"/>
      <c r="R2586" s="11"/>
      <c r="S2586" s="11"/>
      <c r="T2586" s="11"/>
      <c r="U2586" s="11"/>
      <c r="V2586" s="11"/>
      <c r="W2586" s="11"/>
    </row>
    <row r="2587" spans="2:23" x14ac:dyDescent="0.35">
      <c r="B2587"/>
      <c r="C2587"/>
      <c r="D2587"/>
      <c r="E2587"/>
      <c r="F2587"/>
      <c r="G2587"/>
      <c r="H2587"/>
      <c r="I2587"/>
      <c r="J2587"/>
      <c r="K2587"/>
      <c r="L2587" s="11"/>
      <c r="M2587"/>
      <c r="N2587" s="3"/>
      <c r="O2587" s="11"/>
      <c r="P2587" s="11"/>
      <c r="Q2587" s="11"/>
      <c r="R2587" s="11"/>
      <c r="S2587" s="11"/>
      <c r="T2587" s="11"/>
      <c r="U2587" s="11"/>
      <c r="V2587" s="11"/>
      <c r="W2587" s="11"/>
    </row>
    <row r="2588" spans="2:23" x14ac:dyDescent="0.35">
      <c r="B2588"/>
      <c r="C2588"/>
      <c r="D2588"/>
      <c r="E2588"/>
      <c r="F2588"/>
      <c r="G2588"/>
      <c r="H2588"/>
      <c r="I2588"/>
      <c r="J2588"/>
      <c r="K2588"/>
      <c r="L2588" s="11"/>
      <c r="M2588"/>
      <c r="N2588" s="3"/>
      <c r="O2588" s="11"/>
      <c r="P2588" s="11"/>
      <c r="Q2588" s="11"/>
      <c r="R2588" s="11"/>
      <c r="S2588" s="11"/>
      <c r="T2588" s="11"/>
      <c r="U2588" s="11"/>
      <c r="V2588" s="11"/>
      <c r="W2588" s="11"/>
    </row>
    <row r="2589" spans="2:23" x14ac:dyDescent="0.35">
      <c r="B2589"/>
      <c r="C2589"/>
      <c r="D2589"/>
      <c r="E2589"/>
      <c r="F2589"/>
      <c r="G2589"/>
      <c r="H2589"/>
      <c r="I2589"/>
      <c r="J2589"/>
      <c r="K2589"/>
      <c r="L2589" s="11"/>
      <c r="M2589"/>
      <c r="N2589" s="3"/>
      <c r="O2589" s="11"/>
      <c r="P2589" s="11"/>
      <c r="Q2589" s="11"/>
      <c r="R2589" s="11"/>
      <c r="S2589" s="11"/>
      <c r="T2589" s="11"/>
      <c r="U2589" s="11"/>
      <c r="V2589" s="11"/>
      <c r="W2589" s="11"/>
    </row>
    <row r="2590" spans="2:23" x14ac:dyDescent="0.35">
      <c r="B2590"/>
      <c r="C2590"/>
      <c r="D2590"/>
      <c r="E2590"/>
      <c r="F2590"/>
      <c r="G2590"/>
      <c r="H2590"/>
      <c r="I2590"/>
      <c r="J2590"/>
      <c r="K2590"/>
      <c r="L2590" s="11"/>
      <c r="M2590"/>
      <c r="N2590" s="3"/>
      <c r="O2590" s="11"/>
      <c r="P2590" s="11"/>
      <c r="Q2590" s="11"/>
      <c r="R2590" s="11"/>
      <c r="S2590" s="11"/>
      <c r="T2590" s="11"/>
      <c r="U2590" s="11"/>
      <c r="V2590" s="11"/>
      <c r="W2590" s="11"/>
    </row>
    <row r="2591" spans="2:23" x14ac:dyDescent="0.35">
      <c r="B2591"/>
      <c r="C2591"/>
      <c r="D2591"/>
      <c r="E2591"/>
      <c r="F2591"/>
      <c r="G2591"/>
      <c r="H2591"/>
      <c r="I2591"/>
      <c r="J2591"/>
      <c r="K2591"/>
      <c r="L2591" s="11"/>
      <c r="M2591"/>
      <c r="N2591" s="3"/>
      <c r="O2591" s="11"/>
      <c r="P2591" s="11"/>
      <c r="Q2591" s="11"/>
      <c r="R2591" s="11"/>
      <c r="S2591" s="11"/>
      <c r="T2591" s="11"/>
      <c r="U2591" s="11"/>
      <c r="V2591" s="11"/>
      <c r="W2591" s="11"/>
    </row>
    <row r="2592" spans="2:23" x14ac:dyDescent="0.35">
      <c r="B2592"/>
      <c r="C2592"/>
      <c r="D2592"/>
      <c r="E2592"/>
      <c r="F2592"/>
      <c r="G2592"/>
      <c r="H2592"/>
      <c r="I2592"/>
      <c r="J2592"/>
      <c r="K2592"/>
      <c r="L2592" s="11"/>
      <c r="M2592"/>
      <c r="N2592" s="3"/>
      <c r="O2592" s="11"/>
      <c r="P2592" s="11"/>
      <c r="Q2592" s="11"/>
      <c r="R2592" s="11"/>
      <c r="S2592" s="11"/>
      <c r="T2592" s="11"/>
      <c r="U2592" s="11"/>
      <c r="V2592" s="11"/>
      <c r="W2592" s="11"/>
    </row>
    <row r="2593" spans="2:23" x14ac:dyDescent="0.35">
      <c r="B2593"/>
      <c r="C2593"/>
      <c r="D2593"/>
      <c r="E2593"/>
      <c r="F2593"/>
      <c r="G2593"/>
      <c r="H2593"/>
      <c r="I2593"/>
      <c r="J2593"/>
      <c r="K2593"/>
      <c r="L2593" s="11"/>
      <c r="M2593"/>
      <c r="N2593" s="3"/>
      <c r="O2593" s="11"/>
      <c r="P2593" s="11"/>
      <c r="Q2593" s="11"/>
      <c r="R2593" s="11"/>
      <c r="S2593" s="11"/>
      <c r="T2593" s="11"/>
      <c r="U2593" s="11"/>
      <c r="V2593" s="11"/>
      <c r="W2593" s="11"/>
    </row>
    <row r="2594" spans="2:23" x14ac:dyDescent="0.35">
      <c r="B2594"/>
      <c r="C2594"/>
      <c r="D2594"/>
      <c r="E2594"/>
      <c r="F2594"/>
      <c r="G2594"/>
      <c r="H2594"/>
      <c r="I2594"/>
      <c r="J2594"/>
      <c r="K2594"/>
      <c r="L2594" s="11"/>
      <c r="M2594"/>
      <c r="N2594" s="3"/>
      <c r="O2594" s="11"/>
      <c r="P2594" s="11"/>
      <c r="Q2594" s="11"/>
      <c r="R2594" s="11"/>
      <c r="S2594" s="11"/>
      <c r="T2594" s="11"/>
      <c r="U2594" s="11"/>
      <c r="V2594" s="11"/>
      <c r="W2594" s="11"/>
    </row>
    <row r="2595" spans="2:23" x14ac:dyDescent="0.35">
      <c r="B2595"/>
      <c r="C2595"/>
      <c r="D2595"/>
      <c r="E2595"/>
      <c r="F2595"/>
      <c r="G2595"/>
      <c r="H2595"/>
      <c r="I2595"/>
      <c r="J2595"/>
      <c r="K2595"/>
      <c r="L2595" s="11"/>
      <c r="M2595"/>
      <c r="N2595" s="3"/>
      <c r="O2595" s="11"/>
      <c r="P2595" s="11"/>
      <c r="Q2595" s="11"/>
      <c r="R2595" s="11"/>
      <c r="S2595" s="11"/>
      <c r="T2595" s="11"/>
      <c r="U2595" s="11"/>
      <c r="V2595" s="11"/>
      <c r="W2595" s="11"/>
    </row>
    <row r="2596" spans="2:23" x14ac:dyDescent="0.35">
      <c r="B2596"/>
      <c r="C2596"/>
      <c r="D2596"/>
      <c r="E2596"/>
      <c r="F2596"/>
      <c r="G2596"/>
      <c r="H2596"/>
      <c r="I2596"/>
      <c r="J2596"/>
      <c r="K2596"/>
      <c r="L2596" s="11"/>
      <c r="M2596"/>
      <c r="N2596" s="3"/>
      <c r="O2596" s="11"/>
      <c r="P2596" s="11"/>
      <c r="Q2596" s="11"/>
      <c r="R2596" s="11"/>
      <c r="S2596" s="11"/>
      <c r="T2596" s="11"/>
      <c r="U2596" s="11"/>
      <c r="V2596" s="11"/>
      <c r="W2596" s="11"/>
    </row>
    <row r="2597" spans="2:23" x14ac:dyDescent="0.35">
      <c r="B2597"/>
      <c r="C2597"/>
      <c r="D2597"/>
      <c r="E2597"/>
      <c r="F2597"/>
      <c r="G2597"/>
      <c r="H2597"/>
      <c r="I2597"/>
      <c r="J2597"/>
      <c r="K2597"/>
      <c r="L2597" s="11"/>
      <c r="M2597"/>
      <c r="N2597" s="3"/>
      <c r="O2597" s="11"/>
      <c r="P2597" s="11"/>
      <c r="Q2597" s="11"/>
      <c r="R2597" s="11"/>
      <c r="S2597" s="11"/>
      <c r="T2597" s="11"/>
      <c r="U2597" s="11"/>
      <c r="V2597" s="11"/>
      <c r="W2597" s="11"/>
    </row>
    <row r="2598" spans="2:23" x14ac:dyDescent="0.35">
      <c r="B2598"/>
      <c r="C2598"/>
      <c r="D2598"/>
      <c r="E2598"/>
      <c r="F2598"/>
      <c r="G2598"/>
      <c r="H2598"/>
      <c r="I2598"/>
      <c r="J2598"/>
      <c r="K2598"/>
      <c r="L2598" s="11"/>
      <c r="M2598"/>
      <c r="N2598" s="3"/>
      <c r="O2598" s="11"/>
      <c r="P2598" s="11"/>
      <c r="Q2598" s="11"/>
      <c r="R2598" s="11"/>
      <c r="S2598" s="11"/>
      <c r="T2598" s="11"/>
      <c r="U2598" s="11"/>
      <c r="V2598" s="11"/>
      <c r="W2598" s="11"/>
    </row>
    <row r="2599" spans="2:23" x14ac:dyDescent="0.35">
      <c r="B2599"/>
      <c r="C2599"/>
      <c r="D2599"/>
      <c r="E2599"/>
      <c r="F2599"/>
      <c r="G2599"/>
      <c r="H2599"/>
      <c r="I2599"/>
      <c r="J2599"/>
      <c r="K2599"/>
      <c r="L2599" s="11"/>
      <c r="M2599"/>
      <c r="N2599" s="3"/>
      <c r="O2599" s="11"/>
      <c r="P2599" s="11"/>
      <c r="Q2599" s="11"/>
      <c r="R2599" s="11"/>
      <c r="S2599" s="11"/>
      <c r="T2599" s="11"/>
      <c r="U2599" s="11"/>
      <c r="V2599" s="11"/>
      <c r="W2599" s="11"/>
    </row>
    <row r="2600" spans="2:23" x14ac:dyDescent="0.35">
      <c r="B2600"/>
      <c r="C2600"/>
      <c r="D2600"/>
      <c r="E2600"/>
      <c r="F2600"/>
      <c r="G2600"/>
      <c r="H2600"/>
      <c r="I2600"/>
      <c r="J2600"/>
      <c r="K2600"/>
      <c r="L2600" s="11"/>
      <c r="M2600"/>
      <c r="N2600" s="3"/>
      <c r="O2600" s="11"/>
      <c r="P2600" s="11"/>
      <c r="Q2600" s="11"/>
      <c r="R2600" s="11"/>
      <c r="S2600" s="11"/>
      <c r="T2600" s="11"/>
      <c r="U2600" s="11"/>
      <c r="V2600" s="11"/>
      <c r="W2600" s="11"/>
    </row>
    <row r="2601" spans="2:23" x14ac:dyDescent="0.35">
      <c r="B2601"/>
      <c r="C2601"/>
      <c r="D2601"/>
      <c r="E2601"/>
      <c r="F2601"/>
      <c r="G2601"/>
      <c r="H2601"/>
      <c r="I2601"/>
      <c r="J2601"/>
      <c r="K2601"/>
      <c r="L2601" s="11"/>
      <c r="M2601"/>
      <c r="N2601" s="3"/>
      <c r="O2601" s="11"/>
      <c r="P2601" s="11"/>
      <c r="Q2601" s="11"/>
      <c r="R2601" s="11"/>
      <c r="S2601" s="11"/>
      <c r="T2601" s="11"/>
      <c r="U2601" s="11"/>
      <c r="V2601" s="11"/>
      <c r="W2601" s="11"/>
    </row>
    <row r="2602" spans="2:23" x14ac:dyDescent="0.35">
      <c r="B2602"/>
      <c r="C2602"/>
      <c r="D2602"/>
      <c r="E2602"/>
      <c r="F2602"/>
      <c r="G2602"/>
      <c r="H2602"/>
      <c r="I2602"/>
      <c r="J2602"/>
      <c r="K2602"/>
      <c r="L2602" s="11"/>
      <c r="M2602"/>
      <c r="N2602" s="3"/>
      <c r="O2602" s="11"/>
      <c r="P2602" s="11"/>
      <c r="Q2602" s="11"/>
      <c r="R2602" s="11"/>
      <c r="S2602" s="11"/>
      <c r="T2602" s="11"/>
      <c r="U2602" s="11"/>
      <c r="V2602" s="11"/>
      <c r="W2602" s="11"/>
    </row>
    <row r="2603" spans="2:23" x14ac:dyDescent="0.35">
      <c r="B2603"/>
      <c r="C2603"/>
      <c r="D2603"/>
      <c r="E2603"/>
      <c r="F2603"/>
      <c r="G2603"/>
      <c r="H2603"/>
      <c r="I2603"/>
      <c r="J2603"/>
      <c r="K2603"/>
      <c r="L2603" s="11"/>
      <c r="M2603"/>
      <c r="N2603" s="3"/>
      <c r="O2603" s="11"/>
      <c r="P2603" s="11"/>
      <c r="Q2603" s="11"/>
      <c r="R2603" s="11"/>
      <c r="S2603" s="11"/>
      <c r="T2603" s="11"/>
      <c r="U2603" s="11"/>
      <c r="V2603" s="11"/>
      <c r="W2603" s="11"/>
    </row>
    <row r="2604" spans="2:23" x14ac:dyDescent="0.35">
      <c r="B2604"/>
      <c r="C2604"/>
      <c r="D2604"/>
      <c r="E2604"/>
      <c r="F2604"/>
      <c r="G2604"/>
      <c r="H2604"/>
      <c r="I2604"/>
      <c r="J2604"/>
      <c r="K2604"/>
      <c r="L2604" s="11"/>
      <c r="M2604"/>
      <c r="N2604" s="3"/>
      <c r="O2604" s="11"/>
      <c r="P2604" s="11"/>
      <c r="Q2604" s="11"/>
      <c r="R2604" s="11"/>
      <c r="S2604" s="11"/>
      <c r="T2604" s="11"/>
      <c r="U2604" s="11"/>
      <c r="V2604" s="11"/>
      <c r="W2604" s="11"/>
    </row>
    <row r="2605" spans="2:23" x14ac:dyDescent="0.35">
      <c r="B2605"/>
      <c r="C2605"/>
      <c r="D2605"/>
      <c r="E2605"/>
      <c r="F2605"/>
      <c r="G2605"/>
      <c r="H2605"/>
      <c r="I2605"/>
      <c r="J2605"/>
      <c r="K2605"/>
      <c r="L2605" s="11"/>
      <c r="M2605"/>
      <c r="N2605" s="3"/>
      <c r="O2605" s="11"/>
      <c r="P2605" s="11"/>
      <c r="Q2605" s="11"/>
      <c r="R2605" s="11"/>
      <c r="S2605" s="11"/>
      <c r="T2605" s="11"/>
      <c r="U2605" s="11"/>
      <c r="V2605" s="11"/>
      <c r="W2605" s="11"/>
    </row>
    <row r="2606" spans="2:23" x14ac:dyDescent="0.35">
      <c r="B2606"/>
      <c r="C2606"/>
      <c r="D2606"/>
      <c r="E2606"/>
      <c r="F2606"/>
      <c r="G2606"/>
      <c r="H2606"/>
      <c r="I2606"/>
      <c r="J2606"/>
      <c r="K2606"/>
      <c r="L2606" s="11"/>
      <c r="M2606"/>
      <c r="N2606" s="3"/>
      <c r="O2606" s="11"/>
      <c r="P2606" s="11"/>
      <c r="Q2606" s="11"/>
      <c r="R2606" s="11"/>
      <c r="S2606" s="11"/>
      <c r="T2606" s="11"/>
      <c r="U2606" s="11"/>
      <c r="V2606" s="11"/>
      <c r="W2606" s="11"/>
    </row>
    <row r="2607" spans="2:23" x14ac:dyDescent="0.35">
      <c r="B2607"/>
      <c r="C2607"/>
      <c r="D2607"/>
      <c r="E2607"/>
      <c r="F2607"/>
      <c r="G2607"/>
      <c r="H2607"/>
      <c r="I2607"/>
      <c r="J2607"/>
      <c r="K2607"/>
      <c r="L2607" s="11"/>
      <c r="M2607"/>
      <c r="N2607" s="3"/>
      <c r="O2607" s="11"/>
      <c r="P2607" s="11"/>
      <c r="Q2607" s="11"/>
      <c r="R2607" s="11"/>
      <c r="S2607" s="11"/>
      <c r="T2607" s="11"/>
      <c r="U2607" s="11"/>
      <c r="V2607" s="11"/>
      <c r="W2607" s="11"/>
    </row>
    <row r="2608" spans="2:23" x14ac:dyDescent="0.35">
      <c r="B2608"/>
      <c r="C2608"/>
      <c r="D2608"/>
      <c r="E2608"/>
      <c r="F2608"/>
      <c r="G2608"/>
      <c r="H2608"/>
      <c r="I2608"/>
      <c r="J2608"/>
      <c r="K2608"/>
      <c r="L2608" s="11"/>
      <c r="M2608"/>
      <c r="N2608" s="3"/>
      <c r="O2608" s="11"/>
      <c r="P2608" s="11"/>
      <c r="Q2608" s="11"/>
      <c r="R2608" s="11"/>
      <c r="S2608" s="11"/>
      <c r="T2608" s="11"/>
      <c r="U2608" s="11"/>
      <c r="V2608" s="11"/>
      <c r="W2608" s="11"/>
    </row>
    <row r="2609" spans="2:23" x14ac:dyDescent="0.35">
      <c r="B2609"/>
      <c r="C2609"/>
      <c r="D2609"/>
      <c r="E2609"/>
      <c r="F2609"/>
      <c r="G2609"/>
      <c r="H2609"/>
      <c r="I2609"/>
      <c r="J2609"/>
      <c r="K2609"/>
      <c r="L2609" s="11"/>
      <c r="M2609"/>
      <c r="N2609" s="3"/>
      <c r="O2609" s="11"/>
      <c r="P2609" s="11"/>
      <c r="Q2609" s="11"/>
      <c r="R2609" s="11"/>
      <c r="S2609" s="11"/>
      <c r="T2609" s="11"/>
      <c r="U2609" s="11"/>
      <c r="V2609" s="11"/>
      <c r="W2609" s="11"/>
    </row>
    <row r="2610" spans="2:23" x14ac:dyDescent="0.35">
      <c r="B2610"/>
      <c r="C2610"/>
      <c r="D2610"/>
      <c r="E2610"/>
      <c r="F2610"/>
      <c r="G2610"/>
      <c r="H2610"/>
      <c r="I2610"/>
      <c r="J2610"/>
      <c r="K2610"/>
      <c r="L2610" s="11"/>
      <c r="M2610"/>
      <c r="N2610" s="3"/>
      <c r="O2610" s="11"/>
      <c r="P2610" s="11"/>
      <c r="Q2610" s="11"/>
      <c r="R2610" s="11"/>
      <c r="S2610" s="11"/>
      <c r="T2610" s="11"/>
      <c r="U2610" s="11"/>
      <c r="V2610" s="11"/>
      <c r="W2610" s="11"/>
    </row>
    <row r="2611" spans="2:23" x14ac:dyDescent="0.35">
      <c r="B2611"/>
      <c r="C2611"/>
      <c r="D2611"/>
      <c r="E2611"/>
      <c r="F2611"/>
      <c r="G2611"/>
      <c r="H2611"/>
      <c r="I2611"/>
      <c r="J2611"/>
      <c r="K2611"/>
      <c r="L2611" s="11"/>
      <c r="M2611"/>
      <c r="N2611" s="3"/>
      <c r="O2611" s="11"/>
      <c r="P2611" s="11"/>
      <c r="Q2611" s="11"/>
      <c r="R2611" s="11"/>
      <c r="S2611" s="11"/>
      <c r="T2611" s="11"/>
      <c r="U2611" s="11"/>
      <c r="V2611" s="11"/>
      <c r="W2611" s="11"/>
    </row>
    <row r="2612" spans="2:23" x14ac:dyDescent="0.35">
      <c r="B2612"/>
      <c r="C2612"/>
      <c r="D2612"/>
      <c r="E2612"/>
      <c r="F2612"/>
      <c r="G2612"/>
      <c r="H2612"/>
      <c r="I2612"/>
      <c r="J2612"/>
      <c r="K2612"/>
      <c r="L2612" s="11"/>
      <c r="M2612"/>
      <c r="N2612" s="3"/>
      <c r="O2612" s="11"/>
      <c r="P2612" s="11"/>
      <c r="Q2612" s="11"/>
      <c r="R2612" s="11"/>
      <c r="S2612" s="11"/>
      <c r="T2612" s="11"/>
      <c r="U2612" s="11"/>
      <c r="V2612" s="11"/>
      <c r="W2612" s="11"/>
    </row>
    <row r="2613" spans="2:23" x14ac:dyDescent="0.35">
      <c r="B2613"/>
      <c r="C2613"/>
      <c r="D2613"/>
      <c r="E2613"/>
      <c r="F2613"/>
      <c r="G2613"/>
      <c r="H2613"/>
      <c r="I2613"/>
      <c r="J2613"/>
      <c r="K2613"/>
      <c r="L2613" s="11"/>
      <c r="M2613"/>
      <c r="N2613" s="3"/>
      <c r="O2613" s="11"/>
      <c r="P2613" s="11"/>
      <c r="Q2613" s="11"/>
      <c r="R2613" s="11"/>
      <c r="S2613" s="11"/>
      <c r="T2613" s="11"/>
      <c r="U2613" s="11"/>
      <c r="V2613" s="11"/>
      <c r="W2613" s="11"/>
    </row>
    <row r="2614" spans="2:23" x14ac:dyDescent="0.35">
      <c r="B2614"/>
      <c r="C2614"/>
      <c r="D2614"/>
      <c r="E2614"/>
      <c r="F2614"/>
      <c r="G2614"/>
      <c r="H2614"/>
      <c r="I2614"/>
      <c r="J2614"/>
      <c r="K2614"/>
      <c r="L2614" s="11"/>
      <c r="M2614"/>
      <c r="N2614" s="3"/>
      <c r="O2614" s="11"/>
      <c r="P2614" s="11"/>
      <c r="Q2614" s="11"/>
      <c r="R2614" s="11"/>
      <c r="S2614" s="11"/>
      <c r="T2614" s="11"/>
      <c r="U2614" s="11"/>
      <c r="V2614" s="11"/>
      <c r="W2614" s="11"/>
    </row>
    <row r="2615" spans="2:23" x14ac:dyDescent="0.35">
      <c r="B2615"/>
      <c r="C2615"/>
      <c r="D2615"/>
      <c r="E2615"/>
      <c r="F2615"/>
      <c r="G2615"/>
      <c r="H2615"/>
      <c r="I2615"/>
      <c r="J2615"/>
      <c r="K2615"/>
      <c r="L2615" s="11"/>
      <c r="M2615"/>
      <c r="N2615" s="3"/>
      <c r="O2615" s="11"/>
      <c r="P2615" s="11"/>
      <c r="Q2615" s="11"/>
      <c r="R2615" s="11"/>
      <c r="S2615" s="11"/>
      <c r="T2615" s="11"/>
      <c r="U2615" s="11"/>
      <c r="V2615" s="11"/>
      <c r="W2615" s="11"/>
    </row>
    <row r="2616" spans="2:23" x14ac:dyDescent="0.35">
      <c r="B2616"/>
      <c r="C2616"/>
      <c r="D2616"/>
      <c r="E2616"/>
      <c r="F2616"/>
      <c r="G2616"/>
      <c r="H2616"/>
      <c r="I2616"/>
      <c r="J2616"/>
      <c r="K2616"/>
      <c r="L2616" s="11"/>
      <c r="M2616"/>
      <c r="N2616" s="3"/>
      <c r="O2616" s="11"/>
      <c r="P2616" s="11"/>
      <c r="Q2616" s="11"/>
      <c r="R2616" s="11"/>
      <c r="S2616" s="11"/>
      <c r="T2616" s="11"/>
      <c r="U2616" s="11"/>
      <c r="V2616" s="11"/>
      <c r="W2616" s="11"/>
    </row>
    <row r="2617" spans="2:23" x14ac:dyDescent="0.35">
      <c r="B2617"/>
      <c r="C2617"/>
      <c r="D2617"/>
      <c r="E2617"/>
      <c r="F2617"/>
      <c r="G2617"/>
      <c r="H2617"/>
      <c r="I2617"/>
      <c r="J2617"/>
      <c r="K2617"/>
      <c r="L2617" s="11"/>
      <c r="M2617"/>
      <c r="N2617" s="3"/>
      <c r="O2617" s="11"/>
      <c r="P2617" s="11"/>
      <c r="Q2617" s="11"/>
      <c r="R2617" s="11"/>
      <c r="S2617" s="11"/>
      <c r="T2617" s="11"/>
      <c r="U2617" s="11"/>
      <c r="V2617" s="11"/>
      <c r="W2617" s="11"/>
    </row>
    <row r="2618" spans="2:23" x14ac:dyDescent="0.35">
      <c r="B2618"/>
      <c r="C2618"/>
      <c r="D2618"/>
      <c r="E2618"/>
      <c r="F2618"/>
      <c r="G2618"/>
      <c r="H2618"/>
      <c r="I2618"/>
      <c r="J2618"/>
      <c r="K2618"/>
      <c r="L2618" s="11"/>
      <c r="M2618"/>
      <c r="N2618" s="3"/>
      <c r="O2618" s="11"/>
      <c r="P2618" s="11"/>
      <c r="Q2618" s="11"/>
      <c r="R2618" s="11"/>
      <c r="S2618" s="11"/>
      <c r="T2618" s="11"/>
      <c r="U2618" s="11"/>
      <c r="V2618" s="11"/>
      <c r="W2618" s="11"/>
    </row>
    <row r="2619" spans="2:23" x14ac:dyDescent="0.35">
      <c r="B2619"/>
      <c r="C2619"/>
      <c r="D2619"/>
      <c r="E2619"/>
      <c r="F2619"/>
      <c r="G2619"/>
      <c r="H2619"/>
      <c r="I2619"/>
      <c r="J2619"/>
      <c r="K2619"/>
      <c r="L2619" s="11"/>
      <c r="M2619"/>
      <c r="N2619" s="3"/>
      <c r="O2619" s="11"/>
      <c r="P2619" s="11"/>
      <c r="Q2619" s="11"/>
      <c r="R2619" s="11"/>
      <c r="S2619" s="11"/>
      <c r="T2619" s="11"/>
      <c r="U2619" s="11"/>
      <c r="V2619" s="11"/>
      <c r="W2619" s="11"/>
    </row>
    <row r="2620" spans="2:23" x14ac:dyDescent="0.35">
      <c r="B2620"/>
      <c r="C2620"/>
      <c r="D2620"/>
      <c r="E2620"/>
      <c r="F2620"/>
      <c r="G2620"/>
      <c r="H2620"/>
      <c r="I2620"/>
      <c r="J2620"/>
      <c r="K2620"/>
      <c r="L2620" s="11"/>
      <c r="M2620"/>
      <c r="N2620" s="3"/>
      <c r="O2620" s="11"/>
      <c r="P2620" s="11"/>
      <c r="Q2620" s="11"/>
      <c r="R2620" s="11"/>
      <c r="S2620" s="11"/>
      <c r="T2620" s="11"/>
      <c r="U2620" s="11"/>
      <c r="V2620" s="11"/>
      <c r="W2620" s="11"/>
    </row>
    <row r="2621" spans="2:23" x14ac:dyDescent="0.35">
      <c r="B2621"/>
      <c r="C2621"/>
      <c r="D2621"/>
      <c r="E2621"/>
      <c r="F2621"/>
      <c r="G2621"/>
      <c r="H2621"/>
      <c r="I2621"/>
      <c r="J2621"/>
      <c r="K2621"/>
      <c r="L2621" s="11"/>
      <c r="M2621"/>
      <c r="N2621" s="3"/>
      <c r="O2621" s="11"/>
      <c r="P2621" s="11"/>
      <c r="Q2621" s="11"/>
      <c r="R2621" s="11"/>
      <c r="S2621" s="11"/>
      <c r="T2621" s="11"/>
      <c r="U2621" s="11"/>
      <c r="V2621" s="11"/>
      <c r="W2621" s="11"/>
    </row>
    <row r="2622" spans="2:23" x14ac:dyDescent="0.35">
      <c r="B2622"/>
      <c r="C2622"/>
      <c r="D2622"/>
      <c r="E2622"/>
      <c r="F2622"/>
      <c r="G2622"/>
      <c r="H2622"/>
      <c r="I2622"/>
      <c r="J2622"/>
      <c r="K2622"/>
      <c r="L2622" s="11"/>
      <c r="M2622"/>
      <c r="N2622" s="3"/>
      <c r="O2622" s="11"/>
      <c r="P2622" s="11"/>
      <c r="Q2622" s="11"/>
      <c r="R2622" s="11"/>
      <c r="S2622" s="11"/>
      <c r="T2622" s="11"/>
      <c r="U2622" s="11"/>
      <c r="V2622" s="11"/>
      <c r="W2622" s="11"/>
    </row>
    <row r="2623" spans="2:23" x14ac:dyDescent="0.35">
      <c r="B2623"/>
      <c r="C2623"/>
      <c r="D2623"/>
      <c r="E2623"/>
      <c r="F2623"/>
      <c r="G2623"/>
      <c r="H2623"/>
      <c r="I2623"/>
      <c r="J2623"/>
      <c r="K2623"/>
      <c r="L2623" s="11"/>
      <c r="M2623"/>
      <c r="N2623" s="3"/>
      <c r="O2623" s="11"/>
      <c r="P2623" s="11"/>
      <c r="Q2623" s="11"/>
      <c r="R2623" s="11"/>
      <c r="S2623" s="11"/>
      <c r="T2623" s="11"/>
      <c r="U2623" s="11"/>
      <c r="V2623" s="11"/>
      <c r="W2623" s="11"/>
    </row>
    <row r="2624" spans="2:23" x14ac:dyDescent="0.35">
      <c r="B2624"/>
      <c r="C2624"/>
      <c r="D2624"/>
      <c r="E2624"/>
      <c r="F2624"/>
      <c r="G2624"/>
      <c r="H2624"/>
      <c r="I2624"/>
      <c r="J2624"/>
      <c r="K2624"/>
      <c r="L2624" s="11"/>
      <c r="M2624"/>
      <c r="N2624" s="3"/>
      <c r="O2624" s="11"/>
      <c r="P2624" s="11"/>
      <c r="Q2624" s="11"/>
      <c r="R2624" s="11"/>
      <c r="S2624" s="11"/>
      <c r="T2624" s="11"/>
      <c r="U2624" s="11"/>
      <c r="V2624" s="11"/>
      <c r="W2624" s="11"/>
    </row>
    <row r="2625" spans="2:23" x14ac:dyDescent="0.35">
      <c r="B2625"/>
      <c r="C2625"/>
      <c r="D2625"/>
      <c r="E2625"/>
      <c r="F2625"/>
      <c r="G2625"/>
      <c r="H2625"/>
      <c r="I2625"/>
      <c r="J2625"/>
      <c r="K2625"/>
      <c r="L2625" s="11"/>
      <c r="M2625"/>
      <c r="N2625" s="3"/>
      <c r="O2625" s="11"/>
      <c r="P2625" s="11"/>
      <c r="Q2625" s="11"/>
      <c r="R2625" s="11"/>
      <c r="S2625" s="11"/>
      <c r="T2625" s="11"/>
      <c r="U2625" s="11"/>
      <c r="V2625" s="11"/>
      <c r="W2625" s="11"/>
    </row>
    <row r="2626" spans="2:23" x14ac:dyDescent="0.35">
      <c r="B2626"/>
      <c r="C2626"/>
      <c r="D2626"/>
      <c r="E2626"/>
      <c r="F2626"/>
      <c r="G2626"/>
      <c r="H2626"/>
      <c r="I2626"/>
      <c r="J2626"/>
      <c r="K2626"/>
      <c r="L2626" s="11"/>
      <c r="M2626"/>
      <c r="N2626" s="3"/>
      <c r="O2626" s="11"/>
      <c r="P2626" s="11"/>
      <c r="Q2626" s="11"/>
      <c r="R2626" s="11"/>
      <c r="S2626" s="11"/>
      <c r="T2626" s="11"/>
      <c r="U2626" s="11"/>
      <c r="V2626" s="11"/>
      <c r="W2626" s="11"/>
    </row>
    <row r="2627" spans="2:23" x14ac:dyDescent="0.35">
      <c r="B2627"/>
      <c r="C2627"/>
      <c r="D2627"/>
      <c r="E2627"/>
      <c r="F2627"/>
      <c r="G2627"/>
      <c r="H2627"/>
      <c r="I2627"/>
      <c r="J2627"/>
      <c r="K2627"/>
      <c r="L2627" s="11"/>
      <c r="M2627"/>
      <c r="N2627" s="3"/>
      <c r="O2627" s="11"/>
      <c r="P2627" s="11"/>
      <c r="Q2627" s="11"/>
      <c r="R2627" s="11"/>
      <c r="S2627" s="11"/>
      <c r="T2627" s="11"/>
      <c r="U2627" s="11"/>
      <c r="V2627" s="11"/>
      <c r="W2627" s="11"/>
    </row>
    <row r="2628" spans="2:23" x14ac:dyDescent="0.35">
      <c r="B2628"/>
      <c r="C2628"/>
      <c r="D2628"/>
      <c r="E2628"/>
      <c r="F2628"/>
      <c r="G2628"/>
      <c r="H2628"/>
      <c r="I2628"/>
      <c r="J2628"/>
      <c r="K2628"/>
      <c r="L2628" s="11"/>
      <c r="M2628"/>
      <c r="N2628" s="3"/>
      <c r="O2628" s="11"/>
      <c r="P2628" s="11"/>
      <c r="Q2628" s="11"/>
      <c r="R2628" s="11"/>
      <c r="S2628" s="11"/>
      <c r="T2628" s="11"/>
      <c r="U2628" s="11"/>
      <c r="V2628" s="11"/>
      <c r="W2628" s="11"/>
    </row>
    <row r="2629" spans="2:23" x14ac:dyDescent="0.35">
      <c r="B2629"/>
      <c r="C2629"/>
      <c r="D2629"/>
      <c r="E2629"/>
      <c r="F2629"/>
      <c r="G2629"/>
      <c r="H2629"/>
      <c r="I2629"/>
      <c r="J2629"/>
      <c r="K2629"/>
      <c r="L2629" s="11"/>
      <c r="M2629"/>
      <c r="N2629" s="3"/>
      <c r="O2629" s="11"/>
      <c r="P2629" s="11"/>
      <c r="Q2629" s="11"/>
      <c r="R2629" s="11"/>
      <c r="S2629" s="11"/>
      <c r="T2629" s="11"/>
      <c r="U2629" s="11"/>
      <c r="V2629" s="11"/>
      <c r="W2629" s="11"/>
    </row>
    <row r="2630" spans="2:23" x14ac:dyDescent="0.35">
      <c r="B2630"/>
      <c r="C2630"/>
      <c r="D2630"/>
      <c r="E2630"/>
      <c r="F2630"/>
      <c r="G2630"/>
      <c r="H2630"/>
      <c r="I2630"/>
      <c r="J2630"/>
      <c r="K2630"/>
      <c r="L2630" s="11"/>
      <c r="M2630"/>
      <c r="N2630" s="3"/>
      <c r="O2630" s="11"/>
      <c r="P2630" s="11"/>
      <c r="Q2630" s="11"/>
      <c r="R2630" s="11"/>
      <c r="S2630" s="11"/>
      <c r="T2630" s="11"/>
      <c r="U2630" s="11"/>
      <c r="V2630" s="11"/>
      <c r="W2630" s="11"/>
    </row>
    <row r="2631" spans="2:23" x14ac:dyDescent="0.35">
      <c r="B2631"/>
      <c r="C2631"/>
      <c r="D2631"/>
      <c r="E2631"/>
      <c r="F2631"/>
      <c r="G2631"/>
      <c r="H2631"/>
      <c r="I2631"/>
      <c r="J2631"/>
      <c r="K2631"/>
      <c r="L2631" s="11"/>
      <c r="M2631"/>
      <c r="N2631" s="3"/>
      <c r="O2631" s="11"/>
      <c r="P2631" s="11"/>
      <c r="Q2631" s="11"/>
      <c r="R2631" s="11"/>
      <c r="S2631" s="11"/>
      <c r="T2631" s="11"/>
      <c r="U2631" s="11"/>
      <c r="V2631" s="11"/>
      <c r="W2631" s="11"/>
    </row>
    <row r="2632" spans="2:23" x14ac:dyDescent="0.35">
      <c r="B2632"/>
      <c r="C2632"/>
      <c r="D2632"/>
      <c r="E2632"/>
      <c r="F2632"/>
      <c r="G2632"/>
      <c r="H2632"/>
      <c r="I2632"/>
      <c r="J2632"/>
      <c r="K2632"/>
      <c r="L2632" s="11"/>
      <c r="M2632"/>
      <c r="N2632" s="3"/>
      <c r="O2632" s="11"/>
      <c r="P2632" s="11"/>
      <c r="Q2632" s="11"/>
      <c r="R2632" s="11"/>
      <c r="S2632" s="11"/>
      <c r="T2632" s="11"/>
      <c r="U2632" s="11"/>
      <c r="V2632" s="11"/>
      <c r="W2632" s="11"/>
    </row>
    <row r="2633" spans="2:23" x14ac:dyDescent="0.35">
      <c r="B2633"/>
      <c r="C2633"/>
      <c r="D2633"/>
      <c r="E2633"/>
      <c r="F2633"/>
      <c r="G2633"/>
      <c r="H2633"/>
      <c r="I2633"/>
      <c r="J2633"/>
      <c r="K2633"/>
      <c r="L2633" s="11"/>
      <c r="M2633"/>
      <c r="N2633" s="3"/>
      <c r="O2633" s="11"/>
      <c r="P2633" s="11"/>
      <c r="Q2633" s="11"/>
      <c r="R2633" s="11"/>
      <c r="S2633" s="11"/>
      <c r="T2633" s="11"/>
      <c r="U2633" s="11"/>
      <c r="V2633" s="11"/>
      <c r="W2633" s="11"/>
    </row>
    <row r="2634" spans="2:23" x14ac:dyDescent="0.35">
      <c r="B2634"/>
      <c r="C2634"/>
      <c r="D2634"/>
      <c r="E2634"/>
      <c r="F2634"/>
      <c r="G2634"/>
      <c r="H2634"/>
      <c r="I2634"/>
      <c r="J2634"/>
      <c r="K2634"/>
      <c r="L2634" s="11"/>
      <c r="M2634"/>
      <c r="N2634" s="3"/>
      <c r="O2634" s="11"/>
      <c r="P2634" s="11"/>
      <c r="Q2634" s="11"/>
      <c r="R2634" s="11"/>
      <c r="S2634" s="11"/>
      <c r="T2634" s="11"/>
      <c r="U2634" s="11"/>
      <c r="V2634" s="11"/>
      <c r="W2634" s="11"/>
    </row>
    <row r="2635" spans="2:23" x14ac:dyDescent="0.35">
      <c r="B2635"/>
      <c r="C2635"/>
      <c r="D2635"/>
      <c r="E2635"/>
      <c r="F2635"/>
      <c r="G2635"/>
      <c r="H2635"/>
      <c r="I2635"/>
      <c r="J2635"/>
      <c r="K2635"/>
      <c r="L2635" s="11"/>
      <c r="M2635"/>
      <c r="N2635" s="3"/>
      <c r="O2635" s="11"/>
      <c r="P2635" s="11"/>
      <c r="Q2635" s="11"/>
      <c r="R2635" s="11"/>
      <c r="S2635" s="11"/>
      <c r="T2635" s="11"/>
      <c r="U2635" s="11"/>
      <c r="V2635" s="11"/>
      <c r="W2635" s="11"/>
    </row>
    <row r="2636" spans="2:23" x14ac:dyDescent="0.35">
      <c r="B2636"/>
      <c r="C2636"/>
      <c r="D2636"/>
      <c r="E2636"/>
      <c r="F2636"/>
      <c r="G2636"/>
      <c r="H2636"/>
      <c r="I2636"/>
      <c r="J2636"/>
      <c r="K2636"/>
      <c r="L2636" s="11"/>
      <c r="M2636"/>
      <c r="N2636" s="3"/>
      <c r="O2636" s="11"/>
      <c r="P2636" s="11"/>
      <c r="Q2636" s="11"/>
      <c r="R2636" s="11"/>
      <c r="S2636" s="11"/>
      <c r="T2636" s="11"/>
      <c r="U2636" s="11"/>
      <c r="V2636" s="11"/>
      <c r="W2636" s="11"/>
    </row>
    <row r="2637" spans="2:23" x14ac:dyDescent="0.35">
      <c r="B2637"/>
      <c r="C2637"/>
      <c r="D2637"/>
      <c r="E2637"/>
      <c r="F2637"/>
      <c r="G2637"/>
      <c r="H2637"/>
      <c r="I2637"/>
      <c r="J2637"/>
      <c r="K2637"/>
      <c r="L2637" s="11"/>
      <c r="M2637"/>
      <c r="N2637" s="3"/>
      <c r="O2637" s="11"/>
      <c r="P2637" s="11"/>
      <c r="Q2637" s="11"/>
      <c r="R2637" s="11"/>
      <c r="S2637" s="11"/>
      <c r="T2637" s="11"/>
      <c r="U2637" s="11"/>
      <c r="V2637" s="11"/>
      <c r="W2637" s="11"/>
    </row>
    <row r="2638" spans="2:23" x14ac:dyDescent="0.35">
      <c r="B2638"/>
      <c r="C2638"/>
      <c r="D2638"/>
      <c r="E2638"/>
      <c r="F2638"/>
      <c r="G2638"/>
      <c r="H2638"/>
      <c r="I2638"/>
      <c r="J2638"/>
      <c r="K2638"/>
      <c r="L2638" s="11"/>
      <c r="M2638"/>
      <c r="N2638" s="3"/>
      <c r="O2638" s="11"/>
      <c r="P2638" s="11"/>
      <c r="Q2638" s="11"/>
      <c r="R2638" s="11"/>
      <c r="S2638" s="11"/>
      <c r="T2638" s="11"/>
      <c r="U2638" s="11"/>
      <c r="V2638" s="11"/>
      <c r="W2638" s="11"/>
    </row>
    <row r="2639" spans="2:23" x14ac:dyDescent="0.35">
      <c r="B2639"/>
      <c r="C2639"/>
      <c r="D2639"/>
      <c r="E2639"/>
      <c r="F2639"/>
      <c r="G2639"/>
      <c r="H2639"/>
      <c r="I2639"/>
      <c r="J2639"/>
      <c r="K2639"/>
      <c r="L2639" s="11"/>
      <c r="M2639"/>
      <c r="N2639" s="3"/>
      <c r="O2639" s="11"/>
      <c r="P2639" s="11"/>
      <c r="Q2639" s="11"/>
      <c r="R2639" s="11"/>
      <c r="S2639" s="11"/>
      <c r="T2639" s="11"/>
      <c r="U2639" s="11"/>
      <c r="V2639" s="11"/>
      <c r="W2639" s="11"/>
    </row>
    <row r="2640" spans="2:23" x14ac:dyDescent="0.35">
      <c r="B2640"/>
      <c r="C2640"/>
      <c r="D2640"/>
      <c r="E2640"/>
      <c r="F2640"/>
      <c r="G2640"/>
      <c r="H2640"/>
      <c r="I2640"/>
      <c r="J2640"/>
      <c r="K2640"/>
      <c r="L2640" s="11"/>
      <c r="M2640"/>
      <c r="N2640" s="3"/>
      <c r="O2640" s="11"/>
      <c r="P2640" s="11"/>
      <c r="Q2640" s="11"/>
      <c r="R2640" s="11"/>
      <c r="S2640" s="11"/>
      <c r="T2640" s="11"/>
      <c r="U2640" s="11"/>
      <c r="V2640" s="11"/>
      <c r="W2640" s="11"/>
    </row>
    <row r="2641" spans="2:23" x14ac:dyDescent="0.35">
      <c r="B2641"/>
      <c r="C2641"/>
      <c r="D2641"/>
      <c r="E2641"/>
      <c r="F2641"/>
      <c r="G2641"/>
      <c r="H2641"/>
      <c r="I2641"/>
      <c r="J2641"/>
      <c r="K2641"/>
      <c r="L2641" s="11"/>
      <c r="M2641"/>
      <c r="N2641" s="3"/>
      <c r="O2641" s="11"/>
      <c r="P2641" s="11"/>
      <c r="Q2641" s="11"/>
      <c r="R2641" s="11"/>
      <c r="S2641" s="11"/>
      <c r="T2641" s="11"/>
      <c r="U2641" s="11"/>
      <c r="V2641" s="11"/>
      <c r="W2641" s="11"/>
    </row>
    <row r="2642" spans="2:23" x14ac:dyDescent="0.35">
      <c r="B2642"/>
      <c r="C2642"/>
      <c r="D2642"/>
      <c r="E2642"/>
      <c r="F2642"/>
      <c r="G2642"/>
      <c r="H2642"/>
      <c r="I2642"/>
      <c r="J2642"/>
      <c r="K2642"/>
      <c r="L2642" s="11"/>
      <c r="M2642"/>
      <c r="N2642" s="3"/>
      <c r="O2642" s="11"/>
      <c r="P2642" s="11"/>
      <c r="Q2642" s="11"/>
      <c r="R2642" s="11"/>
      <c r="S2642" s="11"/>
      <c r="T2642" s="11"/>
      <c r="U2642" s="11"/>
      <c r="V2642" s="11"/>
      <c r="W2642" s="11"/>
    </row>
    <row r="2643" spans="2:23" x14ac:dyDescent="0.35">
      <c r="B2643"/>
      <c r="C2643"/>
      <c r="D2643"/>
      <c r="E2643"/>
      <c r="F2643"/>
      <c r="G2643"/>
      <c r="H2643"/>
      <c r="I2643"/>
      <c r="J2643"/>
      <c r="K2643"/>
      <c r="L2643" s="11"/>
      <c r="M2643"/>
      <c r="N2643" s="3"/>
      <c r="O2643" s="11"/>
      <c r="P2643" s="11"/>
      <c r="Q2643" s="11"/>
      <c r="R2643" s="11"/>
      <c r="S2643" s="11"/>
      <c r="T2643" s="11"/>
      <c r="U2643" s="11"/>
      <c r="V2643" s="11"/>
      <c r="W2643" s="11"/>
    </row>
    <row r="2644" spans="2:23" x14ac:dyDescent="0.35">
      <c r="B2644"/>
      <c r="C2644"/>
      <c r="D2644"/>
      <c r="E2644"/>
      <c r="F2644"/>
      <c r="G2644"/>
      <c r="H2644"/>
      <c r="I2644"/>
      <c r="J2644"/>
      <c r="K2644"/>
      <c r="L2644" s="11"/>
      <c r="M2644"/>
      <c r="N2644" s="3"/>
      <c r="O2644" s="11"/>
      <c r="P2644" s="11"/>
      <c r="Q2644" s="11"/>
      <c r="R2644" s="11"/>
      <c r="S2644" s="11"/>
      <c r="T2644" s="11"/>
      <c r="U2644" s="11"/>
      <c r="V2644" s="11"/>
      <c r="W2644" s="11"/>
    </row>
    <row r="2645" spans="2:23" x14ac:dyDescent="0.35">
      <c r="B2645"/>
      <c r="C2645"/>
      <c r="D2645"/>
      <c r="E2645"/>
      <c r="F2645"/>
      <c r="G2645"/>
      <c r="H2645"/>
      <c r="I2645"/>
      <c r="J2645"/>
      <c r="K2645"/>
      <c r="L2645" s="11"/>
      <c r="M2645"/>
      <c r="N2645" s="3"/>
      <c r="O2645" s="11"/>
      <c r="P2645" s="11"/>
      <c r="Q2645" s="11"/>
      <c r="R2645" s="11"/>
      <c r="S2645" s="11"/>
      <c r="T2645" s="11"/>
      <c r="U2645" s="11"/>
      <c r="V2645" s="11"/>
      <c r="W2645" s="11"/>
    </row>
    <row r="2646" spans="2:23" x14ac:dyDescent="0.35">
      <c r="B2646"/>
      <c r="C2646"/>
      <c r="D2646"/>
      <c r="E2646"/>
      <c r="F2646"/>
      <c r="G2646"/>
      <c r="H2646"/>
      <c r="I2646"/>
      <c r="J2646"/>
      <c r="K2646"/>
      <c r="L2646" s="11"/>
      <c r="M2646"/>
      <c r="N2646" s="3"/>
      <c r="O2646" s="11"/>
      <c r="P2646" s="11"/>
      <c r="Q2646" s="11"/>
      <c r="R2646" s="11"/>
      <c r="S2646" s="11"/>
      <c r="T2646" s="11"/>
      <c r="U2646" s="11"/>
      <c r="V2646" s="11"/>
      <c r="W2646" s="11"/>
    </row>
    <row r="2647" spans="2:23" x14ac:dyDescent="0.35">
      <c r="B2647"/>
      <c r="C2647"/>
      <c r="D2647"/>
      <c r="E2647"/>
      <c r="F2647"/>
      <c r="G2647"/>
      <c r="H2647"/>
      <c r="I2647"/>
      <c r="J2647"/>
      <c r="K2647"/>
      <c r="L2647" s="11"/>
      <c r="M2647"/>
      <c r="N2647" s="3"/>
      <c r="O2647" s="11"/>
      <c r="P2647" s="11"/>
      <c r="Q2647" s="11"/>
      <c r="R2647" s="11"/>
      <c r="S2647" s="11"/>
      <c r="T2647" s="11"/>
      <c r="U2647" s="11"/>
      <c r="V2647" s="11"/>
      <c r="W2647" s="11"/>
    </row>
    <row r="2648" spans="2:23" x14ac:dyDescent="0.35">
      <c r="B2648"/>
      <c r="C2648"/>
      <c r="D2648"/>
      <c r="E2648"/>
      <c r="F2648"/>
      <c r="G2648"/>
      <c r="H2648"/>
      <c r="I2648"/>
      <c r="J2648"/>
      <c r="K2648"/>
      <c r="L2648" s="11"/>
      <c r="M2648"/>
      <c r="N2648" s="3"/>
      <c r="O2648" s="11"/>
      <c r="P2648" s="11"/>
      <c r="Q2648" s="11"/>
      <c r="R2648" s="11"/>
      <c r="S2648" s="11"/>
      <c r="T2648" s="11"/>
      <c r="U2648" s="11"/>
      <c r="V2648" s="11"/>
      <c r="W2648" s="11"/>
    </row>
    <row r="2649" spans="2:23" x14ac:dyDescent="0.35">
      <c r="B2649"/>
      <c r="C2649"/>
      <c r="D2649"/>
      <c r="E2649"/>
      <c r="F2649"/>
      <c r="G2649"/>
      <c r="H2649"/>
      <c r="I2649"/>
      <c r="J2649"/>
      <c r="K2649"/>
      <c r="L2649" s="11"/>
      <c r="M2649"/>
      <c r="N2649" s="3"/>
      <c r="O2649" s="11"/>
      <c r="P2649" s="11"/>
      <c r="Q2649" s="11"/>
      <c r="R2649" s="11"/>
      <c r="S2649" s="11"/>
      <c r="T2649" s="11"/>
      <c r="U2649" s="11"/>
      <c r="V2649" s="11"/>
      <c r="W2649" s="11"/>
    </row>
    <row r="2650" spans="2:23" x14ac:dyDescent="0.35">
      <c r="B2650"/>
      <c r="C2650"/>
      <c r="D2650"/>
      <c r="E2650"/>
      <c r="F2650"/>
      <c r="G2650"/>
      <c r="H2650"/>
      <c r="I2650"/>
      <c r="J2650"/>
      <c r="K2650"/>
      <c r="L2650" s="11"/>
      <c r="M2650"/>
      <c r="N2650" s="3"/>
      <c r="O2650" s="11"/>
      <c r="P2650" s="11"/>
      <c r="Q2650" s="11"/>
      <c r="R2650" s="11"/>
      <c r="S2650" s="11"/>
      <c r="T2650" s="11"/>
      <c r="U2650" s="11"/>
      <c r="V2650" s="11"/>
      <c r="W2650" s="11"/>
    </row>
    <row r="2651" spans="2:23" x14ac:dyDescent="0.35">
      <c r="B2651"/>
      <c r="C2651"/>
      <c r="D2651"/>
      <c r="E2651"/>
      <c r="F2651"/>
      <c r="G2651"/>
      <c r="H2651"/>
      <c r="I2651"/>
      <c r="J2651"/>
      <c r="K2651"/>
      <c r="L2651" s="11"/>
      <c r="M2651"/>
      <c r="N2651" s="3"/>
      <c r="O2651" s="11"/>
      <c r="P2651" s="11"/>
      <c r="Q2651" s="11"/>
      <c r="R2651" s="11"/>
      <c r="S2651" s="11"/>
      <c r="T2651" s="11"/>
      <c r="U2651" s="11"/>
      <c r="V2651" s="11"/>
      <c r="W2651" s="11"/>
    </row>
    <row r="2652" spans="2:23" x14ac:dyDescent="0.35">
      <c r="B2652"/>
      <c r="C2652"/>
      <c r="D2652"/>
      <c r="E2652"/>
      <c r="F2652"/>
      <c r="G2652"/>
      <c r="H2652"/>
      <c r="I2652"/>
      <c r="J2652"/>
      <c r="K2652"/>
      <c r="L2652" s="11"/>
      <c r="M2652"/>
      <c r="N2652" s="3"/>
      <c r="O2652" s="11"/>
      <c r="P2652" s="11"/>
      <c r="Q2652" s="11"/>
      <c r="R2652" s="11"/>
      <c r="S2652" s="11"/>
      <c r="T2652" s="11"/>
      <c r="U2652" s="11"/>
      <c r="V2652" s="11"/>
      <c r="W2652" s="11"/>
    </row>
    <row r="2653" spans="2:23" x14ac:dyDescent="0.35">
      <c r="B2653"/>
      <c r="C2653"/>
      <c r="D2653"/>
      <c r="E2653"/>
      <c r="F2653"/>
      <c r="G2653"/>
      <c r="H2653"/>
      <c r="I2653"/>
      <c r="J2653"/>
      <c r="K2653"/>
      <c r="L2653" s="11"/>
      <c r="M2653"/>
      <c r="N2653" s="3"/>
      <c r="O2653" s="11"/>
      <c r="P2653" s="11"/>
      <c r="Q2653" s="11"/>
      <c r="R2653" s="11"/>
      <c r="S2653" s="11"/>
      <c r="T2653" s="11"/>
      <c r="U2653" s="11"/>
      <c r="V2653" s="11"/>
      <c r="W2653" s="11"/>
    </row>
    <row r="2654" spans="2:23" x14ac:dyDescent="0.35">
      <c r="B2654"/>
      <c r="C2654"/>
      <c r="D2654"/>
      <c r="E2654"/>
      <c r="F2654"/>
      <c r="G2654"/>
      <c r="H2654"/>
      <c r="I2654"/>
      <c r="J2654"/>
      <c r="K2654"/>
      <c r="L2654" s="11"/>
      <c r="M2654"/>
      <c r="N2654" s="3"/>
      <c r="O2654" s="11"/>
      <c r="P2654" s="11"/>
      <c r="Q2654" s="11"/>
      <c r="R2654" s="11"/>
      <c r="S2654" s="11"/>
      <c r="T2654" s="11"/>
      <c r="U2654" s="11"/>
      <c r="V2654" s="11"/>
      <c r="W2654" s="11"/>
    </row>
    <row r="2655" spans="2:23" x14ac:dyDescent="0.35">
      <c r="B2655"/>
      <c r="C2655"/>
      <c r="D2655"/>
      <c r="E2655"/>
      <c r="F2655"/>
      <c r="G2655"/>
      <c r="H2655"/>
      <c r="I2655"/>
      <c r="J2655"/>
      <c r="K2655"/>
      <c r="L2655" s="11"/>
      <c r="M2655"/>
      <c r="N2655" s="3"/>
      <c r="O2655" s="11"/>
      <c r="P2655" s="11"/>
      <c r="Q2655" s="11"/>
      <c r="R2655" s="11"/>
      <c r="S2655" s="11"/>
      <c r="T2655" s="11"/>
      <c r="U2655" s="11"/>
      <c r="V2655" s="11"/>
      <c r="W2655" s="11"/>
    </row>
    <row r="2656" spans="2:23" x14ac:dyDescent="0.35">
      <c r="B2656"/>
      <c r="C2656"/>
      <c r="D2656"/>
      <c r="E2656"/>
      <c r="F2656"/>
      <c r="G2656"/>
      <c r="H2656"/>
      <c r="I2656"/>
      <c r="J2656"/>
      <c r="K2656"/>
      <c r="L2656" s="11"/>
      <c r="M2656"/>
      <c r="N2656" s="3"/>
      <c r="O2656" s="11"/>
      <c r="P2656" s="11"/>
      <c r="Q2656" s="11"/>
      <c r="R2656" s="11"/>
      <c r="S2656" s="11"/>
      <c r="T2656" s="11"/>
      <c r="U2656" s="11"/>
      <c r="V2656" s="11"/>
      <c r="W2656" s="11"/>
    </row>
    <row r="2657" spans="2:23" x14ac:dyDescent="0.35">
      <c r="B2657"/>
      <c r="C2657"/>
      <c r="D2657"/>
      <c r="E2657"/>
      <c r="F2657"/>
      <c r="G2657"/>
      <c r="H2657"/>
      <c r="I2657"/>
      <c r="J2657"/>
      <c r="K2657"/>
      <c r="L2657" s="11"/>
      <c r="M2657"/>
      <c r="N2657" s="3"/>
      <c r="O2657" s="11"/>
      <c r="P2657" s="11"/>
      <c r="Q2657" s="11"/>
      <c r="R2657" s="11"/>
      <c r="S2657" s="11"/>
      <c r="T2657" s="11"/>
      <c r="U2657" s="11"/>
      <c r="V2657" s="11"/>
      <c r="W2657" s="11"/>
    </row>
    <row r="2658" spans="2:23" x14ac:dyDescent="0.35">
      <c r="B2658"/>
      <c r="C2658"/>
      <c r="D2658"/>
      <c r="E2658"/>
      <c r="F2658"/>
      <c r="G2658"/>
      <c r="H2658"/>
      <c r="I2658"/>
      <c r="J2658"/>
      <c r="K2658"/>
      <c r="L2658" s="11"/>
      <c r="M2658"/>
      <c r="N2658" s="3"/>
      <c r="O2658" s="11"/>
      <c r="P2658" s="11"/>
      <c r="Q2658" s="11"/>
      <c r="R2658" s="11"/>
      <c r="S2658" s="11"/>
      <c r="T2658" s="11"/>
      <c r="U2658" s="11"/>
      <c r="V2658" s="11"/>
      <c r="W2658" s="11"/>
    </row>
    <row r="2659" spans="2:23" x14ac:dyDescent="0.35">
      <c r="B2659"/>
      <c r="C2659"/>
      <c r="D2659"/>
      <c r="E2659"/>
      <c r="F2659"/>
      <c r="G2659"/>
      <c r="H2659"/>
      <c r="I2659"/>
      <c r="J2659"/>
      <c r="K2659"/>
      <c r="L2659" s="11"/>
      <c r="M2659"/>
      <c r="N2659" s="3"/>
      <c r="O2659" s="11"/>
      <c r="P2659" s="11"/>
      <c r="Q2659" s="11"/>
      <c r="R2659" s="11"/>
      <c r="S2659" s="11"/>
      <c r="T2659" s="11"/>
      <c r="U2659" s="11"/>
      <c r="V2659" s="11"/>
      <c r="W2659" s="11"/>
    </row>
    <row r="2660" spans="2:23" x14ac:dyDescent="0.35">
      <c r="B2660"/>
      <c r="C2660"/>
      <c r="D2660"/>
      <c r="E2660"/>
      <c r="F2660"/>
      <c r="G2660"/>
      <c r="H2660"/>
      <c r="I2660"/>
      <c r="J2660"/>
      <c r="K2660"/>
      <c r="L2660" s="11"/>
      <c r="M2660"/>
      <c r="N2660" s="3"/>
      <c r="O2660" s="11"/>
      <c r="P2660" s="11"/>
      <c r="Q2660" s="11"/>
      <c r="R2660" s="11"/>
      <c r="S2660" s="11"/>
      <c r="T2660" s="11"/>
      <c r="U2660" s="11"/>
      <c r="V2660" s="11"/>
      <c r="W2660" s="11"/>
    </row>
    <row r="2661" spans="2:23" x14ac:dyDescent="0.35">
      <c r="B2661"/>
      <c r="C2661"/>
      <c r="D2661"/>
      <c r="E2661"/>
      <c r="F2661"/>
      <c r="G2661"/>
      <c r="H2661"/>
      <c r="I2661"/>
      <c r="J2661"/>
      <c r="K2661"/>
      <c r="L2661" s="11"/>
      <c r="M2661"/>
      <c r="N2661" s="3"/>
      <c r="O2661" s="11"/>
      <c r="P2661" s="11"/>
      <c r="Q2661" s="11"/>
      <c r="R2661" s="11"/>
      <c r="S2661" s="11"/>
      <c r="T2661" s="11"/>
      <c r="U2661" s="11"/>
      <c r="V2661" s="11"/>
      <c r="W2661" s="11"/>
    </row>
    <row r="2662" spans="2:23" x14ac:dyDescent="0.35">
      <c r="B2662"/>
      <c r="C2662"/>
      <c r="D2662"/>
      <c r="E2662"/>
      <c r="F2662"/>
      <c r="G2662"/>
      <c r="H2662"/>
      <c r="I2662"/>
      <c r="J2662"/>
      <c r="K2662"/>
      <c r="L2662" s="11"/>
      <c r="M2662"/>
      <c r="N2662" s="3"/>
      <c r="O2662" s="11"/>
      <c r="P2662" s="11"/>
      <c r="Q2662" s="11"/>
      <c r="R2662" s="11"/>
      <c r="S2662" s="11"/>
      <c r="T2662" s="11"/>
      <c r="U2662" s="11"/>
      <c r="V2662" s="11"/>
      <c r="W2662" s="11"/>
    </row>
    <row r="2663" spans="2:23" x14ac:dyDescent="0.35">
      <c r="B2663"/>
      <c r="C2663"/>
      <c r="D2663"/>
      <c r="E2663"/>
      <c r="F2663"/>
      <c r="G2663"/>
      <c r="H2663"/>
      <c r="I2663"/>
      <c r="J2663"/>
      <c r="K2663"/>
      <c r="L2663" s="11"/>
      <c r="M2663"/>
      <c r="N2663" s="3"/>
      <c r="O2663" s="11"/>
      <c r="P2663" s="11"/>
      <c r="Q2663" s="11"/>
      <c r="R2663" s="11"/>
      <c r="S2663" s="11"/>
      <c r="T2663" s="11"/>
      <c r="U2663" s="11"/>
      <c r="V2663" s="11"/>
      <c r="W2663" s="11"/>
    </row>
    <row r="2664" spans="2:23" x14ac:dyDescent="0.35">
      <c r="B2664"/>
      <c r="C2664"/>
      <c r="D2664"/>
      <c r="E2664"/>
      <c r="F2664"/>
      <c r="G2664"/>
      <c r="H2664"/>
      <c r="I2664"/>
      <c r="J2664"/>
      <c r="K2664"/>
      <c r="L2664" s="11"/>
      <c r="M2664"/>
      <c r="N2664" s="3"/>
      <c r="O2664" s="11"/>
      <c r="P2664" s="11"/>
      <c r="Q2664" s="11"/>
      <c r="R2664" s="11"/>
      <c r="S2664" s="11"/>
      <c r="T2664" s="11"/>
      <c r="U2664" s="11"/>
      <c r="V2664" s="11"/>
      <c r="W2664" s="11"/>
    </row>
    <row r="2665" spans="2:23" x14ac:dyDescent="0.35">
      <c r="B2665"/>
      <c r="C2665"/>
      <c r="D2665"/>
      <c r="E2665"/>
      <c r="F2665"/>
      <c r="G2665"/>
      <c r="H2665"/>
      <c r="I2665"/>
      <c r="J2665"/>
      <c r="K2665"/>
      <c r="L2665" s="11"/>
      <c r="M2665"/>
      <c r="N2665" s="3"/>
      <c r="O2665" s="11"/>
      <c r="P2665" s="11"/>
      <c r="Q2665" s="11"/>
      <c r="R2665" s="11"/>
      <c r="S2665" s="11"/>
      <c r="T2665" s="11"/>
      <c r="U2665" s="11"/>
      <c r="V2665" s="11"/>
      <c r="W2665" s="11"/>
    </row>
    <row r="2666" spans="2:23" x14ac:dyDescent="0.35">
      <c r="B2666"/>
      <c r="C2666"/>
      <c r="D2666"/>
      <c r="E2666"/>
      <c r="F2666"/>
      <c r="G2666"/>
      <c r="H2666"/>
      <c r="I2666"/>
      <c r="J2666"/>
      <c r="K2666"/>
      <c r="L2666" s="11"/>
      <c r="M2666"/>
      <c r="N2666" s="3"/>
      <c r="O2666" s="11"/>
      <c r="P2666" s="11"/>
      <c r="Q2666" s="11"/>
      <c r="R2666" s="11"/>
      <c r="S2666" s="11"/>
      <c r="T2666" s="11"/>
      <c r="U2666" s="11"/>
      <c r="V2666" s="11"/>
      <c r="W2666" s="11"/>
    </row>
    <row r="2667" spans="2:23" x14ac:dyDescent="0.35">
      <c r="B2667"/>
      <c r="C2667"/>
      <c r="D2667"/>
      <c r="E2667"/>
      <c r="F2667"/>
      <c r="G2667"/>
      <c r="H2667"/>
      <c r="I2667"/>
      <c r="J2667"/>
      <c r="K2667"/>
      <c r="L2667" s="11"/>
      <c r="M2667"/>
      <c r="N2667" s="3"/>
      <c r="O2667" s="11"/>
      <c r="P2667" s="11"/>
      <c r="Q2667" s="11"/>
      <c r="R2667" s="11"/>
      <c r="S2667" s="11"/>
      <c r="T2667" s="11"/>
      <c r="U2667" s="11"/>
      <c r="V2667" s="11"/>
      <c r="W2667" s="11"/>
    </row>
    <row r="2668" spans="2:23" x14ac:dyDescent="0.35">
      <c r="B2668"/>
      <c r="C2668"/>
      <c r="D2668"/>
      <c r="E2668"/>
      <c r="F2668"/>
      <c r="G2668"/>
      <c r="H2668"/>
      <c r="I2668"/>
      <c r="J2668"/>
      <c r="K2668"/>
      <c r="L2668" s="11"/>
      <c r="M2668"/>
      <c r="N2668" s="3"/>
      <c r="O2668" s="11"/>
      <c r="P2668" s="11"/>
      <c r="Q2668" s="11"/>
      <c r="R2668" s="11"/>
      <c r="S2668" s="11"/>
      <c r="T2668" s="11"/>
      <c r="U2668" s="11"/>
      <c r="V2668" s="11"/>
      <c r="W2668" s="11"/>
    </row>
    <row r="2669" spans="2:23" x14ac:dyDescent="0.35">
      <c r="B2669"/>
      <c r="C2669"/>
      <c r="D2669"/>
      <c r="E2669"/>
      <c r="F2669"/>
      <c r="G2669"/>
      <c r="H2669"/>
      <c r="I2669"/>
      <c r="J2669"/>
      <c r="K2669"/>
      <c r="L2669" s="11"/>
      <c r="M2669"/>
      <c r="N2669" s="3"/>
      <c r="O2669" s="11"/>
      <c r="P2669" s="11"/>
      <c r="Q2669" s="11"/>
      <c r="R2669" s="11"/>
      <c r="S2669" s="11"/>
      <c r="T2669" s="11"/>
      <c r="U2669" s="11"/>
      <c r="V2669" s="11"/>
      <c r="W2669" s="11"/>
    </row>
    <row r="2670" spans="2:23" x14ac:dyDescent="0.35">
      <c r="B2670"/>
      <c r="C2670"/>
      <c r="D2670"/>
      <c r="E2670"/>
      <c r="F2670"/>
      <c r="G2670"/>
      <c r="H2670"/>
      <c r="I2670"/>
      <c r="J2670"/>
      <c r="K2670"/>
      <c r="L2670" s="11"/>
      <c r="M2670"/>
      <c r="N2670" s="3"/>
      <c r="O2670" s="11"/>
      <c r="P2670" s="11"/>
      <c r="Q2670" s="11"/>
      <c r="R2670" s="11"/>
      <c r="S2670" s="11"/>
      <c r="T2670" s="11"/>
      <c r="U2670" s="11"/>
      <c r="V2670" s="11"/>
      <c r="W2670" s="11"/>
    </row>
    <row r="2671" spans="2:23" x14ac:dyDescent="0.35">
      <c r="B2671"/>
      <c r="C2671"/>
      <c r="D2671"/>
      <c r="E2671"/>
      <c r="F2671"/>
      <c r="G2671"/>
      <c r="H2671"/>
      <c r="I2671"/>
      <c r="J2671"/>
      <c r="K2671"/>
      <c r="L2671" s="11"/>
      <c r="M2671"/>
      <c r="N2671" s="3"/>
      <c r="O2671" s="11"/>
      <c r="P2671" s="11"/>
      <c r="Q2671" s="11"/>
      <c r="R2671" s="11"/>
      <c r="S2671" s="11"/>
      <c r="T2671" s="11"/>
      <c r="U2671" s="11"/>
      <c r="V2671" s="11"/>
      <c r="W2671" s="11"/>
    </row>
    <row r="2672" spans="2:23" x14ac:dyDescent="0.35">
      <c r="B2672"/>
      <c r="C2672"/>
      <c r="D2672"/>
      <c r="E2672"/>
      <c r="F2672"/>
      <c r="G2672"/>
      <c r="H2672"/>
      <c r="I2672"/>
      <c r="J2672"/>
      <c r="K2672"/>
      <c r="L2672" s="11"/>
      <c r="M2672"/>
      <c r="N2672" s="3"/>
      <c r="O2672" s="11"/>
      <c r="P2672" s="11"/>
      <c r="Q2672" s="11"/>
      <c r="R2672" s="11"/>
      <c r="S2672" s="11"/>
      <c r="T2672" s="11"/>
      <c r="U2672" s="11"/>
      <c r="V2672" s="11"/>
      <c r="W2672" s="11"/>
    </row>
    <row r="2673" spans="2:23" x14ac:dyDescent="0.35">
      <c r="B2673"/>
      <c r="C2673"/>
      <c r="D2673"/>
      <c r="E2673"/>
      <c r="F2673"/>
      <c r="G2673"/>
      <c r="H2673"/>
      <c r="I2673"/>
      <c r="J2673"/>
      <c r="K2673"/>
      <c r="L2673" s="11"/>
      <c r="M2673"/>
      <c r="N2673" s="3"/>
      <c r="O2673" s="11"/>
      <c r="P2673" s="11"/>
      <c r="Q2673" s="11"/>
      <c r="R2673" s="11"/>
      <c r="S2673" s="11"/>
      <c r="T2673" s="11"/>
      <c r="U2673" s="11"/>
      <c r="V2673" s="11"/>
      <c r="W2673" s="11"/>
    </row>
    <row r="2674" spans="2:23" x14ac:dyDescent="0.35">
      <c r="B2674"/>
      <c r="C2674"/>
      <c r="D2674"/>
      <c r="E2674"/>
      <c r="F2674"/>
      <c r="G2674"/>
      <c r="H2674"/>
      <c r="I2674"/>
      <c r="J2674"/>
      <c r="K2674"/>
      <c r="L2674" s="11"/>
      <c r="M2674"/>
      <c r="N2674" s="3"/>
      <c r="O2674" s="11"/>
      <c r="P2674" s="11"/>
      <c r="Q2674" s="11"/>
      <c r="R2674" s="11"/>
      <c r="S2674" s="11"/>
      <c r="T2674" s="11"/>
      <c r="U2674" s="11"/>
      <c r="V2674" s="11"/>
      <c r="W2674" s="11"/>
    </row>
    <row r="2675" spans="2:23" x14ac:dyDescent="0.35">
      <c r="B2675"/>
      <c r="C2675"/>
      <c r="D2675"/>
      <c r="E2675"/>
      <c r="F2675"/>
      <c r="G2675"/>
      <c r="H2675"/>
      <c r="I2675"/>
      <c r="J2675"/>
      <c r="K2675"/>
      <c r="L2675" s="11"/>
      <c r="M2675"/>
      <c r="N2675" s="3"/>
      <c r="O2675" s="11"/>
      <c r="P2675" s="11"/>
      <c r="Q2675" s="11"/>
      <c r="R2675" s="11"/>
      <c r="S2675" s="11"/>
      <c r="T2675" s="11"/>
      <c r="U2675" s="11"/>
      <c r="V2675" s="11"/>
      <c r="W2675" s="11"/>
    </row>
    <row r="2676" spans="2:23" x14ac:dyDescent="0.35">
      <c r="B2676"/>
      <c r="C2676"/>
      <c r="D2676"/>
      <c r="E2676"/>
      <c r="F2676"/>
      <c r="G2676"/>
      <c r="H2676"/>
      <c r="I2676"/>
      <c r="J2676"/>
      <c r="K2676"/>
      <c r="L2676" s="11"/>
      <c r="M2676"/>
      <c r="N2676" s="3"/>
      <c r="O2676" s="11"/>
      <c r="P2676" s="11"/>
      <c r="Q2676" s="11"/>
      <c r="R2676" s="11"/>
      <c r="S2676" s="11"/>
      <c r="T2676" s="11"/>
      <c r="U2676" s="11"/>
      <c r="V2676" s="11"/>
      <c r="W2676" s="11"/>
    </row>
    <row r="2677" spans="2:23" x14ac:dyDescent="0.35">
      <c r="B2677"/>
      <c r="C2677"/>
      <c r="D2677"/>
      <c r="E2677"/>
      <c r="F2677"/>
      <c r="G2677"/>
      <c r="H2677"/>
      <c r="I2677"/>
      <c r="J2677"/>
      <c r="K2677"/>
      <c r="L2677" s="11"/>
      <c r="M2677"/>
      <c r="N2677" s="3"/>
      <c r="O2677" s="11"/>
      <c r="P2677" s="11"/>
      <c r="Q2677" s="11"/>
      <c r="R2677" s="11"/>
      <c r="S2677" s="11"/>
      <c r="T2677" s="11"/>
      <c r="U2677" s="11"/>
      <c r="V2677" s="11"/>
      <c r="W2677" s="11"/>
    </row>
    <row r="2678" spans="2:23" x14ac:dyDescent="0.35">
      <c r="B2678"/>
      <c r="C2678"/>
      <c r="D2678"/>
      <c r="E2678"/>
      <c r="F2678"/>
      <c r="G2678"/>
      <c r="H2678"/>
      <c r="I2678"/>
      <c r="J2678"/>
      <c r="K2678"/>
      <c r="L2678" s="11"/>
      <c r="M2678"/>
      <c r="N2678" s="3"/>
      <c r="O2678" s="11"/>
      <c r="P2678" s="11"/>
      <c r="Q2678" s="11"/>
      <c r="R2678" s="11"/>
      <c r="S2678" s="11"/>
      <c r="T2678" s="11"/>
      <c r="U2678" s="11"/>
      <c r="V2678" s="11"/>
      <c r="W2678" s="11"/>
    </row>
    <row r="2679" spans="2:23" x14ac:dyDescent="0.35">
      <c r="B2679"/>
      <c r="C2679"/>
      <c r="D2679"/>
      <c r="E2679"/>
      <c r="F2679"/>
      <c r="G2679"/>
      <c r="H2679"/>
      <c r="I2679"/>
      <c r="J2679"/>
      <c r="K2679"/>
      <c r="L2679" s="11"/>
      <c r="M2679"/>
      <c r="N2679" s="3"/>
      <c r="O2679" s="11"/>
      <c r="P2679" s="11"/>
      <c r="Q2679" s="11"/>
      <c r="R2679" s="11"/>
      <c r="S2679" s="11"/>
      <c r="T2679" s="11"/>
      <c r="U2679" s="11"/>
      <c r="V2679" s="11"/>
      <c r="W2679" s="11"/>
    </row>
    <row r="2680" spans="2:23" x14ac:dyDescent="0.35">
      <c r="B2680"/>
      <c r="C2680"/>
      <c r="D2680"/>
      <c r="E2680"/>
      <c r="F2680"/>
      <c r="G2680"/>
      <c r="H2680"/>
      <c r="I2680"/>
      <c r="J2680"/>
      <c r="K2680"/>
      <c r="L2680" s="11"/>
      <c r="M2680"/>
      <c r="N2680" s="3"/>
      <c r="O2680" s="11"/>
      <c r="P2680" s="11"/>
      <c r="Q2680" s="11"/>
      <c r="R2680" s="11"/>
      <c r="S2680" s="11"/>
      <c r="T2680" s="11"/>
      <c r="U2680" s="11"/>
      <c r="V2680" s="11"/>
      <c r="W2680" s="11"/>
    </row>
    <row r="2681" spans="2:23" x14ac:dyDescent="0.35">
      <c r="B2681"/>
      <c r="C2681"/>
      <c r="D2681"/>
      <c r="E2681"/>
      <c r="F2681"/>
      <c r="G2681"/>
      <c r="H2681"/>
      <c r="I2681"/>
      <c r="J2681"/>
      <c r="K2681"/>
      <c r="L2681" s="11"/>
      <c r="M2681"/>
      <c r="N2681" s="3"/>
      <c r="O2681" s="11"/>
      <c r="P2681" s="11"/>
      <c r="Q2681" s="11"/>
      <c r="R2681" s="11"/>
      <c r="S2681" s="11"/>
      <c r="T2681" s="11"/>
      <c r="U2681" s="11"/>
      <c r="V2681" s="11"/>
      <c r="W2681" s="11"/>
    </row>
    <row r="2682" spans="2:23" x14ac:dyDescent="0.35">
      <c r="B2682"/>
      <c r="C2682"/>
      <c r="D2682"/>
      <c r="E2682"/>
      <c r="F2682"/>
      <c r="G2682"/>
      <c r="H2682"/>
      <c r="I2682"/>
      <c r="J2682"/>
      <c r="K2682"/>
      <c r="L2682" s="11"/>
      <c r="M2682"/>
      <c r="N2682" s="3"/>
      <c r="O2682" s="11"/>
      <c r="P2682" s="11"/>
      <c r="Q2682" s="11"/>
      <c r="R2682" s="11"/>
      <c r="S2682" s="11"/>
      <c r="T2682" s="11"/>
      <c r="U2682" s="11"/>
      <c r="V2682" s="11"/>
      <c r="W2682" s="11"/>
    </row>
    <row r="2683" spans="2:23" x14ac:dyDescent="0.35">
      <c r="B2683"/>
      <c r="C2683"/>
      <c r="D2683"/>
      <c r="E2683"/>
      <c r="F2683"/>
      <c r="G2683"/>
      <c r="H2683"/>
      <c r="I2683"/>
      <c r="J2683"/>
      <c r="K2683"/>
      <c r="L2683" s="11"/>
      <c r="M2683"/>
      <c r="N2683" s="3"/>
      <c r="O2683" s="11"/>
      <c r="P2683" s="11"/>
      <c r="Q2683" s="11"/>
      <c r="R2683" s="11"/>
      <c r="S2683" s="11"/>
      <c r="T2683" s="11"/>
      <c r="U2683" s="11"/>
      <c r="V2683" s="11"/>
      <c r="W2683" s="11"/>
    </row>
    <row r="2684" spans="2:23" x14ac:dyDescent="0.35">
      <c r="B2684"/>
      <c r="C2684"/>
      <c r="D2684"/>
      <c r="E2684"/>
      <c r="F2684"/>
      <c r="G2684"/>
      <c r="H2684"/>
      <c r="I2684"/>
      <c r="J2684"/>
      <c r="K2684"/>
      <c r="L2684" s="11"/>
      <c r="M2684"/>
      <c r="N2684" s="3"/>
      <c r="O2684" s="11"/>
      <c r="P2684" s="11"/>
      <c r="Q2684" s="11"/>
      <c r="R2684" s="11"/>
      <c r="S2684" s="11"/>
      <c r="T2684" s="11"/>
      <c r="U2684" s="11"/>
      <c r="V2684" s="11"/>
      <c r="W2684" s="11"/>
    </row>
    <row r="2685" spans="2:23" x14ac:dyDescent="0.35">
      <c r="B2685"/>
      <c r="C2685"/>
      <c r="D2685"/>
      <c r="E2685"/>
      <c r="F2685"/>
      <c r="G2685"/>
      <c r="H2685"/>
      <c r="I2685"/>
      <c r="J2685"/>
      <c r="K2685"/>
      <c r="L2685" s="11"/>
      <c r="M2685"/>
      <c r="N2685" s="3"/>
      <c r="O2685" s="11"/>
      <c r="P2685" s="11"/>
      <c r="Q2685" s="11"/>
      <c r="R2685" s="11"/>
      <c r="S2685" s="11"/>
      <c r="T2685" s="11"/>
      <c r="U2685" s="11"/>
      <c r="V2685" s="11"/>
      <c r="W2685" s="11"/>
    </row>
    <row r="2686" spans="2:23" x14ac:dyDescent="0.35">
      <c r="B2686"/>
      <c r="C2686"/>
      <c r="D2686"/>
      <c r="E2686"/>
      <c r="F2686"/>
      <c r="G2686"/>
      <c r="H2686"/>
      <c r="I2686"/>
      <c r="J2686"/>
      <c r="K2686"/>
      <c r="L2686" s="11"/>
      <c r="M2686"/>
      <c r="N2686" s="3"/>
      <c r="O2686" s="11"/>
      <c r="P2686" s="11"/>
      <c r="Q2686" s="11"/>
      <c r="R2686" s="11"/>
      <c r="S2686" s="11"/>
      <c r="T2686" s="11"/>
      <c r="U2686" s="11"/>
      <c r="V2686" s="11"/>
      <c r="W2686" s="11"/>
    </row>
    <row r="2687" spans="2:23" x14ac:dyDescent="0.35">
      <c r="B2687"/>
      <c r="C2687"/>
      <c r="D2687"/>
      <c r="E2687"/>
      <c r="F2687"/>
      <c r="G2687"/>
      <c r="H2687"/>
      <c r="I2687"/>
      <c r="J2687"/>
      <c r="K2687"/>
      <c r="L2687" s="11"/>
      <c r="M2687"/>
      <c r="N2687" s="3"/>
      <c r="O2687" s="11"/>
      <c r="P2687" s="11"/>
      <c r="Q2687" s="11"/>
      <c r="R2687" s="11"/>
      <c r="S2687" s="11"/>
      <c r="T2687" s="11"/>
      <c r="U2687" s="11"/>
      <c r="V2687" s="11"/>
      <c r="W2687" s="11"/>
    </row>
    <row r="2688" spans="2:23" x14ac:dyDescent="0.35">
      <c r="B2688"/>
      <c r="C2688"/>
      <c r="D2688"/>
      <c r="E2688"/>
      <c r="F2688"/>
      <c r="G2688"/>
      <c r="H2688"/>
      <c r="I2688"/>
      <c r="J2688"/>
      <c r="K2688"/>
      <c r="L2688" s="11"/>
      <c r="M2688"/>
      <c r="N2688" s="3"/>
      <c r="O2688" s="11"/>
      <c r="P2688" s="11"/>
      <c r="Q2688" s="11"/>
      <c r="R2688" s="11"/>
      <c r="S2688" s="11"/>
      <c r="T2688" s="11"/>
      <c r="U2688" s="11"/>
      <c r="V2688" s="11"/>
      <c r="W2688" s="11"/>
    </row>
    <row r="2689" spans="2:23" x14ac:dyDescent="0.35">
      <c r="B2689"/>
      <c r="C2689"/>
      <c r="D2689"/>
      <c r="E2689"/>
      <c r="F2689"/>
      <c r="G2689"/>
      <c r="H2689"/>
      <c r="I2689"/>
      <c r="J2689"/>
      <c r="K2689"/>
      <c r="L2689" s="11"/>
      <c r="M2689"/>
      <c r="N2689" s="3"/>
      <c r="O2689" s="11"/>
      <c r="P2689" s="11"/>
      <c r="Q2689" s="11"/>
      <c r="R2689" s="11"/>
      <c r="S2689" s="11"/>
      <c r="T2689" s="11"/>
      <c r="U2689" s="11"/>
      <c r="V2689" s="11"/>
      <c r="W2689" s="11"/>
    </row>
    <row r="2690" spans="2:23" x14ac:dyDescent="0.35">
      <c r="B2690"/>
      <c r="C2690"/>
      <c r="D2690"/>
      <c r="E2690"/>
      <c r="F2690"/>
      <c r="G2690"/>
      <c r="H2690"/>
      <c r="I2690"/>
      <c r="J2690"/>
      <c r="K2690"/>
      <c r="L2690" s="11"/>
      <c r="M2690"/>
      <c r="N2690" s="3"/>
      <c r="O2690" s="11"/>
      <c r="P2690" s="11"/>
      <c r="Q2690" s="11"/>
      <c r="R2690" s="11"/>
      <c r="S2690" s="11"/>
      <c r="T2690" s="11"/>
      <c r="U2690" s="11"/>
    </row>
    <row r="2691" spans="2:23" x14ac:dyDescent="0.35">
      <c r="B2691"/>
      <c r="C2691"/>
      <c r="D2691"/>
      <c r="E2691"/>
      <c r="F2691"/>
      <c r="G2691"/>
      <c r="H2691"/>
      <c r="I2691"/>
      <c r="J2691"/>
      <c r="K2691"/>
      <c r="L2691" s="11"/>
      <c r="M2691"/>
      <c r="N2691" s="3"/>
      <c r="O2691" s="11"/>
      <c r="P2691" s="11"/>
      <c r="Q2691" s="11"/>
      <c r="R2691" s="11"/>
      <c r="S2691" s="11"/>
      <c r="T2691" s="11"/>
      <c r="U2691" s="11"/>
    </row>
    <row r="2692" spans="2:23" x14ac:dyDescent="0.35">
      <c r="B2692"/>
      <c r="C2692"/>
      <c r="D2692"/>
      <c r="E2692"/>
      <c r="F2692"/>
      <c r="G2692"/>
      <c r="H2692"/>
      <c r="I2692"/>
      <c r="J2692"/>
      <c r="K2692"/>
      <c r="L2692" s="11"/>
      <c r="M2692"/>
      <c r="N2692" s="3"/>
      <c r="O2692" s="11"/>
      <c r="P2692" s="11"/>
      <c r="Q2692" s="11"/>
      <c r="R2692" s="11"/>
      <c r="S2692" s="11"/>
      <c r="T2692" s="11"/>
      <c r="U2692" s="11"/>
    </row>
    <row r="2693" spans="2:23" x14ac:dyDescent="0.35">
      <c r="B2693"/>
      <c r="C2693"/>
      <c r="D2693"/>
      <c r="E2693"/>
      <c r="F2693"/>
      <c r="G2693"/>
      <c r="H2693"/>
      <c r="I2693"/>
      <c r="J2693"/>
      <c r="K2693"/>
      <c r="L2693" s="11"/>
      <c r="M2693"/>
      <c r="N2693" s="3"/>
      <c r="O2693" s="11"/>
      <c r="P2693" s="11"/>
      <c r="Q2693" s="11"/>
      <c r="R2693" s="11"/>
      <c r="S2693" s="11"/>
      <c r="T2693" s="11"/>
      <c r="U2693" s="11"/>
    </row>
    <row r="2694" spans="2:23" x14ac:dyDescent="0.35">
      <c r="B2694"/>
      <c r="C2694"/>
      <c r="D2694"/>
      <c r="E2694"/>
      <c r="F2694"/>
      <c r="G2694"/>
      <c r="H2694"/>
      <c r="I2694"/>
      <c r="J2694"/>
      <c r="K2694"/>
      <c r="L2694" s="11"/>
      <c r="M2694"/>
      <c r="N2694" s="3"/>
      <c r="O2694" s="11"/>
      <c r="P2694" s="11"/>
      <c r="Q2694" s="11"/>
      <c r="R2694" s="11"/>
      <c r="S2694" s="11"/>
      <c r="T2694" s="11"/>
      <c r="U2694" s="11"/>
    </row>
    <row r="2695" spans="2:23" x14ac:dyDescent="0.35">
      <c r="B2695"/>
      <c r="C2695"/>
      <c r="D2695"/>
      <c r="E2695"/>
      <c r="F2695"/>
      <c r="G2695"/>
      <c r="H2695"/>
      <c r="I2695"/>
      <c r="J2695"/>
      <c r="K2695"/>
      <c r="L2695" s="11"/>
      <c r="M2695"/>
      <c r="N2695" s="3"/>
      <c r="O2695" s="11"/>
      <c r="P2695" s="11"/>
      <c r="Q2695" s="11"/>
      <c r="R2695" s="11"/>
      <c r="S2695" s="11"/>
      <c r="T2695" s="11"/>
      <c r="U2695" s="11"/>
    </row>
    <row r="2696" spans="2:23" x14ac:dyDescent="0.35">
      <c r="B2696"/>
      <c r="C2696"/>
      <c r="D2696"/>
      <c r="E2696"/>
      <c r="F2696"/>
      <c r="G2696"/>
      <c r="H2696"/>
      <c r="I2696"/>
      <c r="J2696"/>
      <c r="K2696"/>
      <c r="L2696" s="11"/>
      <c r="M2696"/>
      <c r="N2696" s="3"/>
      <c r="O2696" s="11"/>
      <c r="P2696" s="11"/>
      <c r="Q2696" s="11"/>
      <c r="R2696" s="11"/>
      <c r="S2696" s="11"/>
      <c r="T2696" s="11"/>
      <c r="U2696" s="11"/>
    </row>
    <row r="2697" spans="2:23" x14ac:dyDescent="0.35">
      <c r="B2697"/>
      <c r="C2697"/>
      <c r="D2697"/>
      <c r="E2697"/>
      <c r="F2697"/>
      <c r="G2697"/>
      <c r="H2697"/>
      <c r="I2697"/>
      <c r="J2697"/>
      <c r="K2697"/>
      <c r="L2697" s="11"/>
      <c r="M2697"/>
      <c r="N2697" s="3"/>
      <c r="O2697" s="11"/>
      <c r="P2697" s="11"/>
      <c r="Q2697" s="11"/>
      <c r="R2697" s="11"/>
      <c r="S2697" s="11"/>
      <c r="T2697" s="11"/>
      <c r="U2697" s="11"/>
    </row>
    <row r="2698" spans="2:23" x14ac:dyDescent="0.35">
      <c r="B2698"/>
      <c r="C2698"/>
      <c r="D2698"/>
      <c r="E2698"/>
      <c r="F2698"/>
      <c r="G2698"/>
      <c r="H2698"/>
      <c r="I2698"/>
      <c r="J2698"/>
      <c r="K2698"/>
      <c r="L2698" s="11"/>
      <c r="M2698"/>
      <c r="N2698" s="3"/>
      <c r="O2698" s="11"/>
      <c r="P2698" s="11"/>
      <c r="Q2698" s="11"/>
      <c r="R2698" s="11"/>
      <c r="S2698" s="11"/>
      <c r="T2698" s="11"/>
      <c r="U2698" s="11"/>
    </row>
    <row r="2699" spans="2:23" x14ac:dyDescent="0.35">
      <c r="B2699"/>
      <c r="C2699"/>
      <c r="D2699"/>
      <c r="E2699"/>
      <c r="F2699"/>
      <c r="G2699"/>
      <c r="H2699"/>
      <c r="I2699"/>
      <c r="J2699"/>
      <c r="K2699"/>
      <c r="L2699" s="11"/>
      <c r="M2699"/>
      <c r="N2699" s="3"/>
      <c r="O2699" s="11"/>
      <c r="P2699" s="11"/>
      <c r="Q2699" s="11"/>
      <c r="R2699" s="11"/>
      <c r="S2699" s="11"/>
      <c r="T2699" s="11"/>
      <c r="U2699" s="11"/>
    </row>
    <row r="2700" spans="2:23" x14ac:dyDescent="0.35">
      <c r="B2700"/>
      <c r="C2700"/>
      <c r="D2700"/>
      <c r="E2700"/>
      <c r="F2700"/>
      <c r="G2700"/>
      <c r="H2700"/>
      <c r="I2700"/>
      <c r="J2700"/>
      <c r="K2700"/>
      <c r="L2700" s="11"/>
      <c r="M2700"/>
      <c r="N2700" s="3"/>
      <c r="O2700" s="11"/>
      <c r="P2700" s="11"/>
      <c r="Q2700" s="11"/>
      <c r="R2700" s="11"/>
      <c r="S2700" s="11"/>
      <c r="T2700" s="11"/>
      <c r="U2700" s="11"/>
    </row>
    <row r="2701" spans="2:23" x14ac:dyDescent="0.35">
      <c r="B2701"/>
      <c r="C2701"/>
      <c r="D2701"/>
      <c r="E2701"/>
      <c r="F2701"/>
      <c r="G2701"/>
      <c r="H2701"/>
      <c r="I2701"/>
      <c r="J2701"/>
      <c r="K2701"/>
      <c r="L2701" s="11"/>
      <c r="M2701"/>
      <c r="N2701" s="3"/>
      <c r="O2701" s="11"/>
      <c r="P2701" s="11"/>
      <c r="Q2701" s="11"/>
      <c r="R2701" s="11"/>
      <c r="S2701" s="11"/>
      <c r="T2701" s="11"/>
      <c r="U2701" s="11"/>
    </row>
    <row r="2702" spans="2:23" x14ac:dyDescent="0.35">
      <c r="B2702"/>
      <c r="C2702"/>
      <c r="D2702"/>
      <c r="E2702"/>
      <c r="F2702"/>
      <c r="G2702"/>
      <c r="H2702"/>
      <c r="I2702"/>
      <c r="J2702"/>
      <c r="K2702"/>
      <c r="L2702" s="11"/>
      <c r="M2702"/>
      <c r="N2702" s="3"/>
      <c r="O2702" s="11"/>
      <c r="P2702" s="11"/>
      <c r="Q2702" s="11"/>
      <c r="R2702" s="11"/>
      <c r="S2702" s="11"/>
      <c r="T2702" s="11"/>
      <c r="U2702" s="11"/>
    </row>
    <row r="2703" spans="2:23" x14ac:dyDescent="0.35">
      <c r="B2703"/>
      <c r="C2703"/>
      <c r="D2703"/>
      <c r="E2703"/>
      <c r="F2703"/>
      <c r="G2703"/>
      <c r="H2703"/>
      <c r="I2703"/>
      <c r="J2703"/>
      <c r="K2703"/>
      <c r="L2703" s="11"/>
      <c r="M2703"/>
      <c r="N2703" s="3"/>
      <c r="O2703" s="11"/>
      <c r="P2703" s="11"/>
      <c r="Q2703" s="11"/>
      <c r="R2703" s="11"/>
      <c r="S2703" s="11"/>
      <c r="T2703" s="11"/>
      <c r="U2703" s="11"/>
    </row>
    <row r="2704" spans="2:23" x14ac:dyDescent="0.35">
      <c r="B2704"/>
      <c r="C2704"/>
      <c r="D2704"/>
      <c r="E2704"/>
      <c r="F2704"/>
      <c r="G2704"/>
      <c r="H2704"/>
      <c r="I2704"/>
      <c r="J2704"/>
      <c r="K2704"/>
      <c r="L2704" s="11"/>
      <c r="M2704"/>
      <c r="N2704" s="3"/>
      <c r="O2704" s="11"/>
      <c r="P2704" s="11"/>
      <c r="Q2704" s="11"/>
      <c r="R2704" s="11"/>
      <c r="S2704" s="11"/>
      <c r="T2704" s="11"/>
      <c r="U2704" s="11"/>
    </row>
    <row r="2705" spans="2:21" x14ac:dyDescent="0.35">
      <c r="B2705"/>
      <c r="C2705"/>
      <c r="D2705"/>
      <c r="E2705"/>
      <c r="F2705"/>
      <c r="G2705"/>
      <c r="H2705"/>
      <c r="I2705"/>
      <c r="J2705"/>
      <c r="K2705"/>
      <c r="L2705" s="11"/>
      <c r="M2705"/>
      <c r="N2705" s="3"/>
      <c r="O2705" s="11"/>
      <c r="P2705" s="11"/>
      <c r="Q2705" s="11"/>
      <c r="R2705" s="11"/>
      <c r="S2705" s="11"/>
      <c r="T2705" s="11"/>
      <c r="U2705" s="11"/>
    </row>
    <row r="2706" spans="2:21" x14ac:dyDescent="0.35">
      <c r="B2706"/>
      <c r="C2706"/>
      <c r="D2706"/>
      <c r="E2706"/>
      <c r="F2706"/>
      <c r="G2706"/>
      <c r="H2706"/>
      <c r="I2706"/>
      <c r="J2706"/>
      <c r="K2706"/>
      <c r="L2706" s="11"/>
      <c r="M2706"/>
      <c r="N2706" s="3"/>
      <c r="O2706" s="11"/>
      <c r="P2706" s="11"/>
      <c r="Q2706" s="11"/>
      <c r="R2706" s="11"/>
      <c r="S2706" s="11"/>
      <c r="T2706" s="11"/>
      <c r="U2706" s="11"/>
    </row>
    <row r="2707" spans="2:21" x14ac:dyDescent="0.35">
      <c r="B2707"/>
      <c r="C2707"/>
      <c r="D2707"/>
      <c r="E2707"/>
      <c r="F2707"/>
      <c r="G2707"/>
      <c r="H2707"/>
      <c r="I2707"/>
      <c r="J2707"/>
      <c r="K2707"/>
      <c r="L2707" s="11"/>
      <c r="M2707"/>
      <c r="N2707" s="3"/>
      <c r="O2707" s="11"/>
      <c r="P2707" s="11"/>
      <c r="Q2707" s="11"/>
      <c r="R2707" s="11"/>
      <c r="S2707" s="11"/>
      <c r="T2707" s="11"/>
      <c r="U2707" s="11"/>
    </row>
    <row r="2708" spans="2:21" x14ac:dyDescent="0.35">
      <c r="B2708"/>
      <c r="C2708"/>
      <c r="D2708"/>
      <c r="E2708"/>
      <c r="F2708"/>
      <c r="G2708"/>
      <c r="H2708"/>
      <c r="I2708"/>
      <c r="J2708"/>
      <c r="K2708"/>
      <c r="L2708" s="11"/>
      <c r="M2708"/>
      <c r="N2708" s="3"/>
      <c r="O2708" s="11"/>
      <c r="P2708" s="11"/>
      <c r="Q2708" s="11"/>
      <c r="R2708" s="11"/>
      <c r="S2708" s="11"/>
      <c r="T2708" s="11"/>
      <c r="U2708" s="11"/>
    </row>
    <row r="2709" spans="2:21" x14ac:dyDescent="0.35">
      <c r="B2709"/>
      <c r="C2709"/>
      <c r="D2709"/>
      <c r="E2709"/>
      <c r="F2709"/>
      <c r="G2709"/>
      <c r="H2709"/>
      <c r="I2709"/>
      <c r="J2709"/>
      <c r="K2709"/>
      <c r="L2709" s="11"/>
      <c r="M2709"/>
      <c r="N2709" s="3"/>
      <c r="O2709" s="11"/>
      <c r="P2709" s="11"/>
      <c r="Q2709" s="11"/>
      <c r="R2709" s="11"/>
      <c r="S2709" s="11"/>
      <c r="T2709" s="11"/>
      <c r="U2709" s="11"/>
    </row>
    <row r="2710" spans="2:21" x14ac:dyDescent="0.35">
      <c r="B2710"/>
      <c r="C2710"/>
      <c r="D2710"/>
      <c r="E2710"/>
      <c r="F2710"/>
      <c r="G2710"/>
      <c r="H2710"/>
      <c r="I2710"/>
      <c r="J2710"/>
      <c r="K2710"/>
      <c r="L2710" s="11"/>
      <c r="M2710"/>
      <c r="N2710" s="3"/>
      <c r="O2710" s="11"/>
      <c r="P2710" s="11"/>
      <c r="Q2710" s="11"/>
      <c r="R2710" s="11"/>
      <c r="S2710" s="11"/>
      <c r="T2710" s="11"/>
      <c r="U2710" s="11"/>
    </row>
    <row r="2711" spans="2:21" x14ac:dyDescent="0.35">
      <c r="B2711"/>
      <c r="C2711"/>
      <c r="D2711"/>
      <c r="E2711"/>
      <c r="F2711"/>
      <c r="G2711"/>
      <c r="H2711"/>
      <c r="I2711"/>
      <c r="J2711"/>
      <c r="K2711"/>
      <c r="L2711" s="11"/>
      <c r="M2711"/>
      <c r="N2711" s="3"/>
      <c r="O2711" s="11"/>
      <c r="P2711" s="11"/>
      <c r="Q2711" s="11"/>
      <c r="R2711" s="11"/>
      <c r="S2711" s="11"/>
      <c r="T2711" s="11"/>
      <c r="U2711" s="11"/>
    </row>
    <row r="2712" spans="2:21" x14ac:dyDescent="0.35">
      <c r="B2712"/>
      <c r="C2712"/>
      <c r="D2712"/>
      <c r="E2712"/>
      <c r="F2712"/>
      <c r="G2712"/>
      <c r="H2712"/>
      <c r="I2712"/>
      <c r="J2712"/>
      <c r="K2712"/>
      <c r="L2712" s="11"/>
      <c r="M2712"/>
      <c r="N2712" s="3"/>
      <c r="O2712" s="11"/>
      <c r="P2712" s="11"/>
      <c r="Q2712" s="11"/>
      <c r="R2712" s="11"/>
      <c r="S2712" s="11"/>
      <c r="T2712" s="11"/>
      <c r="U2712" s="11"/>
    </row>
    <row r="2713" spans="2:21" x14ac:dyDescent="0.35">
      <c r="B2713"/>
      <c r="C2713"/>
      <c r="D2713"/>
      <c r="E2713"/>
      <c r="F2713"/>
      <c r="G2713"/>
      <c r="H2713"/>
      <c r="I2713"/>
      <c r="J2713"/>
      <c r="K2713"/>
      <c r="L2713" s="11"/>
      <c r="M2713"/>
      <c r="N2713" s="3"/>
      <c r="O2713" s="11"/>
      <c r="P2713" s="11"/>
      <c r="Q2713" s="11"/>
      <c r="R2713" s="11"/>
      <c r="S2713" s="11"/>
      <c r="T2713" s="11"/>
      <c r="U2713" s="11"/>
    </row>
    <row r="2714" spans="2:21" x14ac:dyDescent="0.35">
      <c r="B2714"/>
      <c r="C2714"/>
      <c r="D2714"/>
      <c r="E2714"/>
      <c r="F2714"/>
      <c r="G2714"/>
      <c r="H2714"/>
      <c r="I2714"/>
      <c r="J2714"/>
      <c r="K2714"/>
      <c r="L2714" s="11"/>
      <c r="M2714"/>
      <c r="N2714" s="3"/>
      <c r="O2714" s="11"/>
      <c r="P2714" s="11"/>
      <c r="Q2714" s="11"/>
      <c r="R2714" s="11"/>
      <c r="S2714" s="11"/>
      <c r="T2714" s="11"/>
      <c r="U2714" s="11"/>
    </row>
    <row r="2715" spans="2:21" x14ac:dyDescent="0.35">
      <c r="B2715"/>
      <c r="C2715"/>
      <c r="D2715"/>
      <c r="E2715"/>
      <c r="F2715"/>
      <c r="G2715"/>
      <c r="H2715"/>
      <c r="I2715"/>
      <c r="J2715"/>
      <c r="K2715"/>
      <c r="L2715" s="11"/>
      <c r="M2715"/>
      <c r="N2715" s="3"/>
      <c r="O2715" s="11"/>
      <c r="P2715" s="11"/>
      <c r="Q2715" s="11"/>
      <c r="R2715" s="11"/>
      <c r="S2715" s="11"/>
      <c r="T2715" s="11"/>
      <c r="U2715" s="11"/>
    </row>
    <row r="2716" spans="2:21" x14ac:dyDescent="0.35">
      <c r="B2716"/>
      <c r="C2716"/>
      <c r="D2716"/>
      <c r="E2716"/>
      <c r="F2716"/>
      <c r="G2716"/>
      <c r="H2716"/>
      <c r="I2716"/>
      <c r="J2716"/>
      <c r="K2716"/>
      <c r="L2716" s="11"/>
      <c r="M2716"/>
      <c r="N2716" s="3"/>
      <c r="O2716" s="11"/>
      <c r="P2716" s="11"/>
      <c r="Q2716" s="11"/>
      <c r="R2716" s="11"/>
      <c r="S2716" s="11"/>
      <c r="T2716" s="11"/>
      <c r="U2716" s="11"/>
    </row>
    <row r="2717" spans="2:21" x14ac:dyDescent="0.35">
      <c r="B2717"/>
      <c r="C2717"/>
      <c r="D2717"/>
      <c r="E2717"/>
      <c r="F2717"/>
      <c r="G2717"/>
      <c r="H2717"/>
      <c r="I2717"/>
      <c r="J2717"/>
      <c r="K2717"/>
      <c r="L2717" s="11"/>
      <c r="M2717"/>
      <c r="N2717" s="3"/>
      <c r="O2717" s="11"/>
      <c r="P2717" s="11"/>
      <c r="Q2717" s="11"/>
      <c r="R2717" s="11"/>
      <c r="S2717" s="11"/>
      <c r="T2717" s="11"/>
      <c r="U2717" s="11"/>
    </row>
    <row r="2718" spans="2:21" x14ac:dyDescent="0.35">
      <c r="B2718"/>
      <c r="C2718"/>
      <c r="D2718"/>
      <c r="E2718"/>
      <c r="F2718"/>
      <c r="G2718"/>
      <c r="H2718"/>
      <c r="I2718"/>
      <c r="J2718"/>
      <c r="K2718"/>
      <c r="L2718" s="11"/>
      <c r="M2718"/>
      <c r="N2718" s="3"/>
      <c r="O2718" s="11"/>
      <c r="P2718" s="11"/>
      <c r="Q2718" s="11"/>
      <c r="R2718" s="11"/>
      <c r="S2718" s="11"/>
      <c r="T2718" s="11"/>
      <c r="U2718" s="11"/>
    </row>
    <row r="2719" spans="2:21" x14ac:dyDescent="0.35">
      <c r="K2719" s="3"/>
    </row>
  </sheetData>
  <phoneticPr fontId="2" type="noConversion"/>
  <conditionalFormatting sqref="I2719:I1048576 N55 M539:N539 M508:N509 M511:N513 M515:N515 M560:N565 M544:N555 M518:N526 M535:N536 M655:N656 M660:N661 N1085 M621:N625 M528:N533 M542:N542 M600:N600 M737:N739 M573:N598 M887:N891 M718 M719:N720 M658:N658 M557:N558 M56:N60 M1020:M1021 M486:N499 M485 M502:M504 N79 M80:N81 M608:N618 M628:N653 M663:N672 M675:N684 M686:N702 M708:N713 M742:N750 M790:N790 M1024:N1027 N82 M179:N332 N178 M602:N604 N601 M777:N777 N776 N785:N786 N788:N789 N791 N832:N834 M997:N997 N996 M1029:N1036 N1028 M334:N435 N566:N568 M894:N901 M62:N78 N61 M437:N484 M810:N810 M826:N828 M1086:N1129 M705:N705 N703:N704 N706 M716:N717 N714:N715 M722:N729 N721 M732:N732 N730:N731 M734:N735 N733 N741 M754:N754 N753 M757:N758 N755:N756 M760:N761 N759 N762 M774:N775 N773 N778 M812:N813 N811 N814 N824:N825 N829 N841 M875:N881 N874 N885:N886 N892:N893 M903:N922 N902 M924:N931 N923 M933:N959 N932 M961:N969 N960 M971:N981 N970 N982 M999:N1016 N998 M1018:N1019 N1017 N1022:N1023 N1037 M1070:N1073 N1069 M1075:N1084 N1074 M1131:N1134 N1130 N1135 N1143 M1171:N1175 N1170 M1177:N1194 N1176 N1195 M1038:N1068 M569:N571 M1144:N1169 M1136:N1142 N751 M752:N752 M763:N772 M779:N784 M792:N805 M815:N823 M983:N995 M835:N840 M1196:N1331 M16:N54 M83:N177 M842:N873 K16:K1331">
    <cfRule type="cellIs" dxfId="613" priority="2465" operator="equal">
      <formula>"Desactivado"</formula>
    </cfRule>
    <cfRule type="cellIs" dxfId="612" priority="2466" operator="equal">
      <formula>"Sobre Stock"</formula>
    </cfRule>
    <cfRule type="cellIs" dxfId="611" priority="2467" operator="equal">
      <formula>"Bajo Stock"</formula>
    </cfRule>
    <cfRule type="cellIs" dxfId="610" priority="2468" operator="equal">
      <formula>"Stock OK"</formula>
    </cfRule>
    <cfRule type="cellIs" dxfId="609" priority="2469" operator="equal">
      <formula>"Quiebre Stock"</formula>
    </cfRule>
  </conditionalFormatting>
  <conditionalFormatting pivot="1" sqref="G3:G13">
    <cfRule type="cellIs" dxfId="608" priority="2459" operator="lessThan">
      <formula>0.9</formula>
    </cfRule>
  </conditionalFormatting>
  <conditionalFormatting sqref="I3">
    <cfRule type="cellIs" dxfId="607" priority="2454" operator="equal">
      <formula>"Desactivado"</formula>
    </cfRule>
    <cfRule type="cellIs" dxfId="606" priority="2455" operator="equal">
      <formula>"Sobre Stock"</formula>
    </cfRule>
    <cfRule type="cellIs" dxfId="605" priority="2456" operator="equal">
      <formula>"Bajo Stock"</formula>
    </cfRule>
    <cfRule type="cellIs" dxfId="604" priority="2457" operator="equal">
      <formula>"Stock OK"</formula>
    </cfRule>
    <cfRule type="cellIs" dxfId="603" priority="2458" operator="equal">
      <formula>"Quiebre Stock"</formula>
    </cfRule>
  </conditionalFormatting>
  <conditionalFormatting sqref="I4">
    <cfRule type="cellIs" dxfId="602" priority="2449" operator="equal">
      <formula>"Desactivado"</formula>
    </cfRule>
    <cfRule type="cellIs" dxfId="601" priority="2450" operator="equal">
      <formula>"Sobre Stock"</formula>
    </cfRule>
    <cfRule type="cellIs" dxfId="600" priority="2451" operator="equal">
      <formula>"Bajo Stock"</formula>
    </cfRule>
    <cfRule type="cellIs" dxfId="599" priority="2452" operator="equal">
      <formula>"Stock OK"</formula>
    </cfRule>
    <cfRule type="cellIs" dxfId="598" priority="2453" operator="equal">
      <formula>"Quiebre Stock"</formula>
    </cfRule>
  </conditionalFormatting>
  <conditionalFormatting sqref="I6">
    <cfRule type="cellIs" dxfId="597" priority="2444" operator="equal">
      <formula>"Desactivado"</formula>
    </cfRule>
    <cfRule type="cellIs" dxfId="596" priority="2445" operator="equal">
      <formula>"Sobre Stock"</formula>
    </cfRule>
    <cfRule type="cellIs" dxfId="595" priority="2446" operator="equal">
      <formula>"Bajo Stock"</formula>
    </cfRule>
    <cfRule type="cellIs" dxfId="594" priority="2447" operator="equal">
      <formula>"Stock OK"</formula>
    </cfRule>
    <cfRule type="cellIs" dxfId="593" priority="2448" operator="equal">
      <formula>"Quiebre Stock"</formula>
    </cfRule>
  </conditionalFormatting>
  <conditionalFormatting sqref="I5">
    <cfRule type="cellIs" dxfId="592" priority="2439" operator="equal">
      <formula>"Desactivado"</formula>
    </cfRule>
    <cfRule type="cellIs" dxfId="591" priority="2440" operator="equal">
      <formula>"Sobre Stock"</formula>
    </cfRule>
    <cfRule type="cellIs" dxfId="590" priority="2441" operator="equal">
      <formula>"Bajo Stock"</formula>
    </cfRule>
    <cfRule type="cellIs" dxfId="589" priority="2442" operator="equal">
      <formula>"Stock OK"</formula>
    </cfRule>
    <cfRule type="cellIs" dxfId="588" priority="2443" operator="equal">
      <formula>"Quiebre Stock"</formula>
    </cfRule>
  </conditionalFormatting>
  <conditionalFormatting pivot="1" sqref="J3">
    <cfRule type="cellIs" dxfId="587" priority="2434" operator="equal">
      <formula>"Desactivado"</formula>
    </cfRule>
    <cfRule type="cellIs" dxfId="586" priority="2435" operator="equal">
      <formula>"Sobre Stock"</formula>
    </cfRule>
    <cfRule type="cellIs" dxfId="585" priority="2436" operator="equal">
      <formula>"Bajo Stock"</formula>
    </cfRule>
    <cfRule type="cellIs" dxfId="584" priority="2437" operator="equal">
      <formula>"Stock OK"</formula>
    </cfRule>
    <cfRule type="cellIs" dxfId="583" priority="2438" operator="equal">
      <formula>"Quiebre Stock"</formula>
    </cfRule>
  </conditionalFormatting>
  <conditionalFormatting sqref="N1332:N2102 R1020:R1021 Q486:R499 R485 Q501:R501 R500 R502:R505 Q1022:R1331 Q17:R484 Q506:R1019">
    <cfRule type="cellIs" dxfId="582" priority="2433" operator="lessThan">
      <formula>TODAY()</formula>
    </cfRule>
  </conditionalFormatting>
  <conditionalFormatting sqref="N516">
    <cfRule type="cellIs" dxfId="581" priority="2385" operator="equal">
      <formula>"Desactivado"</formula>
    </cfRule>
    <cfRule type="cellIs" dxfId="580" priority="2386" operator="equal">
      <formula>"Sobre Stock"</formula>
    </cfRule>
    <cfRule type="cellIs" dxfId="579" priority="2387" operator="equal">
      <formula>"Bajo Stock"</formula>
    </cfRule>
    <cfRule type="cellIs" dxfId="578" priority="2388" operator="equal">
      <formula>"Stock OK"</formula>
    </cfRule>
    <cfRule type="cellIs" dxfId="577" priority="2389" operator="equal">
      <formula>"Quiebre Stock"</formula>
    </cfRule>
  </conditionalFormatting>
  <conditionalFormatting sqref="N619">
    <cfRule type="cellIs" dxfId="576" priority="2379" operator="equal">
      <formula>"Desactivado"</formula>
    </cfRule>
    <cfRule type="cellIs" dxfId="575" priority="2380" operator="equal">
      <formula>"Sobre Stock"</formula>
    </cfRule>
    <cfRule type="cellIs" dxfId="574" priority="2381" operator="equal">
      <formula>"Bajo Stock"</formula>
    </cfRule>
    <cfRule type="cellIs" dxfId="573" priority="2382" operator="equal">
      <formula>"Stock OK"</formula>
    </cfRule>
    <cfRule type="cellIs" dxfId="572" priority="2383" operator="equal">
      <formula>"Quiebre Stock"</formula>
    </cfRule>
  </conditionalFormatting>
  <conditionalFormatting sqref="N620">
    <cfRule type="cellIs" dxfId="571" priority="2373" operator="equal">
      <formula>"Desactivado"</formula>
    </cfRule>
    <cfRule type="cellIs" dxfId="570" priority="2374" operator="equal">
      <formula>"Sobre Stock"</formula>
    </cfRule>
    <cfRule type="cellIs" dxfId="569" priority="2375" operator="equal">
      <formula>"Bajo Stock"</formula>
    </cfRule>
    <cfRule type="cellIs" dxfId="568" priority="2376" operator="equal">
      <formula>"Stock OK"</formula>
    </cfRule>
    <cfRule type="cellIs" dxfId="567" priority="2377" operator="equal">
      <formula>"Quiebre Stock"</formula>
    </cfRule>
  </conditionalFormatting>
  <conditionalFormatting sqref="M627:N627">
    <cfRule type="cellIs" dxfId="566" priority="2361" operator="equal">
      <formula>"Desactivado"</formula>
    </cfRule>
    <cfRule type="cellIs" dxfId="565" priority="2362" operator="equal">
      <formula>"Sobre Stock"</formula>
    </cfRule>
    <cfRule type="cellIs" dxfId="564" priority="2363" operator="equal">
      <formula>"Bajo Stock"</formula>
    </cfRule>
    <cfRule type="cellIs" dxfId="563" priority="2364" operator="equal">
      <formula>"Stock OK"</formula>
    </cfRule>
    <cfRule type="cellIs" dxfId="562" priority="2365" operator="equal">
      <formula>"Quiebre Stock"</formula>
    </cfRule>
  </conditionalFormatting>
  <conditionalFormatting sqref="M654:N654">
    <cfRule type="cellIs" dxfId="561" priority="2355" operator="equal">
      <formula>"Desactivado"</formula>
    </cfRule>
    <cfRule type="cellIs" dxfId="560" priority="2356" operator="equal">
      <formula>"Sobre Stock"</formula>
    </cfRule>
    <cfRule type="cellIs" dxfId="559" priority="2357" operator="equal">
      <formula>"Bajo Stock"</formula>
    </cfRule>
    <cfRule type="cellIs" dxfId="558" priority="2358" operator="equal">
      <formula>"Stock OK"</formula>
    </cfRule>
    <cfRule type="cellIs" dxfId="557" priority="2359" operator="equal">
      <formula>"Quiebre Stock"</formula>
    </cfRule>
  </conditionalFormatting>
  <conditionalFormatting sqref="M657:N657">
    <cfRule type="cellIs" dxfId="556" priority="2349" operator="equal">
      <formula>"Desactivado"</formula>
    </cfRule>
    <cfRule type="cellIs" dxfId="555" priority="2350" operator="equal">
      <formula>"Sobre Stock"</formula>
    </cfRule>
    <cfRule type="cellIs" dxfId="554" priority="2351" operator="equal">
      <formula>"Bajo Stock"</formula>
    </cfRule>
    <cfRule type="cellIs" dxfId="553" priority="2352" operator="equal">
      <formula>"Stock OK"</formula>
    </cfRule>
    <cfRule type="cellIs" dxfId="552" priority="2353" operator="equal">
      <formula>"Quiebre Stock"</formula>
    </cfRule>
  </conditionalFormatting>
  <conditionalFormatting sqref="M626:N626">
    <cfRule type="cellIs" dxfId="551" priority="2343" operator="equal">
      <formula>"Desactivado"</formula>
    </cfRule>
    <cfRule type="cellIs" dxfId="550" priority="2344" operator="equal">
      <formula>"Sobre Stock"</formula>
    </cfRule>
    <cfRule type="cellIs" dxfId="549" priority="2345" operator="equal">
      <formula>"Bajo Stock"</formula>
    </cfRule>
    <cfRule type="cellIs" dxfId="548" priority="2346" operator="equal">
      <formula>"Stock OK"</formula>
    </cfRule>
    <cfRule type="cellIs" dxfId="547" priority="2347" operator="equal">
      <formula>"Quiebre Stock"</formula>
    </cfRule>
  </conditionalFormatting>
  <conditionalFormatting sqref="M659:N659">
    <cfRule type="cellIs" dxfId="546" priority="2337" operator="equal">
      <formula>"Desactivado"</formula>
    </cfRule>
    <cfRule type="cellIs" dxfId="545" priority="2338" operator="equal">
      <formula>"Sobre Stock"</formula>
    </cfRule>
    <cfRule type="cellIs" dxfId="544" priority="2339" operator="equal">
      <formula>"Bajo Stock"</formula>
    </cfRule>
    <cfRule type="cellIs" dxfId="543" priority="2340" operator="equal">
      <formula>"Stock OK"</formula>
    </cfRule>
    <cfRule type="cellIs" dxfId="542" priority="2341" operator="equal">
      <formula>"Quiebre Stock"</formula>
    </cfRule>
  </conditionalFormatting>
  <conditionalFormatting sqref="M662:N662">
    <cfRule type="cellIs" dxfId="541" priority="2331" operator="equal">
      <formula>"Desactivado"</formula>
    </cfRule>
    <cfRule type="cellIs" dxfId="540" priority="2332" operator="equal">
      <formula>"Sobre Stock"</formula>
    </cfRule>
    <cfRule type="cellIs" dxfId="539" priority="2333" operator="equal">
      <formula>"Bajo Stock"</formula>
    </cfRule>
    <cfRule type="cellIs" dxfId="538" priority="2334" operator="equal">
      <formula>"Stock OK"</formula>
    </cfRule>
    <cfRule type="cellIs" dxfId="537" priority="2335" operator="equal">
      <formula>"Quiebre Stock"</formula>
    </cfRule>
  </conditionalFormatting>
  <conditionalFormatting sqref="M673:N673">
    <cfRule type="cellIs" dxfId="536" priority="2325" operator="equal">
      <formula>"Desactivado"</formula>
    </cfRule>
    <cfRule type="cellIs" dxfId="535" priority="2326" operator="equal">
      <formula>"Sobre Stock"</formula>
    </cfRule>
    <cfRule type="cellIs" dxfId="534" priority="2327" operator="equal">
      <formula>"Bajo Stock"</formula>
    </cfRule>
    <cfRule type="cellIs" dxfId="533" priority="2328" operator="equal">
      <formula>"Stock OK"</formula>
    </cfRule>
    <cfRule type="cellIs" dxfId="532" priority="2329" operator="equal">
      <formula>"Quiebre Stock"</formula>
    </cfRule>
  </conditionalFormatting>
  <conditionalFormatting sqref="M674:N674">
    <cfRule type="cellIs" dxfId="531" priority="2319" operator="equal">
      <formula>"Desactivado"</formula>
    </cfRule>
    <cfRule type="cellIs" dxfId="530" priority="2320" operator="equal">
      <formula>"Sobre Stock"</formula>
    </cfRule>
    <cfRule type="cellIs" dxfId="529" priority="2321" operator="equal">
      <formula>"Bajo Stock"</formula>
    </cfRule>
    <cfRule type="cellIs" dxfId="528" priority="2322" operator="equal">
      <formula>"Stock OK"</formula>
    </cfRule>
    <cfRule type="cellIs" dxfId="527" priority="2323" operator="equal">
      <formula>"Quiebre Stock"</formula>
    </cfRule>
  </conditionalFormatting>
  <conditionalFormatting sqref="M740:N740">
    <cfRule type="cellIs" dxfId="526" priority="2313" operator="equal">
      <formula>"Desactivado"</formula>
    </cfRule>
    <cfRule type="cellIs" dxfId="525" priority="2314" operator="equal">
      <formula>"Sobre Stock"</formula>
    </cfRule>
    <cfRule type="cellIs" dxfId="524" priority="2315" operator="equal">
      <formula>"Bajo Stock"</formula>
    </cfRule>
    <cfRule type="cellIs" dxfId="523" priority="2316" operator="equal">
      <formula>"Stock OK"</formula>
    </cfRule>
    <cfRule type="cellIs" dxfId="522" priority="2317" operator="equal">
      <formula>"Quiebre Stock"</formula>
    </cfRule>
  </conditionalFormatting>
  <conditionalFormatting sqref="N685">
    <cfRule type="cellIs" dxfId="521" priority="2301" operator="equal">
      <formula>"Desactivado"</formula>
    </cfRule>
    <cfRule type="cellIs" dxfId="520" priority="2302" operator="equal">
      <formula>"Sobre Stock"</formula>
    </cfRule>
    <cfRule type="cellIs" dxfId="519" priority="2303" operator="equal">
      <formula>"Bajo Stock"</formula>
    </cfRule>
    <cfRule type="cellIs" dxfId="518" priority="2304" operator="equal">
      <formula>"Stock OK"</formula>
    </cfRule>
    <cfRule type="cellIs" dxfId="517" priority="2305" operator="equal">
      <formula>"Quiebre Stock"</formula>
    </cfRule>
  </conditionalFormatting>
  <conditionalFormatting sqref="M707:N707">
    <cfRule type="cellIs" dxfId="516" priority="2295" operator="equal">
      <formula>"Desactivado"</formula>
    </cfRule>
    <cfRule type="cellIs" dxfId="515" priority="2296" operator="equal">
      <formula>"Sobre Stock"</formula>
    </cfRule>
    <cfRule type="cellIs" dxfId="514" priority="2297" operator="equal">
      <formula>"Bajo Stock"</formula>
    </cfRule>
    <cfRule type="cellIs" dxfId="513" priority="2298" operator="equal">
      <formula>"Stock OK"</formula>
    </cfRule>
    <cfRule type="cellIs" dxfId="512" priority="2299" operator="equal">
      <formula>"Quiebre Stock"</formula>
    </cfRule>
  </conditionalFormatting>
  <conditionalFormatting sqref="M787:N787">
    <cfRule type="cellIs" dxfId="511" priority="2289" operator="equal">
      <formula>"Desactivado"</formula>
    </cfRule>
    <cfRule type="cellIs" dxfId="510" priority="2290" operator="equal">
      <formula>"Sobre Stock"</formula>
    </cfRule>
    <cfRule type="cellIs" dxfId="509" priority="2291" operator="equal">
      <formula>"Bajo Stock"</formula>
    </cfRule>
    <cfRule type="cellIs" dxfId="508" priority="2292" operator="equal">
      <formula>"Stock OK"</formula>
    </cfRule>
    <cfRule type="cellIs" dxfId="507" priority="2293" operator="equal">
      <formula>"Quiebre Stock"</formula>
    </cfRule>
  </conditionalFormatting>
  <conditionalFormatting sqref="M806:N806">
    <cfRule type="cellIs" dxfId="506" priority="2283" operator="equal">
      <formula>"Desactivado"</formula>
    </cfRule>
    <cfRule type="cellIs" dxfId="505" priority="2284" operator="equal">
      <formula>"Sobre Stock"</formula>
    </cfRule>
    <cfRule type="cellIs" dxfId="504" priority="2285" operator="equal">
      <formula>"Bajo Stock"</formula>
    </cfRule>
    <cfRule type="cellIs" dxfId="503" priority="2286" operator="equal">
      <formula>"Stock OK"</formula>
    </cfRule>
    <cfRule type="cellIs" dxfId="502" priority="2287" operator="equal">
      <formula>"Quiebre Stock"</formula>
    </cfRule>
  </conditionalFormatting>
  <conditionalFormatting sqref="M807:N807">
    <cfRule type="cellIs" dxfId="501" priority="2277" operator="equal">
      <formula>"Desactivado"</formula>
    </cfRule>
    <cfRule type="cellIs" dxfId="500" priority="2278" operator="equal">
      <formula>"Sobre Stock"</formula>
    </cfRule>
    <cfRule type="cellIs" dxfId="499" priority="2279" operator="equal">
      <formula>"Bajo Stock"</formula>
    </cfRule>
    <cfRule type="cellIs" dxfId="498" priority="2280" operator="equal">
      <formula>"Stock OK"</formula>
    </cfRule>
    <cfRule type="cellIs" dxfId="497" priority="2281" operator="equal">
      <formula>"Quiebre Stock"</formula>
    </cfRule>
  </conditionalFormatting>
  <conditionalFormatting sqref="N808">
    <cfRule type="cellIs" dxfId="496" priority="2271" operator="equal">
      <formula>"Desactivado"</formula>
    </cfRule>
    <cfRule type="cellIs" dxfId="495" priority="2272" operator="equal">
      <formula>"Sobre Stock"</formula>
    </cfRule>
    <cfRule type="cellIs" dxfId="494" priority="2273" operator="equal">
      <formula>"Bajo Stock"</formula>
    </cfRule>
    <cfRule type="cellIs" dxfId="493" priority="2274" operator="equal">
      <formula>"Stock OK"</formula>
    </cfRule>
    <cfRule type="cellIs" dxfId="492" priority="2275" operator="equal">
      <formula>"Quiebre Stock"</formula>
    </cfRule>
  </conditionalFormatting>
  <conditionalFormatting sqref="M809:N809">
    <cfRule type="cellIs" dxfId="491" priority="2265" operator="equal">
      <formula>"Desactivado"</formula>
    </cfRule>
    <cfRule type="cellIs" dxfId="490" priority="2266" operator="equal">
      <formula>"Sobre Stock"</formula>
    </cfRule>
    <cfRule type="cellIs" dxfId="489" priority="2267" operator="equal">
      <formula>"Bajo Stock"</formula>
    </cfRule>
    <cfRule type="cellIs" dxfId="488" priority="2268" operator="equal">
      <formula>"Stock OK"</formula>
    </cfRule>
    <cfRule type="cellIs" dxfId="487" priority="2269" operator="equal">
      <formula>"Quiebre Stock"</formula>
    </cfRule>
  </conditionalFormatting>
  <conditionalFormatting sqref="M830:N830">
    <cfRule type="cellIs" dxfId="486" priority="2229" operator="equal">
      <formula>"Desactivado"</formula>
    </cfRule>
    <cfRule type="cellIs" dxfId="485" priority="2230" operator="equal">
      <formula>"Sobre Stock"</formula>
    </cfRule>
    <cfRule type="cellIs" dxfId="484" priority="2231" operator="equal">
      <formula>"Bajo Stock"</formula>
    </cfRule>
    <cfRule type="cellIs" dxfId="483" priority="2232" operator="equal">
      <formula>"Stock OK"</formula>
    </cfRule>
    <cfRule type="cellIs" dxfId="482" priority="2233" operator="equal">
      <formula>"Quiebre Stock"</formula>
    </cfRule>
  </conditionalFormatting>
  <conditionalFormatting sqref="M831:N831">
    <cfRule type="cellIs" dxfId="481" priority="2223" operator="equal">
      <formula>"Desactivado"</formula>
    </cfRule>
    <cfRule type="cellIs" dxfId="480" priority="2224" operator="equal">
      <formula>"Sobre Stock"</formula>
    </cfRule>
    <cfRule type="cellIs" dxfId="479" priority="2225" operator="equal">
      <formula>"Bajo Stock"</formula>
    </cfRule>
    <cfRule type="cellIs" dxfId="478" priority="2226" operator="equal">
      <formula>"Stock OK"</formula>
    </cfRule>
    <cfRule type="cellIs" dxfId="477" priority="2227" operator="equal">
      <formula>"Quiebre Stock"</formula>
    </cfRule>
  </conditionalFormatting>
  <conditionalFormatting sqref="M333:N333">
    <cfRule type="cellIs" dxfId="476" priority="2187" operator="equal">
      <formula>"Desactivado"</formula>
    </cfRule>
    <cfRule type="cellIs" dxfId="475" priority="2188" operator="equal">
      <formula>"Sobre Stock"</formula>
    </cfRule>
    <cfRule type="cellIs" dxfId="474" priority="2189" operator="equal">
      <formula>"Bajo Stock"</formula>
    </cfRule>
    <cfRule type="cellIs" dxfId="473" priority="2190" operator="equal">
      <formula>"Stock OK"</formula>
    </cfRule>
    <cfRule type="cellIs" dxfId="472" priority="2191" operator="equal">
      <formula>"Quiebre Stock"</formula>
    </cfRule>
  </conditionalFormatting>
  <conditionalFormatting sqref="M436:N436">
    <cfRule type="cellIs" dxfId="471" priority="2181" operator="equal">
      <formula>"Desactivado"</formula>
    </cfRule>
    <cfRule type="cellIs" dxfId="470" priority="2182" operator="equal">
      <formula>"Sobre Stock"</formula>
    </cfRule>
    <cfRule type="cellIs" dxfId="469" priority="2183" operator="equal">
      <formula>"Bajo Stock"</formula>
    </cfRule>
    <cfRule type="cellIs" dxfId="468" priority="2184" operator="equal">
      <formula>"Stock OK"</formula>
    </cfRule>
    <cfRule type="cellIs" dxfId="467" priority="2185" operator="equal">
      <formula>"Quiebre Stock"</formula>
    </cfRule>
  </conditionalFormatting>
  <conditionalFormatting sqref="M55">
    <cfRule type="cellIs" dxfId="466" priority="2053" operator="equal">
      <formula>"Desactivado"</formula>
    </cfRule>
    <cfRule type="cellIs" dxfId="465" priority="2054" operator="equal">
      <formula>"Sobre Stock"</formula>
    </cfRule>
    <cfRule type="cellIs" dxfId="464" priority="2055" operator="equal">
      <formula>"Bajo Stock"</formula>
    </cfRule>
    <cfRule type="cellIs" dxfId="463" priority="2056" operator="equal">
      <formula>"Stock OK"</formula>
    </cfRule>
    <cfRule type="cellIs" dxfId="462" priority="2057" operator="equal">
      <formula>"Quiebre Stock"</formula>
    </cfRule>
  </conditionalFormatting>
  <conditionalFormatting sqref="N501">
    <cfRule type="cellIs" dxfId="461" priority="1824" operator="equal">
      <formula>"Desactivado"</formula>
    </cfRule>
    <cfRule type="cellIs" dxfId="460" priority="1825" operator="equal">
      <formula>"Sobre Stock"</formula>
    </cfRule>
    <cfRule type="cellIs" dxfId="459" priority="1826" operator="equal">
      <formula>"Bajo Stock"</formula>
    </cfRule>
    <cfRule type="cellIs" dxfId="458" priority="1827" operator="equal">
      <formula>"Stock OK"</formula>
    </cfRule>
    <cfRule type="cellIs" dxfId="457" priority="1828" operator="equal">
      <formula>"Quiebre Stock"</formula>
    </cfRule>
  </conditionalFormatting>
  <conditionalFormatting sqref="M501">
    <cfRule type="cellIs" dxfId="456" priority="1818" operator="equal">
      <formula>"Desactivado"</formula>
    </cfRule>
    <cfRule type="cellIs" dxfId="455" priority="1819" operator="equal">
      <formula>"Sobre Stock"</formula>
    </cfRule>
    <cfRule type="cellIs" dxfId="454" priority="1820" operator="equal">
      <formula>"Bajo Stock"</formula>
    </cfRule>
    <cfRule type="cellIs" dxfId="453" priority="1821" operator="equal">
      <formula>"Stock OK"</formula>
    </cfRule>
    <cfRule type="cellIs" dxfId="452" priority="1822" operator="equal">
      <formula>"Quiebre Stock"</formula>
    </cfRule>
  </conditionalFormatting>
  <conditionalFormatting sqref="M505">
    <cfRule type="cellIs" dxfId="451" priority="1803" operator="equal">
      <formula>"Desactivado"</formula>
    </cfRule>
    <cfRule type="cellIs" dxfId="450" priority="1804" operator="equal">
      <formula>"Sobre Stock"</formula>
    </cfRule>
    <cfRule type="cellIs" dxfId="449" priority="1805" operator="equal">
      <formula>"Bajo Stock"</formula>
    </cfRule>
    <cfRule type="cellIs" dxfId="448" priority="1806" operator="equal">
      <formula>"Stock OK"</formula>
    </cfRule>
    <cfRule type="cellIs" dxfId="447" priority="1807" operator="equal">
      <formula>"Quiebre Stock"</formula>
    </cfRule>
  </conditionalFormatting>
  <conditionalFormatting sqref="M506:N506">
    <cfRule type="cellIs" dxfId="446" priority="1792" operator="equal">
      <formula>"Desactivado"</formula>
    </cfRule>
    <cfRule type="cellIs" dxfId="445" priority="1793" operator="equal">
      <formula>"Sobre Stock"</formula>
    </cfRule>
    <cfRule type="cellIs" dxfId="444" priority="1794" operator="equal">
      <formula>"Bajo Stock"</formula>
    </cfRule>
    <cfRule type="cellIs" dxfId="443" priority="1795" operator="equal">
      <formula>"Stock OK"</formula>
    </cfRule>
    <cfRule type="cellIs" dxfId="442" priority="1796" operator="equal">
      <formula>"Quiebre Stock"</formula>
    </cfRule>
  </conditionalFormatting>
  <conditionalFormatting sqref="M507:N507">
    <cfRule type="cellIs" dxfId="441" priority="1781" operator="equal">
      <formula>"Desactivado"</formula>
    </cfRule>
    <cfRule type="cellIs" dxfId="440" priority="1782" operator="equal">
      <formula>"Sobre Stock"</formula>
    </cfRule>
    <cfRule type="cellIs" dxfId="439" priority="1783" operator="equal">
      <formula>"Bajo Stock"</formula>
    </cfRule>
    <cfRule type="cellIs" dxfId="438" priority="1784" operator="equal">
      <formula>"Stock OK"</formula>
    </cfRule>
    <cfRule type="cellIs" dxfId="437" priority="1785" operator="equal">
      <formula>"Quiebre Stock"</formula>
    </cfRule>
  </conditionalFormatting>
  <conditionalFormatting sqref="M510:N510">
    <cfRule type="cellIs" dxfId="436" priority="1770" operator="equal">
      <formula>"Desactivado"</formula>
    </cfRule>
    <cfRule type="cellIs" dxfId="435" priority="1771" operator="equal">
      <formula>"Sobre Stock"</formula>
    </cfRule>
    <cfRule type="cellIs" dxfId="434" priority="1772" operator="equal">
      <formula>"Bajo Stock"</formula>
    </cfRule>
    <cfRule type="cellIs" dxfId="433" priority="1773" operator="equal">
      <formula>"Stock OK"</formula>
    </cfRule>
    <cfRule type="cellIs" dxfId="432" priority="1774" operator="equal">
      <formula>"Quiebre Stock"</formula>
    </cfRule>
  </conditionalFormatting>
  <conditionalFormatting sqref="M514:N514">
    <cfRule type="cellIs" dxfId="431" priority="1759" operator="equal">
      <formula>"Desactivado"</formula>
    </cfRule>
    <cfRule type="cellIs" dxfId="430" priority="1760" operator="equal">
      <formula>"Sobre Stock"</formula>
    </cfRule>
    <cfRule type="cellIs" dxfId="429" priority="1761" operator="equal">
      <formula>"Bajo Stock"</formula>
    </cfRule>
    <cfRule type="cellIs" dxfId="428" priority="1762" operator="equal">
      <formula>"Stock OK"</formula>
    </cfRule>
    <cfRule type="cellIs" dxfId="427" priority="1763" operator="equal">
      <formula>"Quiebre Stock"</formula>
    </cfRule>
  </conditionalFormatting>
  <conditionalFormatting sqref="M516">
    <cfRule type="cellIs" dxfId="426" priority="1738" operator="equal">
      <formula>"Desactivado"</formula>
    </cfRule>
    <cfRule type="cellIs" dxfId="425" priority="1739" operator="equal">
      <formula>"Sobre Stock"</formula>
    </cfRule>
    <cfRule type="cellIs" dxfId="424" priority="1740" operator="equal">
      <formula>"Bajo Stock"</formula>
    </cfRule>
    <cfRule type="cellIs" dxfId="423" priority="1741" operator="equal">
      <formula>"Stock OK"</formula>
    </cfRule>
    <cfRule type="cellIs" dxfId="422" priority="1742" operator="equal">
      <formula>"Quiebre Stock"</formula>
    </cfRule>
  </conditionalFormatting>
  <conditionalFormatting sqref="N517">
    <cfRule type="cellIs" dxfId="421" priority="1733" operator="equal">
      <formula>"Desactivado"</formula>
    </cfRule>
    <cfRule type="cellIs" dxfId="420" priority="1734" operator="equal">
      <formula>"Sobre Stock"</formula>
    </cfRule>
    <cfRule type="cellIs" dxfId="419" priority="1735" operator="equal">
      <formula>"Bajo Stock"</formula>
    </cfRule>
    <cfRule type="cellIs" dxfId="418" priority="1736" operator="equal">
      <formula>"Stock OK"</formula>
    </cfRule>
    <cfRule type="cellIs" dxfId="417" priority="1737" operator="equal">
      <formula>"Quiebre Stock"</formula>
    </cfRule>
  </conditionalFormatting>
  <conditionalFormatting sqref="M517">
    <cfRule type="cellIs" dxfId="416" priority="1722" operator="equal">
      <formula>"Desactivado"</formula>
    </cfRule>
    <cfRule type="cellIs" dxfId="415" priority="1723" operator="equal">
      <formula>"Sobre Stock"</formula>
    </cfRule>
    <cfRule type="cellIs" dxfId="414" priority="1724" operator="equal">
      <formula>"Bajo Stock"</formula>
    </cfRule>
    <cfRule type="cellIs" dxfId="413" priority="1725" operator="equal">
      <formula>"Stock OK"</formula>
    </cfRule>
    <cfRule type="cellIs" dxfId="412" priority="1726" operator="equal">
      <formula>"Quiebre Stock"</formula>
    </cfRule>
  </conditionalFormatting>
  <conditionalFormatting sqref="M527:N527">
    <cfRule type="cellIs" dxfId="411" priority="1707" operator="equal">
      <formula>"Desactivado"</formula>
    </cfRule>
    <cfRule type="cellIs" dxfId="410" priority="1708" operator="equal">
      <formula>"Sobre Stock"</formula>
    </cfRule>
    <cfRule type="cellIs" dxfId="409" priority="1709" operator="equal">
      <formula>"Bajo Stock"</formula>
    </cfRule>
    <cfRule type="cellIs" dxfId="408" priority="1710" operator="equal">
      <formula>"Stock OK"</formula>
    </cfRule>
    <cfRule type="cellIs" dxfId="407" priority="1711" operator="equal">
      <formula>"Quiebre Stock"</formula>
    </cfRule>
  </conditionalFormatting>
  <conditionalFormatting sqref="M534:N534">
    <cfRule type="cellIs" dxfId="406" priority="1682" operator="equal">
      <formula>"Desactivado"</formula>
    </cfRule>
    <cfRule type="cellIs" dxfId="405" priority="1683" operator="equal">
      <formula>"Sobre Stock"</formula>
    </cfRule>
    <cfRule type="cellIs" dxfId="404" priority="1684" operator="equal">
      <formula>"Bajo Stock"</formula>
    </cfRule>
    <cfRule type="cellIs" dxfId="403" priority="1685" operator="equal">
      <formula>"Stock OK"</formula>
    </cfRule>
    <cfRule type="cellIs" dxfId="402" priority="1686" operator="equal">
      <formula>"Quiebre Stock"</formula>
    </cfRule>
  </conditionalFormatting>
  <conditionalFormatting sqref="M537:N537">
    <cfRule type="cellIs" dxfId="401" priority="1671" operator="equal">
      <formula>"Desactivado"</formula>
    </cfRule>
    <cfRule type="cellIs" dxfId="400" priority="1672" operator="equal">
      <formula>"Sobre Stock"</formula>
    </cfRule>
    <cfRule type="cellIs" dxfId="399" priority="1673" operator="equal">
      <formula>"Bajo Stock"</formula>
    </cfRule>
    <cfRule type="cellIs" dxfId="398" priority="1674" operator="equal">
      <formula>"Stock OK"</formula>
    </cfRule>
    <cfRule type="cellIs" dxfId="397" priority="1675" operator="equal">
      <formula>"Quiebre Stock"</formula>
    </cfRule>
  </conditionalFormatting>
  <conditionalFormatting sqref="M538:N538">
    <cfRule type="cellIs" dxfId="396" priority="1660" operator="equal">
      <formula>"Desactivado"</formula>
    </cfRule>
    <cfRule type="cellIs" dxfId="395" priority="1661" operator="equal">
      <formula>"Sobre Stock"</formula>
    </cfRule>
    <cfRule type="cellIs" dxfId="394" priority="1662" operator="equal">
      <formula>"Bajo Stock"</formula>
    </cfRule>
    <cfRule type="cellIs" dxfId="393" priority="1663" operator="equal">
      <formula>"Stock OK"</formula>
    </cfRule>
    <cfRule type="cellIs" dxfId="392" priority="1664" operator="equal">
      <formula>"Quiebre Stock"</formula>
    </cfRule>
  </conditionalFormatting>
  <conditionalFormatting sqref="M540:N540">
    <cfRule type="cellIs" dxfId="391" priority="1649" operator="equal">
      <formula>"Desactivado"</formula>
    </cfRule>
    <cfRule type="cellIs" dxfId="390" priority="1650" operator="equal">
      <formula>"Sobre Stock"</formula>
    </cfRule>
    <cfRule type="cellIs" dxfId="389" priority="1651" operator="equal">
      <formula>"Bajo Stock"</formula>
    </cfRule>
    <cfRule type="cellIs" dxfId="388" priority="1652" operator="equal">
      <formula>"Stock OK"</formula>
    </cfRule>
    <cfRule type="cellIs" dxfId="387" priority="1653" operator="equal">
      <formula>"Quiebre Stock"</formula>
    </cfRule>
  </conditionalFormatting>
  <conditionalFormatting sqref="M541:N541">
    <cfRule type="cellIs" dxfId="386" priority="1638" operator="equal">
      <formula>"Desactivado"</formula>
    </cfRule>
    <cfRule type="cellIs" dxfId="385" priority="1639" operator="equal">
      <formula>"Sobre Stock"</formula>
    </cfRule>
    <cfRule type="cellIs" dxfId="384" priority="1640" operator="equal">
      <formula>"Bajo Stock"</formula>
    </cfRule>
    <cfRule type="cellIs" dxfId="383" priority="1641" operator="equal">
      <formula>"Stock OK"</formula>
    </cfRule>
    <cfRule type="cellIs" dxfId="382" priority="1642" operator="equal">
      <formula>"Quiebre Stock"</formula>
    </cfRule>
  </conditionalFormatting>
  <conditionalFormatting sqref="M543:N543">
    <cfRule type="cellIs" dxfId="381" priority="1627" operator="equal">
      <formula>"Desactivado"</formula>
    </cfRule>
    <cfRule type="cellIs" dxfId="380" priority="1628" operator="equal">
      <formula>"Sobre Stock"</formula>
    </cfRule>
    <cfRule type="cellIs" dxfId="379" priority="1629" operator="equal">
      <formula>"Bajo Stock"</formula>
    </cfRule>
    <cfRule type="cellIs" dxfId="378" priority="1630" operator="equal">
      <formula>"Stock OK"</formula>
    </cfRule>
    <cfRule type="cellIs" dxfId="377" priority="1631" operator="equal">
      <formula>"Quiebre Stock"</formula>
    </cfRule>
  </conditionalFormatting>
  <conditionalFormatting sqref="M556:N556">
    <cfRule type="cellIs" dxfId="376" priority="1606" operator="equal">
      <formula>"Desactivado"</formula>
    </cfRule>
    <cfRule type="cellIs" dxfId="375" priority="1607" operator="equal">
      <formula>"Sobre Stock"</formula>
    </cfRule>
    <cfRule type="cellIs" dxfId="374" priority="1608" operator="equal">
      <formula>"Bajo Stock"</formula>
    </cfRule>
    <cfRule type="cellIs" dxfId="373" priority="1609" operator="equal">
      <formula>"Stock OK"</formula>
    </cfRule>
    <cfRule type="cellIs" dxfId="372" priority="1610" operator="equal">
      <formula>"Quiebre Stock"</formula>
    </cfRule>
  </conditionalFormatting>
  <conditionalFormatting sqref="M559:N559">
    <cfRule type="cellIs" dxfId="371" priority="1595" operator="equal">
      <formula>"Desactivado"</formula>
    </cfRule>
    <cfRule type="cellIs" dxfId="370" priority="1596" operator="equal">
      <formula>"Sobre Stock"</formula>
    </cfRule>
    <cfRule type="cellIs" dxfId="369" priority="1597" operator="equal">
      <formula>"Bajo Stock"</formula>
    </cfRule>
    <cfRule type="cellIs" dxfId="368" priority="1598" operator="equal">
      <formula>"Stock OK"</formula>
    </cfRule>
    <cfRule type="cellIs" dxfId="367" priority="1599" operator="equal">
      <formula>"Quiebre Stock"</formula>
    </cfRule>
  </conditionalFormatting>
  <conditionalFormatting sqref="M572:N572">
    <cfRule type="cellIs" dxfId="366" priority="1559" operator="equal">
      <formula>"Desactivado"</formula>
    </cfRule>
    <cfRule type="cellIs" dxfId="365" priority="1560" operator="equal">
      <formula>"Sobre Stock"</formula>
    </cfRule>
    <cfRule type="cellIs" dxfId="364" priority="1561" operator="equal">
      <formula>"Bajo Stock"</formula>
    </cfRule>
    <cfRule type="cellIs" dxfId="363" priority="1562" operator="equal">
      <formula>"Stock OK"</formula>
    </cfRule>
    <cfRule type="cellIs" dxfId="362" priority="1563" operator="equal">
      <formula>"Quiebre Stock"</formula>
    </cfRule>
  </conditionalFormatting>
  <conditionalFormatting sqref="M599:N599">
    <cfRule type="cellIs" dxfId="361" priority="1533" operator="equal">
      <formula>"Desactivado"</formula>
    </cfRule>
    <cfRule type="cellIs" dxfId="360" priority="1534" operator="equal">
      <formula>"Sobre Stock"</formula>
    </cfRule>
    <cfRule type="cellIs" dxfId="359" priority="1535" operator="equal">
      <formula>"Bajo Stock"</formula>
    </cfRule>
    <cfRule type="cellIs" dxfId="358" priority="1536" operator="equal">
      <formula>"Stock OK"</formula>
    </cfRule>
    <cfRule type="cellIs" dxfId="357" priority="1537" operator="equal">
      <formula>"Quiebre Stock"</formula>
    </cfRule>
  </conditionalFormatting>
  <conditionalFormatting sqref="M605:N605">
    <cfRule type="cellIs" dxfId="356" priority="1522" operator="equal">
      <formula>"Desactivado"</formula>
    </cfRule>
    <cfRule type="cellIs" dxfId="355" priority="1523" operator="equal">
      <formula>"Sobre Stock"</formula>
    </cfRule>
    <cfRule type="cellIs" dxfId="354" priority="1524" operator="equal">
      <formula>"Bajo Stock"</formula>
    </cfRule>
    <cfRule type="cellIs" dxfId="353" priority="1525" operator="equal">
      <formula>"Stock OK"</formula>
    </cfRule>
    <cfRule type="cellIs" dxfId="352" priority="1526" operator="equal">
      <formula>"Quiebre Stock"</formula>
    </cfRule>
  </conditionalFormatting>
  <conditionalFormatting sqref="M606:N606">
    <cfRule type="cellIs" dxfId="351" priority="1511" operator="equal">
      <formula>"Desactivado"</formula>
    </cfRule>
    <cfRule type="cellIs" dxfId="350" priority="1512" operator="equal">
      <formula>"Sobre Stock"</formula>
    </cfRule>
    <cfRule type="cellIs" dxfId="349" priority="1513" operator="equal">
      <formula>"Bajo Stock"</formula>
    </cfRule>
    <cfRule type="cellIs" dxfId="348" priority="1514" operator="equal">
      <formula>"Stock OK"</formula>
    </cfRule>
    <cfRule type="cellIs" dxfId="347" priority="1515" operator="equal">
      <formula>"Quiebre Stock"</formula>
    </cfRule>
  </conditionalFormatting>
  <conditionalFormatting sqref="M607:N607">
    <cfRule type="cellIs" dxfId="346" priority="1500" operator="equal">
      <formula>"Desactivado"</formula>
    </cfRule>
    <cfRule type="cellIs" dxfId="345" priority="1501" operator="equal">
      <formula>"Sobre Stock"</formula>
    </cfRule>
    <cfRule type="cellIs" dxfId="344" priority="1502" operator="equal">
      <formula>"Bajo Stock"</formula>
    </cfRule>
    <cfRule type="cellIs" dxfId="343" priority="1503" operator="equal">
      <formula>"Stock OK"</formula>
    </cfRule>
    <cfRule type="cellIs" dxfId="342" priority="1504" operator="equal">
      <formula>"Quiebre Stock"</formula>
    </cfRule>
  </conditionalFormatting>
  <conditionalFormatting sqref="N718">
    <cfRule type="cellIs" dxfId="341" priority="1434" operator="equal">
      <formula>"Desactivado"</formula>
    </cfRule>
    <cfRule type="cellIs" dxfId="340" priority="1435" operator="equal">
      <formula>"Sobre Stock"</formula>
    </cfRule>
    <cfRule type="cellIs" dxfId="339" priority="1436" operator="equal">
      <formula>"Bajo Stock"</formula>
    </cfRule>
    <cfRule type="cellIs" dxfId="338" priority="1437" operator="equal">
      <formula>"Stock OK"</formula>
    </cfRule>
    <cfRule type="cellIs" dxfId="337" priority="1438" operator="equal">
      <formula>"Quiebre Stock"</formula>
    </cfRule>
  </conditionalFormatting>
  <conditionalFormatting sqref="M736:N736">
    <cfRule type="cellIs" dxfId="336" priority="1423" operator="equal">
      <formula>"Desactivado"</formula>
    </cfRule>
    <cfRule type="cellIs" dxfId="335" priority="1424" operator="equal">
      <formula>"Sobre Stock"</formula>
    </cfRule>
    <cfRule type="cellIs" dxfId="334" priority="1425" operator="equal">
      <formula>"Bajo Stock"</formula>
    </cfRule>
    <cfRule type="cellIs" dxfId="333" priority="1426" operator="equal">
      <formula>"Stock OK"</formula>
    </cfRule>
    <cfRule type="cellIs" dxfId="332" priority="1427" operator="equal">
      <formula>"Quiebre Stock"</formula>
    </cfRule>
  </conditionalFormatting>
  <conditionalFormatting sqref="M882:N882">
    <cfRule type="cellIs" dxfId="331" priority="1372" operator="equal">
      <formula>"Desactivado"</formula>
    </cfRule>
    <cfRule type="cellIs" dxfId="330" priority="1373" operator="equal">
      <formula>"Sobre Stock"</formula>
    </cfRule>
    <cfRule type="cellIs" dxfId="329" priority="1374" operator="equal">
      <formula>"Bajo Stock"</formula>
    </cfRule>
    <cfRule type="cellIs" dxfId="328" priority="1375" operator="equal">
      <formula>"Stock OK"</formula>
    </cfRule>
    <cfRule type="cellIs" dxfId="327" priority="1376" operator="equal">
      <formula>"Quiebre Stock"</formula>
    </cfRule>
  </conditionalFormatting>
  <conditionalFormatting sqref="M883:N883">
    <cfRule type="cellIs" dxfId="326" priority="1361" operator="equal">
      <formula>"Desactivado"</formula>
    </cfRule>
    <cfRule type="cellIs" dxfId="325" priority="1362" operator="equal">
      <formula>"Sobre Stock"</formula>
    </cfRule>
    <cfRule type="cellIs" dxfId="324" priority="1363" operator="equal">
      <formula>"Bajo Stock"</formula>
    </cfRule>
    <cfRule type="cellIs" dxfId="323" priority="1364" operator="equal">
      <formula>"Stock OK"</formula>
    </cfRule>
    <cfRule type="cellIs" dxfId="322" priority="1365" operator="equal">
      <formula>"Quiebre Stock"</formula>
    </cfRule>
  </conditionalFormatting>
  <conditionalFormatting sqref="M884:N884">
    <cfRule type="cellIs" dxfId="321" priority="1350" operator="equal">
      <formula>"Desactivado"</formula>
    </cfRule>
    <cfRule type="cellIs" dxfId="320" priority="1351" operator="equal">
      <formula>"Sobre Stock"</formula>
    </cfRule>
    <cfRule type="cellIs" dxfId="319" priority="1352" operator="equal">
      <formula>"Bajo Stock"</formula>
    </cfRule>
    <cfRule type="cellIs" dxfId="318" priority="1353" operator="equal">
      <formula>"Stock OK"</formula>
    </cfRule>
    <cfRule type="cellIs" dxfId="317" priority="1354" operator="equal">
      <formula>"Quiebre Stock"</formula>
    </cfRule>
  </conditionalFormatting>
  <conditionalFormatting sqref="M685 M619">
    <cfRule type="cellIs" dxfId="316" priority="1049" operator="equal">
      <formula>"Desactivado"</formula>
    </cfRule>
    <cfRule type="cellIs" dxfId="315" priority="1050" operator="equal">
      <formula>"Sobre Stock"</formula>
    </cfRule>
    <cfRule type="cellIs" dxfId="314" priority="1051" operator="equal">
      <formula>"Bajo Stock"</formula>
    </cfRule>
    <cfRule type="cellIs" dxfId="313" priority="1052" operator="equal">
      <formula>"Stock OK"</formula>
    </cfRule>
    <cfRule type="cellIs" dxfId="312" priority="1053" operator="equal">
      <formula>"Quiebre Stock"</formula>
    </cfRule>
  </conditionalFormatting>
  <conditionalFormatting sqref="M620">
    <cfRule type="cellIs" dxfId="311" priority="1044" operator="equal">
      <formula>"Desactivado"</formula>
    </cfRule>
    <cfRule type="cellIs" dxfId="310" priority="1045" operator="equal">
      <formula>"Sobre Stock"</formula>
    </cfRule>
    <cfRule type="cellIs" dxfId="309" priority="1046" operator="equal">
      <formula>"Bajo Stock"</formula>
    </cfRule>
    <cfRule type="cellIs" dxfId="308" priority="1047" operator="equal">
      <formula>"Stock OK"</formula>
    </cfRule>
    <cfRule type="cellIs" dxfId="307" priority="1048" operator="equal">
      <formula>"Quiebre Stock"</formula>
    </cfRule>
  </conditionalFormatting>
  <conditionalFormatting sqref="M4">
    <cfRule type="cellIs" dxfId="306" priority="1014" operator="equal">
      <formula>"Desactivado"</formula>
    </cfRule>
    <cfRule type="cellIs" dxfId="305" priority="1015" operator="equal">
      <formula>"Sobre Stock"</formula>
    </cfRule>
    <cfRule type="cellIs" dxfId="304" priority="1016" operator="equal">
      <formula>"Bajo Stock"</formula>
    </cfRule>
    <cfRule type="cellIs" dxfId="303" priority="1017" operator="equal">
      <formula>"Stock OK"</formula>
    </cfRule>
    <cfRule type="cellIs" dxfId="302" priority="1018" operator="equal">
      <formula>"Quiebre Stock"</formula>
    </cfRule>
  </conditionalFormatting>
  <conditionalFormatting sqref="M5">
    <cfRule type="cellIs" dxfId="301" priority="1009" operator="equal">
      <formula>"Desactivado"</formula>
    </cfRule>
    <cfRule type="cellIs" dxfId="300" priority="1010" operator="equal">
      <formula>"Sobre Stock"</formula>
    </cfRule>
    <cfRule type="cellIs" dxfId="299" priority="1011" operator="equal">
      <formula>"Bajo Stock"</formula>
    </cfRule>
    <cfRule type="cellIs" dxfId="298" priority="1012" operator="equal">
      <formula>"Stock OK"</formula>
    </cfRule>
    <cfRule type="cellIs" dxfId="297" priority="1013" operator="equal">
      <formula>"Quiebre Stock"</formula>
    </cfRule>
  </conditionalFormatting>
  <conditionalFormatting sqref="M7">
    <cfRule type="cellIs" dxfId="296" priority="1004" operator="equal">
      <formula>"Desactivado"</formula>
    </cfRule>
    <cfRule type="cellIs" dxfId="295" priority="1005" operator="equal">
      <formula>"Sobre Stock"</formula>
    </cfRule>
    <cfRule type="cellIs" dxfId="294" priority="1006" operator="equal">
      <formula>"Bajo Stock"</formula>
    </cfRule>
    <cfRule type="cellIs" dxfId="293" priority="1007" operator="equal">
      <formula>"Stock OK"</formula>
    </cfRule>
    <cfRule type="cellIs" dxfId="292" priority="1008" operator="equal">
      <formula>"Quiebre Stock"</formula>
    </cfRule>
  </conditionalFormatting>
  <conditionalFormatting sqref="M6">
    <cfRule type="cellIs" dxfId="291" priority="999" operator="equal">
      <formula>"Desactivado"</formula>
    </cfRule>
    <cfRule type="cellIs" dxfId="290" priority="1000" operator="equal">
      <formula>"Sobre Stock"</formula>
    </cfRule>
    <cfRule type="cellIs" dxfId="289" priority="1001" operator="equal">
      <formula>"Bajo Stock"</formula>
    </cfRule>
    <cfRule type="cellIs" dxfId="288" priority="1002" operator="equal">
      <formula>"Stock OK"</formula>
    </cfRule>
    <cfRule type="cellIs" dxfId="287" priority="1003" operator="equal">
      <formula>"Quiebre Stock"</formula>
    </cfRule>
  </conditionalFormatting>
  <conditionalFormatting pivot="1" sqref="N4">
    <cfRule type="cellIs" dxfId="286" priority="994" operator="equal">
      <formula>"Desactivado"</formula>
    </cfRule>
    <cfRule type="cellIs" dxfId="285" priority="995" operator="equal">
      <formula>"Sobre Stock"</formula>
    </cfRule>
    <cfRule type="cellIs" dxfId="284" priority="996" operator="equal">
      <formula>"Bajo Stock"</formula>
    </cfRule>
    <cfRule type="cellIs" dxfId="283" priority="997" operator="equal">
      <formula>"Stock OK"</formula>
    </cfRule>
    <cfRule type="cellIs" dxfId="282" priority="998" operator="equal">
      <formula>"Quiebre Stock"</formula>
    </cfRule>
  </conditionalFormatting>
  <conditionalFormatting sqref="M808">
    <cfRule type="cellIs" dxfId="281" priority="674" operator="equal">
      <formula>"Desactivado"</formula>
    </cfRule>
    <cfRule type="cellIs" dxfId="280" priority="675" operator="equal">
      <formula>"Sobre Stock"</formula>
    </cfRule>
    <cfRule type="cellIs" dxfId="279" priority="676" operator="equal">
      <formula>"Bajo Stock"</formula>
    </cfRule>
    <cfRule type="cellIs" dxfId="278" priority="677" operator="equal">
      <formula>"Stock OK"</formula>
    </cfRule>
    <cfRule type="cellIs" dxfId="277" priority="678" operator="equal">
      <formula>"Quiebre Stock"</formula>
    </cfRule>
  </conditionalFormatting>
  <conditionalFormatting sqref="M824">
    <cfRule type="cellIs" dxfId="276" priority="664" operator="equal">
      <formula>"Desactivado"</formula>
    </cfRule>
    <cfRule type="cellIs" dxfId="275" priority="665" operator="equal">
      <formula>"Sobre Stock"</formula>
    </cfRule>
    <cfRule type="cellIs" dxfId="274" priority="666" operator="equal">
      <formula>"Bajo Stock"</formula>
    </cfRule>
    <cfRule type="cellIs" dxfId="273" priority="667" operator="equal">
      <formula>"Stock OK"</formula>
    </cfRule>
    <cfRule type="cellIs" dxfId="272" priority="668" operator="equal">
      <formula>"Quiebre Stock"</formula>
    </cfRule>
  </conditionalFormatting>
  <conditionalFormatting sqref="M893">
    <cfRule type="cellIs" dxfId="271" priority="504" operator="equal">
      <formula>"Desactivado"</formula>
    </cfRule>
    <cfRule type="cellIs" dxfId="270" priority="505" operator="equal">
      <formula>"Sobre Stock"</formula>
    </cfRule>
    <cfRule type="cellIs" dxfId="269" priority="506" operator="equal">
      <formula>"Bajo Stock"</formula>
    </cfRule>
    <cfRule type="cellIs" dxfId="268" priority="507" operator="equal">
      <formula>"Stock OK"</formula>
    </cfRule>
    <cfRule type="cellIs" dxfId="267" priority="508" operator="equal">
      <formula>"Quiebre Stock"</formula>
    </cfRule>
  </conditionalFormatting>
  <conditionalFormatting sqref="N1020:N1021">
    <cfRule type="cellIs" dxfId="266" priority="90" operator="equal">
      <formula>"Desactivado"</formula>
    </cfRule>
    <cfRule type="cellIs" dxfId="265" priority="91" operator="equal">
      <formula>"Sobre Stock"</formula>
    </cfRule>
    <cfRule type="cellIs" dxfId="264" priority="92" operator="equal">
      <formula>"Bajo Stock"</formula>
    </cfRule>
    <cfRule type="cellIs" dxfId="263" priority="93" operator="equal">
      <formula>"Stock OK"</formula>
    </cfRule>
    <cfRule type="cellIs" dxfId="262" priority="94" operator="equal">
      <formula>"Quiebre Stock"</formula>
    </cfRule>
  </conditionalFormatting>
  <conditionalFormatting sqref="Q1020:Q1021">
    <cfRule type="cellIs" dxfId="261" priority="89" operator="lessThan">
      <formula>TODAY()</formula>
    </cfRule>
  </conditionalFormatting>
  <conditionalFormatting sqref="N500">
    <cfRule type="cellIs" dxfId="260" priority="78" operator="equal">
      <formula>"Desactivado"</formula>
    </cfRule>
    <cfRule type="cellIs" dxfId="259" priority="79" operator="equal">
      <formula>"Sobre Stock"</formula>
    </cfRule>
    <cfRule type="cellIs" dxfId="258" priority="80" operator="equal">
      <formula>"Bajo Stock"</formula>
    </cfRule>
    <cfRule type="cellIs" dxfId="257" priority="81" operator="equal">
      <formula>"Stock OK"</formula>
    </cfRule>
    <cfRule type="cellIs" dxfId="256" priority="82" operator="equal">
      <formula>"Quiebre Stock"</formula>
    </cfRule>
  </conditionalFormatting>
  <conditionalFormatting sqref="Q500">
    <cfRule type="cellIs" dxfId="255" priority="77" operator="lessThan">
      <formula>TODAY()</formula>
    </cfRule>
  </conditionalFormatting>
  <conditionalFormatting sqref="N502">
    <cfRule type="cellIs" dxfId="254" priority="72" operator="equal">
      <formula>"Desactivado"</formula>
    </cfRule>
    <cfRule type="cellIs" dxfId="253" priority="73" operator="equal">
      <formula>"Sobre Stock"</formula>
    </cfRule>
    <cfRule type="cellIs" dxfId="252" priority="74" operator="equal">
      <formula>"Bajo Stock"</formula>
    </cfRule>
    <cfRule type="cellIs" dxfId="251" priority="75" operator="equal">
      <formula>"Stock OK"</formula>
    </cfRule>
    <cfRule type="cellIs" dxfId="250" priority="76" operator="equal">
      <formula>"Quiebre Stock"</formula>
    </cfRule>
  </conditionalFormatting>
  <conditionalFormatting sqref="Q502">
    <cfRule type="cellIs" dxfId="249" priority="71" operator="lessThan">
      <formula>TODAY()</formula>
    </cfRule>
  </conditionalFormatting>
  <conditionalFormatting sqref="N503">
    <cfRule type="cellIs" dxfId="248" priority="66" operator="equal">
      <formula>"Desactivado"</formula>
    </cfRule>
    <cfRule type="cellIs" dxfId="247" priority="67" operator="equal">
      <formula>"Sobre Stock"</formula>
    </cfRule>
    <cfRule type="cellIs" dxfId="246" priority="68" operator="equal">
      <formula>"Bajo Stock"</formula>
    </cfRule>
    <cfRule type="cellIs" dxfId="245" priority="69" operator="equal">
      <formula>"Stock OK"</formula>
    </cfRule>
    <cfRule type="cellIs" dxfId="244" priority="70" operator="equal">
      <formula>"Quiebre Stock"</formula>
    </cfRule>
  </conditionalFormatting>
  <conditionalFormatting sqref="Q503">
    <cfRule type="cellIs" dxfId="243" priority="65" operator="lessThan">
      <formula>TODAY()</formula>
    </cfRule>
  </conditionalFormatting>
  <conditionalFormatting sqref="N504">
    <cfRule type="cellIs" dxfId="242" priority="60" operator="equal">
      <formula>"Desactivado"</formula>
    </cfRule>
    <cfRule type="cellIs" dxfId="241" priority="61" operator="equal">
      <formula>"Sobre Stock"</formula>
    </cfRule>
    <cfRule type="cellIs" dxfId="240" priority="62" operator="equal">
      <formula>"Bajo Stock"</formula>
    </cfRule>
    <cfRule type="cellIs" dxfId="239" priority="63" operator="equal">
      <formula>"Stock OK"</formula>
    </cfRule>
    <cfRule type="cellIs" dxfId="238" priority="64" operator="equal">
      <formula>"Quiebre Stock"</formula>
    </cfRule>
  </conditionalFormatting>
  <conditionalFormatting sqref="Q504:Q505">
    <cfRule type="cellIs" dxfId="237" priority="59" operator="lessThan">
      <formula>TODAY()</formula>
    </cfRule>
  </conditionalFormatting>
  <conditionalFormatting sqref="N505">
    <cfRule type="cellIs" dxfId="236" priority="54" operator="equal">
      <formula>"Desactivado"</formula>
    </cfRule>
    <cfRule type="cellIs" dxfId="235" priority="55" operator="equal">
      <formula>"Sobre Stock"</formula>
    </cfRule>
    <cfRule type="cellIs" dxfId="234" priority="56" operator="equal">
      <formula>"Bajo Stock"</formula>
    </cfRule>
    <cfRule type="cellIs" dxfId="233" priority="57" operator="equal">
      <formula>"Stock OK"</formula>
    </cfRule>
    <cfRule type="cellIs" dxfId="232" priority="58" operator="equal">
      <formula>"Quiebre Stock"</formula>
    </cfRule>
  </conditionalFormatting>
  <conditionalFormatting sqref="N485">
    <cfRule type="cellIs" dxfId="231" priority="49" operator="equal">
      <formula>"Desactivado"</formula>
    </cfRule>
    <cfRule type="cellIs" dxfId="230" priority="50" operator="equal">
      <formula>"Sobre Stock"</formula>
    </cfRule>
    <cfRule type="cellIs" dxfId="229" priority="51" operator="equal">
      <formula>"Bajo Stock"</formula>
    </cfRule>
    <cfRule type="cellIs" dxfId="228" priority="52" operator="equal">
      <formula>"Stock OK"</formula>
    </cfRule>
    <cfRule type="cellIs" dxfId="227" priority="53" operator="equal">
      <formula>"Quiebre Stock"</formula>
    </cfRule>
  </conditionalFormatting>
  <conditionalFormatting sqref="Q485">
    <cfRule type="cellIs" dxfId="226" priority="48" operator="lessThan">
      <formula>TODAY()</formula>
    </cfRule>
  </conditionalFormatting>
  <conditionalFormatting sqref="M500">
    <cfRule type="cellIs" dxfId="225" priority="40" operator="equal">
      <formula>"Desactivado"</formula>
    </cfRule>
    <cfRule type="cellIs" dxfId="224" priority="41" operator="equal">
      <formula>"Sobre Stock"</formula>
    </cfRule>
    <cfRule type="cellIs" dxfId="223" priority="42" operator="equal">
      <formula>"Bajo Stock"</formula>
    </cfRule>
    <cfRule type="cellIs" dxfId="222" priority="43" operator="equal">
      <formula>"Stock OK"</formula>
    </cfRule>
    <cfRule type="cellIs" dxfId="221" priority="44" operator="equal">
      <formula>"Quiebre Stock"</formula>
    </cfRule>
  </conditionalFormatting>
  <conditionalFormatting sqref="M566:M568">
    <cfRule type="cellIs" dxfId="220" priority="35" operator="equal">
      <formula>"Desactivado"</formula>
    </cfRule>
    <cfRule type="cellIs" dxfId="219" priority="36" operator="equal">
      <formula>"Sobre Stock"</formula>
    </cfRule>
    <cfRule type="cellIs" dxfId="218" priority="37" operator="equal">
      <formula>"Bajo Stock"</formula>
    </cfRule>
    <cfRule type="cellIs" dxfId="217" priority="38" operator="equal">
      <formula>"Stock OK"</formula>
    </cfRule>
    <cfRule type="cellIs" dxfId="216" priority="39" operator="equal">
      <formula>"Quiebre Stock"</formula>
    </cfRule>
  </conditionalFormatting>
  <conditionalFormatting sqref="L1055 L1138">
    <cfRule type="expression" dxfId="215" priority="7448">
      <formula>AND($M1055&lt;&gt;"",$Q1055&lt;TODAY(),$E1055="A",$J1055="Quiebre Stock")</formula>
    </cfRule>
  </conditionalFormatting>
  <conditionalFormatting sqref="B17:B1331">
    <cfRule type="duplicateValues" dxfId="214" priority="8256"/>
    <cfRule type="duplicateValues" dxfId="213" priority="8257"/>
    <cfRule type="duplicateValues" dxfId="212" priority="8258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C2F19-D574-4BD3-83B0-2206DDD38868}">
  <dimension ref="A1:F2948"/>
  <sheetViews>
    <sheetView workbookViewId="0"/>
  </sheetViews>
  <sheetFormatPr baseColWidth="10" defaultRowHeight="14.5" x14ac:dyDescent="0.35"/>
  <cols>
    <col min="1" max="1" width="20.81640625" bestFit="1" customWidth="1"/>
    <col min="2" max="2" width="16.54296875" bestFit="1" customWidth="1"/>
    <col min="3" max="3" width="10.7265625" bestFit="1" customWidth="1"/>
    <col min="4" max="4" width="48.26953125" bestFit="1" customWidth="1"/>
    <col min="5" max="5" width="61.453125" bestFit="1" customWidth="1"/>
    <col min="6" max="6" width="60.1796875" bestFit="1" customWidth="1"/>
  </cols>
  <sheetData>
    <row r="1" spans="1:6" x14ac:dyDescent="0.35">
      <c r="A1" t="s">
        <v>1618</v>
      </c>
      <c r="B1" t="s">
        <v>1619</v>
      </c>
      <c r="C1" t="s">
        <v>1620</v>
      </c>
      <c r="D1" t="s">
        <v>1621</v>
      </c>
      <c r="E1" t="s">
        <v>52</v>
      </c>
      <c r="F1" t="s">
        <v>1622</v>
      </c>
    </row>
    <row r="2" spans="1:6" x14ac:dyDescent="0.35">
      <c r="A2">
        <v>6000044327</v>
      </c>
      <c r="C2">
        <v>10</v>
      </c>
      <c r="D2" t="s">
        <v>1623</v>
      </c>
      <c r="E2" t="s">
        <v>1624</v>
      </c>
      <c r="F2" t="s">
        <v>1625</v>
      </c>
    </row>
    <row r="3" spans="1:6" x14ac:dyDescent="0.35">
      <c r="A3">
        <v>6000043084</v>
      </c>
      <c r="C3">
        <v>10</v>
      </c>
      <c r="D3" t="s">
        <v>1626</v>
      </c>
      <c r="E3" t="s">
        <v>1624</v>
      </c>
      <c r="F3" t="s">
        <v>1627</v>
      </c>
    </row>
    <row r="4" spans="1:6" x14ac:dyDescent="0.35">
      <c r="A4">
        <v>6000051965</v>
      </c>
      <c r="C4">
        <v>10</v>
      </c>
      <c r="D4" t="s">
        <v>1217</v>
      </c>
      <c r="E4" t="s">
        <v>1624</v>
      </c>
      <c r="F4" t="s">
        <v>1628</v>
      </c>
    </row>
    <row r="5" spans="1:6" x14ac:dyDescent="0.35">
      <c r="A5">
        <v>6000055581</v>
      </c>
      <c r="C5">
        <v>10</v>
      </c>
      <c r="D5" t="s">
        <v>1629</v>
      </c>
      <c r="E5" t="s">
        <v>1624</v>
      </c>
      <c r="F5" t="s">
        <v>1630</v>
      </c>
    </row>
    <row r="6" spans="1:6" x14ac:dyDescent="0.35">
      <c r="A6">
        <v>1002632929</v>
      </c>
      <c r="C6">
        <v>10</v>
      </c>
      <c r="D6" t="s">
        <v>1631</v>
      </c>
      <c r="E6" t="s">
        <v>1632</v>
      </c>
      <c r="F6" t="s">
        <v>1633</v>
      </c>
    </row>
    <row r="7" spans="1:6" x14ac:dyDescent="0.35">
      <c r="A7">
        <v>1002655017</v>
      </c>
      <c r="C7">
        <v>10</v>
      </c>
      <c r="D7" t="s">
        <v>1634</v>
      </c>
      <c r="E7" t="s">
        <v>1635</v>
      </c>
      <c r="F7" t="s">
        <v>1636</v>
      </c>
    </row>
    <row r="8" spans="1:6" x14ac:dyDescent="0.35">
      <c r="A8">
        <v>1002669186</v>
      </c>
      <c r="C8">
        <v>10</v>
      </c>
      <c r="D8" t="s">
        <v>1637</v>
      </c>
      <c r="E8" t="s">
        <v>1638</v>
      </c>
      <c r="F8" t="s">
        <v>1639</v>
      </c>
    </row>
    <row r="9" spans="1:6" x14ac:dyDescent="0.35">
      <c r="A9">
        <v>1002669186</v>
      </c>
      <c r="C9">
        <v>20</v>
      </c>
      <c r="D9" t="s">
        <v>1640</v>
      </c>
      <c r="E9" t="s">
        <v>1638</v>
      </c>
      <c r="F9" t="s">
        <v>1641</v>
      </c>
    </row>
    <row r="10" spans="1:6" x14ac:dyDescent="0.35">
      <c r="A10">
        <v>1002671592</v>
      </c>
      <c r="C10">
        <v>10</v>
      </c>
      <c r="D10" t="s">
        <v>1642</v>
      </c>
      <c r="E10" t="s">
        <v>1643</v>
      </c>
      <c r="F10" t="s">
        <v>1644</v>
      </c>
    </row>
    <row r="11" spans="1:6" x14ac:dyDescent="0.35">
      <c r="A11">
        <v>1002673994</v>
      </c>
      <c r="C11">
        <v>30</v>
      </c>
      <c r="D11" t="s">
        <v>873</v>
      </c>
      <c r="E11" t="s">
        <v>1645</v>
      </c>
      <c r="F11" t="s">
        <v>1646</v>
      </c>
    </row>
    <row r="12" spans="1:6" x14ac:dyDescent="0.35">
      <c r="A12">
        <v>1002681319</v>
      </c>
      <c r="C12">
        <v>30</v>
      </c>
      <c r="D12" t="s">
        <v>1647</v>
      </c>
      <c r="E12" t="s">
        <v>1648</v>
      </c>
      <c r="F12" t="s">
        <v>1649</v>
      </c>
    </row>
    <row r="13" spans="1:6" x14ac:dyDescent="0.35">
      <c r="A13">
        <v>5001160663</v>
      </c>
      <c r="C13">
        <v>10</v>
      </c>
      <c r="D13" t="s">
        <v>1650</v>
      </c>
      <c r="E13" t="s">
        <v>1651</v>
      </c>
      <c r="F13" t="s">
        <v>1652</v>
      </c>
    </row>
    <row r="14" spans="1:6" x14ac:dyDescent="0.35">
      <c r="A14">
        <v>5001160663</v>
      </c>
      <c r="C14">
        <v>20</v>
      </c>
      <c r="D14" t="s">
        <v>1653</v>
      </c>
      <c r="E14" t="s">
        <v>1651</v>
      </c>
      <c r="F14" t="s">
        <v>1654</v>
      </c>
    </row>
    <row r="15" spans="1:6" x14ac:dyDescent="0.35">
      <c r="A15">
        <v>5001160663</v>
      </c>
      <c r="C15">
        <v>50</v>
      </c>
      <c r="D15" t="s">
        <v>1655</v>
      </c>
      <c r="E15" t="s">
        <v>1651</v>
      </c>
      <c r="F15" t="s">
        <v>1656</v>
      </c>
    </row>
    <row r="16" spans="1:6" x14ac:dyDescent="0.35">
      <c r="A16">
        <v>1002687241</v>
      </c>
      <c r="C16">
        <v>30</v>
      </c>
      <c r="D16" t="s">
        <v>1595</v>
      </c>
      <c r="E16" t="s">
        <v>1657</v>
      </c>
      <c r="F16" t="s">
        <v>1658</v>
      </c>
    </row>
    <row r="17" spans="1:6" x14ac:dyDescent="0.35">
      <c r="A17">
        <v>1002680065</v>
      </c>
      <c r="C17">
        <v>10</v>
      </c>
      <c r="D17" t="s">
        <v>1659</v>
      </c>
      <c r="E17" t="s">
        <v>1660</v>
      </c>
      <c r="F17" t="s">
        <v>1661</v>
      </c>
    </row>
    <row r="18" spans="1:6" x14ac:dyDescent="0.35">
      <c r="A18">
        <v>5001160741</v>
      </c>
      <c r="C18">
        <v>10</v>
      </c>
      <c r="D18" t="s">
        <v>1662</v>
      </c>
      <c r="E18" t="s">
        <v>1651</v>
      </c>
      <c r="F18" t="s">
        <v>1663</v>
      </c>
    </row>
    <row r="19" spans="1:6" x14ac:dyDescent="0.35">
      <c r="A19">
        <v>1002690629</v>
      </c>
      <c r="C19">
        <v>150</v>
      </c>
      <c r="D19" t="s">
        <v>1077</v>
      </c>
      <c r="E19" t="s">
        <v>1664</v>
      </c>
      <c r="F19" t="s">
        <v>1665</v>
      </c>
    </row>
    <row r="20" spans="1:6" x14ac:dyDescent="0.35">
      <c r="A20">
        <v>1002690629</v>
      </c>
      <c r="C20">
        <v>140</v>
      </c>
      <c r="D20" t="s">
        <v>1079</v>
      </c>
      <c r="E20" t="s">
        <v>1664</v>
      </c>
      <c r="F20" t="s">
        <v>1666</v>
      </c>
    </row>
    <row r="21" spans="1:6" x14ac:dyDescent="0.35">
      <c r="A21">
        <v>1002690629</v>
      </c>
      <c r="C21">
        <v>120</v>
      </c>
      <c r="D21" t="s">
        <v>1072</v>
      </c>
      <c r="E21" t="s">
        <v>1664</v>
      </c>
      <c r="F21" t="s">
        <v>1667</v>
      </c>
    </row>
    <row r="22" spans="1:6" x14ac:dyDescent="0.35">
      <c r="A22">
        <v>1002690629</v>
      </c>
      <c r="C22">
        <v>60</v>
      </c>
      <c r="D22" t="s">
        <v>534</v>
      </c>
      <c r="E22" t="s">
        <v>1664</v>
      </c>
      <c r="F22" t="s">
        <v>1668</v>
      </c>
    </row>
    <row r="23" spans="1:6" x14ac:dyDescent="0.35">
      <c r="A23">
        <v>1002690629</v>
      </c>
      <c r="C23">
        <v>10</v>
      </c>
      <c r="D23" t="s">
        <v>1080</v>
      </c>
      <c r="E23" t="s">
        <v>1664</v>
      </c>
      <c r="F23" t="s">
        <v>1669</v>
      </c>
    </row>
    <row r="24" spans="1:6" x14ac:dyDescent="0.35">
      <c r="A24">
        <v>1002690589</v>
      </c>
      <c r="C24">
        <v>110</v>
      </c>
      <c r="D24" t="s">
        <v>1072</v>
      </c>
      <c r="E24" t="s">
        <v>1664</v>
      </c>
      <c r="F24" t="s">
        <v>1670</v>
      </c>
    </row>
    <row r="25" spans="1:6" x14ac:dyDescent="0.35">
      <c r="A25">
        <v>5001160663</v>
      </c>
      <c r="C25">
        <v>40</v>
      </c>
      <c r="D25" t="s">
        <v>1671</v>
      </c>
      <c r="E25" t="s">
        <v>1651</v>
      </c>
      <c r="F25" t="s">
        <v>1672</v>
      </c>
    </row>
    <row r="26" spans="1:6" x14ac:dyDescent="0.35">
      <c r="A26">
        <v>1002689618</v>
      </c>
      <c r="C26">
        <v>110</v>
      </c>
      <c r="D26" t="s">
        <v>1673</v>
      </c>
      <c r="E26" t="s">
        <v>1651</v>
      </c>
      <c r="F26" t="s">
        <v>1674</v>
      </c>
    </row>
    <row r="27" spans="1:6" x14ac:dyDescent="0.35">
      <c r="A27">
        <v>1002689618</v>
      </c>
      <c r="C27">
        <v>100</v>
      </c>
      <c r="D27" t="s">
        <v>1675</v>
      </c>
      <c r="E27" t="s">
        <v>1651</v>
      </c>
      <c r="F27" t="s">
        <v>1676</v>
      </c>
    </row>
    <row r="28" spans="1:6" x14ac:dyDescent="0.35">
      <c r="A28">
        <v>1002689618</v>
      </c>
      <c r="C28">
        <v>10</v>
      </c>
      <c r="D28" t="s">
        <v>1677</v>
      </c>
      <c r="E28" t="s">
        <v>1651</v>
      </c>
      <c r="F28" t="s">
        <v>1678</v>
      </c>
    </row>
    <row r="29" spans="1:6" x14ac:dyDescent="0.35">
      <c r="A29">
        <v>1002689618</v>
      </c>
      <c r="C29">
        <v>20</v>
      </c>
      <c r="D29" t="s">
        <v>1679</v>
      </c>
      <c r="E29" t="s">
        <v>1651</v>
      </c>
      <c r="F29" t="s">
        <v>1680</v>
      </c>
    </row>
    <row r="30" spans="1:6" x14ac:dyDescent="0.35">
      <c r="A30">
        <v>1002689618</v>
      </c>
      <c r="C30">
        <v>30</v>
      </c>
      <c r="D30" t="s">
        <v>1681</v>
      </c>
      <c r="E30" t="s">
        <v>1651</v>
      </c>
      <c r="F30" t="s">
        <v>1682</v>
      </c>
    </row>
    <row r="31" spans="1:6" x14ac:dyDescent="0.35">
      <c r="A31">
        <v>1002689618</v>
      </c>
      <c r="C31">
        <v>40</v>
      </c>
      <c r="D31" t="s">
        <v>1683</v>
      </c>
      <c r="E31" t="s">
        <v>1651</v>
      </c>
      <c r="F31" t="s">
        <v>1684</v>
      </c>
    </row>
    <row r="32" spans="1:6" x14ac:dyDescent="0.35">
      <c r="A32">
        <v>1002690589</v>
      </c>
      <c r="C32">
        <v>50</v>
      </c>
      <c r="D32" t="s">
        <v>534</v>
      </c>
      <c r="E32" t="s">
        <v>1664</v>
      </c>
      <c r="F32" t="s">
        <v>1685</v>
      </c>
    </row>
    <row r="33" spans="1:6" x14ac:dyDescent="0.35">
      <c r="A33">
        <v>1002690629</v>
      </c>
      <c r="C33">
        <v>130</v>
      </c>
      <c r="D33" t="s">
        <v>1078</v>
      </c>
      <c r="E33" t="s">
        <v>1664</v>
      </c>
      <c r="F33" t="s">
        <v>1686</v>
      </c>
    </row>
    <row r="34" spans="1:6" x14ac:dyDescent="0.35">
      <c r="A34">
        <v>1002689618</v>
      </c>
      <c r="C34">
        <v>60</v>
      </c>
      <c r="D34" t="s">
        <v>1687</v>
      </c>
      <c r="E34" t="s">
        <v>1651</v>
      </c>
      <c r="F34" t="s">
        <v>1688</v>
      </c>
    </row>
    <row r="35" spans="1:6" x14ac:dyDescent="0.35">
      <c r="A35">
        <v>1002689618</v>
      </c>
      <c r="C35">
        <v>70</v>
      </c>
      <c r="D35" t="s">
        <v>1689</v>
      </c>
      <c r="E35" t="s">
        <v>1651</v>
      </c>
      <c r="F35" t="s">
        <v>1690</v>
      </c>
    </row>
    <row r="36" spans="1:6" x14ac:dyDescent="0.35">
      <c r="A36">
        <v>1002689618</v>
      </c>
      <c r="C36">
        <v>80</v>
      </c>
      <c r="D36" t="s">
        <v>1691</v>
      </c>
      <c r="E36" t="s">
        <v>1651</v>
      </c>
      <c r="F36" t="s">
        <v>1692</v>
      </c>
    </row>
    <row r="37" spans="1:6" x14ac:dyDescent="0.35">
      <c r="A37">
        <v>1002689618</v>
      </c>
      <c r="C37">
        <v>90</v>
      </c>
      <c r="D37" t="s">
        <v>1693</v>
      </c>
      <c r="E37" t="s">
        <v>1651</v>
      </c>
      <c r="F37" t="s">
        <v>1694</v>
      </c>
    </row>
    <row r="38" spans="1:6" x14ac:dyDescent="0.35">
      <c r="A38">
        <v>1002689618</v>
      </c>
      <c r="C38">
        <v>50</v>
      </c>
      <c r="D38" t="s">
        <v>1695</v>
      </c>
      <c r="E38" t="s">
        <v>1651</v>
      </c>
      <c r="F38" t="s">
        <v>1696</v>
      </c>
    </row>
    <row r="39" spans="1:6" x14ac:dyDescent="0.35">
      <c r="A39">
        <v>1002691595</v>
      </c>
      <c r="C39">
        <v>10</v>
      </c>
      <c r="D39" t="s">
        <v>1697</v>
      </c>
      <c r="E39" t="s">
        <v>1698</v>
      </c>
      <c r="F39" t="s">
        <v>1699</v>
      </c>
    </row>
    <row r="40" spans="1:6" x14ac:dyDescent="0.35">
      <c r="A40">
        <v>1002692731</v>
      </c>
      <c r="C40">
        <v>10</v>
      </c>
      <c r="D40" t="s">
        <v>1700</v>
      </c>
      <c r="E40" t="s">
        <v>1701</v>
      </c>
      <c r="F40" t="s">
        <v>1702</v>
      </c>
    </row>
    <row r="41" spans="1:6" x14ac:dyDescent="0.35">
      <c r="A41">
        <v>6000066896</v>
      </c>
      <c r="C41">
        <v>10</v>
      </c>
      <c r="D41" t="s">
        <v>1703</v>
      </c>
      <c r="E41" t="s">
        <v>1624</v>
      </c>
      <c r="F41" t="s">
        <v>1704</v>
      </c>
    </row>
    <row r="42" spans="1:6" x14ac:dyDescent="0.35">
      <c r="A42">
        <v>6000066896</v>
      </c>
      <c r="C42">
        <v>20</v>
      </c>
      <c r="D42" t="s">
        <v>1703</v>
      </c>
      <c r="E42" t="s">
        <v>1624</v>
      </c>
      <c r="F42" t="s">
        <v>1704</v>
      </c>
    </row>
    <row r="43" spans="1:6" x14ac:dyDescent="0.35">
      <c r="A43">
        <v>6000066896</v>
      </c>
      <c r="C43">
        <v>30</v>
      </c>
      <c r="D43" t="s">
        <v>1703</v>
      </c>
      <c r="E43" t="s">
        <v>1624</v>
      </c>
      <c r="F43" t="s">
        <v>1704</v>
      </c>
    </row>
    <row r="44" spans="1:6" x14ac:dyDescent="0.35">
      <c r="A44">
        <v>6000066896</v>
      </c>
      <c r="C44">
        <v>40</v>
      </c>
      <c r="D44" t="s">
        <v>1703</v>
      </c>
      <c r="E44" t="s">
        <v>1624</v>
      </c>
      <c r="F44" t="s">
        <v>1704</v>
      </c>
    </row>
    <row r="45" spans="1:6" x14ac:dyDescent="0.35">
      <c r="A45">
        <v>1002696571</v>
      </c>
      <c r="C45">
        <v>10</v>
      </c>
      <c r="D45" t="s">
        <v>1705</v>
      </c>
      <c r="E45" t="s">
        <v>1706</v>
      </c>
      <c r="F45" t="s">
        <v>1707</v>
      </c>
    </row>
    <row r="46" spans="1:6" x14ac:dyDescent="0.35">
      <c r="A46">
        <v>1002696571</v>
      </c>
      <c r="C46">
        <v>20</v>
      </c>
      <c r="D46" t="s">
        <v>1708</v>
      </c>
      <c r="E46" t="s">
        <v>1709</v>
      </c>
      <c r="F46" t="s">
        <v>1710</v>
      </c>
    </row>
    <row r="47" spans="1:6" x14ac:dyDescent="0.35">
      <c r="A47">
        <v>5001160663</v>
      </c>
      <c r="C47">
        <v>30</v>
      </c>
      <c r="D47" t="s">
        <v>1650</v>
      </c>
      <c r="E47" t="s">
        <v>1651</v>
      </c>
      <c r="F47" t="s">
        <v>1652</v>
      </c>
    </row>
    <row r="48" spans="1:6" x14ac:dyDescent="0.35">
      <c r="A48">
        <v>1002696589</v>
      </c>
      <c r="C48">
        <v>10</v>
      </c>
      <c r="D48" t="s">
        <v>1653</v>
      </c>
      <c r="E48" t="s">
        <v>1709</v>
      </c>
      <c r="F48" t="s">
        <v>1711</v>
      </c>
    </row>
    <row r="49" spans="1:6" x14ac:dyDescent="0.35">
      <c r="A49">
        <v>6000067425</v>
      </c>
      <c r="C49">
        <v>10</v>
      </c>
      <c r="D49" t="s">
        <v>1712</v>
      </c>
      <c r="E49" t="s">
        <v>1624</v>
      </c>
      <c r="F49" t="s">
        <v>1713</v>
      </c>
    </row>
    <row r="50" spans="1:6" x14ac:dyDescent="0.35">
      <c r="A50">
        <v>1002455810</v>
      </c>
      <c r="C50">
        <v>100</v>
      </c>
      <c r="D50" t="s">
        <v>1714</v>
      </c>
      <c r="E50" t="s">
        <v>1709</v>
      </c>
      <c r="F50" t="s">
        <v>1715</v>
      </c>
    </row>
    <row r="51" spans="1:6" x14ac:dyDescent="0.35">
      <c r="A51">
        <v>5001160866</v>
      </c>
      <c r="C51">
        <v>10</v>
      </c>
      <c r="D51" t="s">
        <v>1716</v>
      </c>
      <c r="E51" t="s">
        <v>1717</v>
      </c>
      <c r="F51" t="s">
        <v>1718</v>
      </c>
    </row>
    <row r="52" spans="1:6" x14ac:dyDescent="0.35">
      <c r="A52">
        <v>1002696595</v>
      </c>
      <c r="C52">
        <v>30</v>
      </c>
      <c r="D52" t="s">
        <v>844</v>
      </c>
      <c r="E52" t="s">
        <v>1719</v>
      </c>
      <c r="F52" t="s">
        <v>1720</v>
      </c>
    </row>
    <row r="53" spans="1:6" x14ac:dyDescent="0.35">
      <c r="A53">
        <v>1002696595</v>
      </c>
      <c r="C53">
        <v>20</v>
      </c>
      <c r="D53" t="s">
        <v>846</v>
      </c>
      <c r="E53" t="s">
        <v>1719</v>
      </c>
      <c r="F53" t="s">
        <v>1721</v>
      </c>
    </row>
    <row r="54" spans="1:6" x14ac:dyDescent="0.35">
      <c r="A54">
        <v>1002696595</v>
      </c>
      <c r="C54">
        <v>10</v>
      </c>
      <c r="D54" t="s">
        <v>1110</v>
      </c>
      <c r="E54" t="s">
        <v>1719</v>
      </c>
      <c r="F54" t="s">
        <v>1722</v>
      </c>
    </row>
    <row r="55" spans="1:6" x14ac:dyDescent="0.35">
      <c r="A55">
        <v>6000067425</v>
      </c>
      <c r="C55">
        <v>20</v>
      </c>
      <c r="D55" t="s">
        <v>1723</v>
      </c>
      <c r="E55" t="s">
        <v>1624</v>
      </c>
      <c r="F55" t="s">
        <v>1724</v>
      </c>
    </row>
    <row r="56" spans="1:6" x14ac:dyDescent="0.35">
      <c r="A56">
        <v>1002687821</v>
      </c>
      <c r="C56">
        <v>10</v>
      </c>
      <c r="D56" t="s">
        <v>1725</v>
      </c>
      <c r="E56" t="s">
        <v>70</v>
      </c>
      <c r="F56" t="s">
        <v>1726</v>
      </c>
    </row>
    <row r="57" spans="1:6" x14ac:dyDescent="0.35">
      <c r="A57">
        <v>1002687788</v>
      </c>
      <c r="C57">
        <v>20</v>
      </c>
      <c r="D57" t="s">
        <v>1727</v>
      </c>
      <c r="E57" t="s">
        <v>1719</v>
      </c>
      <c r="F57" t="s">
        <v>1728</v>
      </c>
    </row>
    <row r="58" spans="1:6" x14ac:dyDescent="0.35">
      <c r="A58">
        <v>1002687788</v>
      </c>
      <c r="C58">
        <v>10</v>
      </c>
      <c r="D58" t="s">
        <v>1729</v>
      </c>
      <c r="E58" t="s">
        <v>1719</v>
      </c>
      <c r="F58" t="s">
        <v>1730</v>
      </c>
    </row>
    <row r="59" spans="1:6" x14ac:dyDescent="0.35">
      <c r="A59">
        <v>5001160866</v>
      </c>
      <c r="C59">
        <v>20</v>
      </c>
      <c r="D59" t="s">
        <v>1731</v>
      </c>
      <c r="E59" t="s">
        <v>1717</v>
      </c>
      <c r="F59" t="s">
        <v>1732</v>
      </c>
    </row>
    <row r="60" spans="1:6" x14ac:dyDescent="0.35">
      <c r="A60">
        <v>6000067425</v>
      </c>
      <c r="C60">
        <v>30</v>
      </c>
      <c r="D60" t="s">
        <v>1733</v>
      </c>
      <c r="E60" t="s">
        <v>1624</v>
      </c>
      <c r="F60" t="s">
        <v>1734</v>
      </c>
    </row>
    <row r="61" spans="1:6" x14ac:dyDescent="0.35">
      <c r="A61">
        <v>1002374619</v>
      </c>
      <c r="C61">
        <v>10</v>
      </c>
      <c r="D61" t="s">
        <v>1735</v>
      </c>
      <c r="E61" t="s">
        <v>1736</v>
      </c>
      <c r="F61" t="s">
        <v>1737</v>
      </c>
    </row>
    <row r="62" spans="1:6" x14ac:dyDescent="0.35">
      <c r="A62">
        <v>1002205012</v>
      </c>
      <c r="C62">
        <v>10</v>
      </c>
      <c r="D62" t="s">
        <v>1738</v>
      </c>
      <c r="E62" t="s">
        <v>1739</v>
      </c>
      <c r="F62" t="s">
        <v>1740</v>
      </c>
    </row>
    <row r="63" spans="1:6" x14ac:dyDescent="0.35">
      <c r="A63">
        <v>1002577582</v>
      </c>
      <c r="C63">
        <v>1740</v>
      </c>
      <c r="D63" t="s">
        <v>1741</v>
      </c>
      <c r="F63" t="s">
        <v>1742</v>
      </c>
    </row>
    <row r="64" spans="1:6" x14ac:dyDescent="0.35">
      <c r="A64">
        <v>1002577582</v>
      </c>
      <c r="C64">
        <v>1170</v>
      </c>
      <c r="D64" t="s">
        <v>1743</v>
      </c>
      <c r="F64" t="s">
        <v>1744</v>
      </c>
    </row>
    <row r="65" spans="1:6" x14ac:dyDescent="0.35">
      <c r="A65">
        <v>1002577582</v>
      </c>
      <c r="C65">
        <v>1810</v>
      </c>
      <c r="D65" t="s">
        <v>1745</v>
      </c>
      <c r="F65" t="s">
        <v>1746</v>
      </c>
    </row>
    <row r="66" spans="1:6" x14ac:dyDescent="0.35">
      <c r="A66">
        <v>1002577582</v>
      </c>
      <c r="C66">
        <v>1790</v>
      </c>
      <c r="D66" t="s">
        <v>1747</v>
      </c>
      <c r="F66" t="s">
        <v>1748</v>
      </c>
    </row>
    <row r="67" spans="1:6" x14ac:dyDescent="0.35">
      <c r="A67">
        <v>1002577582</v>
      </c>
      <c r="C67">
        <v>1720</v>
      </c>
      <c r="D67" t="s">
        <v>1749</v>
      </c>
      <c r="F67" t="s">
        <v>1750</v>
      </c>
    </row>
    <row r="68" spans="1:6" x14ac:dyDescent="0.35">
      <c r="A68">
        <v>1002577582</v>
      </c>
      <c r="C68">
        <v>1400</v>
      </c>
      <c r="D68" t="s">
        <v>1751</v>
      </c>
      <c r="F68" t="s">
        <v>1752</v>
      </c>
    </row>
    <row r="69" spans="1:6" x14ac:dyDescent="0.35">
      <c r="A69">
        <v>1002577582</v>
      </c>
      <c r="C69">
        <v>1390</v>
      </c>
      <c r="D69" t="s">
        <v>1751</v>
      </c>
      <c r="F69" t="s">
        <v>1752</v>
      </c>
    </row>
    <row r="70" spans="1:6" x14ac:dyDescent="0.35">
      <c r="A70">
        <v>1002577582</v>
      </c>
      <c r="C70">
        <v>1320</v>
      </c>
      <c r="D70" t="s">
        <v>1753</v>
      </c>
      <c r="F70" t="s">
        <v>1754</v>
      </c>
    </row>
    <row r="71" spans="1:6" x14ac:dyDescent="0.35">
      <c r="A71">
        <v>1002577582</v>
      </c>
      <c r="C71">
        <v>1310</v>
      </c>
      <c r="D71" t="s">
        <v>1755</v>
      </c>
      <c r="F71" t="s">
        <v>1756</v>
      </c>
    </row>
    <row r="72" spans="1:6" x14ac:dyDescent="0.35">
      <c r="A72">
        <v>1002577582</v>
      </c>
      <c r="C72">
        <v>1800</v>
      </c>
      <c r="D72" t="s">
        <v>1757</v>
      </c>
      <c r="F72" t="s">
        <v>1758</v>
      </c>
    </row>
    <row r="73" spans="1:6" x14ac:dyDescent="0.35">
      <c r="A73">
        <v>1002577582</v>
      </c>
      <c r="C73">
        <v>1410</v>
      </c>
      <c r="D73" t="s">
        <v>1759</v>
      </c>
      <c r="F73" t="s">
        <v>1760</v>
      </c>
    </row>
    <row r="74" spans="1:6" x14ac:dyDescent="0.35">
      <c r="A74">
        <v>1002577582</v>
      </c>
      <c r="C74">
        <v>1140</v>
      </c>
      <c r="D74" t="s">
        <v>1761</v>
      </c>
      <c r="E74">
        <v>4502660745</v>
      </c>
      <c r="F74" t="s">
        <v>1762</v>
      </c>
    </row>
    <row r="75" spans="1:6" x14ac:dyDescent="0.35">
      <c r="A75">
        <v>1002577582</v>
      </c>
      <c r="C75">
        <v>1130</v>
      </c>
      <c r="D75" t="s">
        <v>1763</v>
      </c>
      <c r="F75" t="s">
        <v>1764</v>
      </c>
    </row>
    <row r="76" spans="1:6" x14ac:dyDescent="0.35">
      <c r="A76">
        <v>1002577582</v>
      </c>
      <c r="C76">
        <v>980</v>
      </c>
      <c r="D76" t="s">
        <v>1765</v>
      </c>
      <c r="E76" t="s">
        <v>1766</v>
      </c>
      <c r="F76" t="s">
        <v>1767</v>
      </c>
    </row>
    <row r="77" spans="1:6" x14ac:dyDescent="0.35">
      <c r="A77">
        <v>1002577582</v>
      </c>
      <c r="C77">
        <v>950</v>
      </c>
      <c r="D77" t="s">
        <v>1768</v>
      </c>
      <c r="E77" t="s">
        <v>1766</v>
      </c>
      <c r="F77" t="s">
        <v>1769</v>
      </c>
    </row>
    <row r="78" spans="1:6" x14ac:dyDescent="0.35">
      <c r="A78">
        <v>1002577582</v>
      </c>
      <c r="C78">
        <v>450</v>
      </c>
      <c r="D78" t="s">
        <v>1770</v>
      </c>
      <c r="F78" t="s">
        <v>1771</v>
      </c>
    </row>
    <row r="79" spans="1:6" x14ac:dyDescent="0.35">
      <c r="A79">
        <v>1002577582</v>
      </c>
      <c r="C79">
        <v>380</v>
      </c>
      <c r="D79" t="s">
        <v>1772</v>
      </c>
      <c r="F79" t="s">
        <v>1773</v>
      </c>
    </row>
    <row r="80" spans="1:6" x14ac:dyDescent="0.35">
      <c r="A80">
        <v>1002577582</v>
      </c>
      <c r="C80">
        <v>1250</v>
      </c>
      <c r="D80" t="s">
        <v>1774</v>
      </c>
      <c r="F80" t="s">
        <v>1775</v>
      </c>
    </row>
    <row r="81" spans="1:6" x14ac:dyDescent="0.35">
      <c r="A81">
        <v>1002577582</v>
      </c>
      <c r="C81">
        <v>360</v>
      </c>
      <c r="D81" t="s">
        <v>1776</v>
      </c>
      <c r="F81" t="s">
        <v>1777</v>
      </c>
    </row>
    <row r="82" spans="1:6" x14ac:dyDescent="0.35">
      <c r="A82">
        <v>1002577582</v>
      </c>
      <c r="C82">
        <v>340</v>
      </c>
      <c r="D82" t="s">
        <v>1778</v>
      </c>
      <c r="F82" t="s">
        <v>1779</v>
      </c>
    </row>
    <row r="83" spans="1:6" x14ac:dyDescent="0.35">
      <c r="A83">
        <v>1002577582</v>
      </c>
      <c r="C83">
        <v>250</v>
      </c>
      <c r="D83" t="s">
        <v>1780</v>
      </c>
      <c r="F83" t="s">
        <v>1781</v>
      </c>
    </row>
    <row r="84" spans="1:6" x14ac:dyDescent="0.35">
      <c r="A84">
        <v>1002577582</v>
      </c>
      <c r="C84">
        <v>370</v>
      </c>
      <c r="D84" t="s">
        <v>1782</v>
      </c>
      <c r="F84" t="s">
        <v>1783</v>
      </c>
    </row>
    <row r="85" spans="1:6" x14ac:dyDescent="0.35">
      <c r="A85">
        <v>1002649214</v>
      </c>
      <c r="C85">
        <v>20</v>
      </c>
      <c r="D85" t="s">
        <v>1784</v>
      </c>
      <c r="F85" t="s">
        <v>1785</v>
      </c>
    </row>
    <row r="86" spans="1:6" x14ac:dyDescent="0.35">
      <c r="A86">
        <v>1002652333</v>
      </c>
      <c r="C86">
        <v>10</v>
      </c>
      <c r="D86" t="s">
        <v>1786</v>
      </c>
      <c r="E86" t="s">
        <v>1787</v>
      </c>
      <c r="F86" t="s">
        <v>1788</v>
      </c>
    </row>
    <row r="87" spans="1:6" x14ac:dyDescent="0.35">
      <c r="A87">
        <v>1002625505</v>
      </c>
      <c r="C87">
        <v>10</v>
      </c>
      <c r="D87" t="s">
        <v>1789</v>
      </c>
      <c r="E87" t="s">
        <v>1790</v>
      </c>
      <c r="F87" t="s">
        <v>1791</v>
      </c>
    </row>
    <row r="88" spans="1:6" x14ac:dyDescent="0.35">
      <c r="A88">
        <v>1002653539</v>
      </c>
      <c r="C88">
        <v>20</v>
      </c>
      <c r="D88" t="s">
        <v>1792</v>
      </c>
      <c r="F88" t="s">
        <v>1793</v>
      </c>
    </row>
    <row r="89" spans="1:6" x14ac:dyDescent="0.35">
      <c r="A89">
        <v>1002661015</v>
      </c>
      <c r="C89">
        <v>10</v>
      </c>
      <c r="D89" t="s">
        <v>1794</v>
      </c>
      <c r="E89" t="s">
        <v>1795</v>
      </c>
      <c r="F89" t="s">
        <v>1796</v>
      </c>
    </row>
    <row r="90" spans="1:6" x14ac:dyDescent="0.35">
      <c r="A90">
        <v>1002661015</v>
      </c>
      <c r="C90">
        <v>40</v>
      </c>
      <c r="D90" t="s">
        <v>1797</v>
      </c>
      <c r="E90">
        <v>4502700023</v>
      </c>
      <c r="F90" t="s">
        <v>1798</v>
      </c>
    </row>
    <row r="91" spans="1:6" x14ac:dyDescent="0.35">
      <c r="A91">
        <v>1002661013</v>
      </c>
      <c r="C91">
        <v>40</v>
      </c>
      <c r="D91" t="s">
        <v>1799</v>
      </c>
      <c r="E91" t="s">
        <v>1800</v>
      </c>
      <c r="F91" t="s">
        <v>1801</v>
      </c>
    </row>
    <row r="92" spans="1:6" x14ac:dyDescent="0.35">
      <c r="A92">
        <v>1002661013</v>
      </c>
      <c r="C92">
        <v>30</v>
      </c>
      <c r="D92" t="s">
        <v>1802</v>
      </c>
      <c r="E92" t="s">
        <v>1800</v>
      </c>
      <c r="F92" t="s">
        <v>1803</v>
      </c>
    </row>
    <row r="93" spans="1:6" x14ac:dyDescent="0.35">
      <c r="A93">
        <v>1002661013</v>
      </c>
      <c r="C93">
        <v>20</v>
      </c>
      <c r="D93" t="s">
        <v>1804</v>
      </c>
      <c r="E93" t="s">
        <v>1800</v>
      </c>
      <c r="F93" t="s">
        <v>1805</v>
      </c>
    </row>
    <row r="94" spans="1:6" x14ac:dyDescent="0.35">
      <c r="A94">
        <v>1002661013</v>
      </c>
      <c r="C94">
        <v>10</v>
      </c>
      <c r="D94" t="s">
        <v>1806</v>
      </c>
      <c r="E94" t="s">
        <v>1800</v>
      </c>
      <c r="F94" t="s">
        <v>1807</v>
      </c>
    </row>
    <row r="95" spans="1:6" x14ac:dyDescent="0.35">
      <c r="A95">
        <v>1002643708</v>
      </c>
      <c r="C95">
        <v>20</v>
      </c>
      <c r="D95" t="s">
        <v>1808</v>
      </c>
      <c r="E95" t="s">
        <v>1809</v>
      </c>
      <c r="F95" t="s">
        <v>1810</v>
      </c>
    </row>
    <row r="96" spans="1:6" x14ac:dyDescent="0.35">
      <c r="A96">
        <v>1002643708</v>
      </c>
      <c r="C96">
        <v>30</v>
      </c>
      <c r="D96" t="s">
        <v>1811</v>
      </c>
      <c r="E96" t="s">
        <v>1809</v>
      </c>
      <c r="F96" t="s">
        <v>1812</v>
      </c>
    </row>
    <row r="97" spans="1:6" x14ac:dyDescent="0.35">
      <c r="A97">
        <v>1002646074</v>
      </c>
      <c r="C97">
        <v>160</v>
      </c>
      <c r="D97" t="s">
        <v>1813</v>
      </c>
      <c r="E97" t="s">
        <v>1814</v>
      </c>
      <c r="F97" t="s">
        <v>1815</v>
      </c>
    </row>
    <row r="98" spans="1:6" x14ac:dyDescent="0.35">
      <c r="A98">
        <v>1002646074</v>
      </c>
      <c r="C98">
        <v>90</v>
      </c>
      <c r="D98" t="s">
        <v>1816</v>
      </c>
      <c r="E98">
        <v>4502699441</v>
      </c>
      <c r="F98" t="s">
        <v>1817</v>
      </c>
    </row>
    <row r="99" spans="1:6" x14ac:dyDescent="0.35">
      <c r="A99">
        <v>1002646074</v>
      </c>
      <c r="C99">
        <v>140</v>
      </c>
      <c r="D99" t="s">
        <v>1818</v>
      </c>
      <c r="E99" t="s">
        <v>1814</v>
      </c>
      <c r="F99" t="s">
        <v>1819</v>
      </c>
    </row>
    <row r="100" spans="1:6" x14ac:dyDescent="0.35">
      <c r="A100">
        <v>1002646074</v>
      </c>
      <c r="C100">
        <v>130</v>
      </c>
      <c r="D100" t="s">
        <v>1820</v>
      </c>
      <c r="E100" t="s">
        <v>1814</v>
      </c>
      <c r="F100" t="s">
        <v>1821</v>
      </c>
    </row>
    <row r="101" spans="1:6" x14ac:dyDescent="0.35">
      <c r="A101">
        <v>1002646074</v>
      </c>
      <c r="C101">
        <v>150</v>
      </c>
      <c r="D101" t="s">
        <v>1822</v>
      </c>
      <c r="E101" t="s">
        <v>1814</v>
      </c>
      <c r="F101" t="s">
        <v>1823</v>
      </c>
    </row>
    <row r="102" spans="1:6" x14ac:dyDescent="0.35">
      <c r="A102">
        <v>1002646074</v>
      </c>
      <c r="C102">
        <v>10</v>
      </c>
      <c r="D102" t="s">
        <v>1824</v>
      </c>
      <c r="E102" t="s">
        <v>1814</v>
      </c>
      <c r="F102" t="s">
        <v>1825</v>
      </c>
    </row>
    <row r="103" spans="1:6" x14ac:dyDescent="0.35">
      <c r="A103">
        <v>1002643256</v>
      </c>
      <c r="C103">
        <v>400</v>
      </c>
      <c r="D103" t="s">
        <v>1826</v>
      </c>
      <c r="E103" t="s">
        <v>1827</v>
      </c>
      <c r="F103" t="s">
        <v>1828</v>
      </c>
    </row>
    <row r="104" spans="1:6" x14ac:dyDescent="0.35">
      <c r="A104">
        <v>1002643256</v>
      </c>
      <c r="C104">
        <v>320</v>
      </c>
      <c r="D104" t="s">
        <v>1829</v>
      </c>
      <c r="E104" t="s">
        <v>1827</v>
      </c>
      <c r="F104" t="s">
        <v>1830</v>
      </c>
    </row>
    <row r="105" spans="1:6" x14ac:dyDescent="0.35">
      <c r="A105">
        <v>1002643256</v>
      </c>
      <c r="C105">
        <v>30</v>
      </c>
      <c r="D105" t="s">
        <v>1831</v>
      </c>
      <c r="E105" t="s">
        <v>1832</v>
      </c>
      <c r="F105" t="s">
        <v>1833</v>
      </c>
    </row>
    <row r="106" spans="1:6" x14ac:dyDescent="0.35">
      <c r="A106">
        <v>1002643256</v>
      </c>
      <c r="C106">
        <v>270</v>
      </c>
      <c r="D106" t="s">
        <v>1834</v>
      </c>
      <c r="E106" t="s">
        <v>1827</v>
      </c>
      <c r="F106" t="s">
        <v>1835</v>
      </c>
    </row>
    <row r="107" spans="1:6" x14ac:dyDescent="0.35">
      <c r="A107">
        <v>1002643256</v>
      </c>
      <c r="C107">
        <v>310</v>
      </c>
      <c r="D107" t="s">
        <v>1836</v>
      </c>
      <c r="E107" t="s">
        <v>1837</v>
      </c>
      <c r="F107" t="s">
        <v>1838</v>
      </c>
    </row>
    <row r="108" spans="1:6" x14ac:dyDescent="0.35">
      <c r="A108">
        <v>1002662152</v>
      </c>
      <c r="C108">
        <v>10</v>
      </c>
      <c r="D108" t="s">
        <v>1839</v>
      </c>
      <c r="E108" t="s">
        <v>1840</v>
      </c>
      <c r="F108" t="s">
        <v>1841</v>
      </c>
    </row>
    <row r="109" spans="1:6" x14ac:dyDescent="0.35">
      <c r="A109">
        <v>1002662152</v>
      </c>
      <c r="C109">
        <v>20</v>
      </c>
      <c r="D109" t="s">
        <v>1842</v>
      </c>
      <c r="E109" t="s">
        <v>1840</v>
      </c>
      <c r="F109" t="s">
        <v>1843</v>
      </c>
    </row>
    <row r="110" spans="1:6" x14ac:dyDescent="0.35">
      <c r="A110">
        <v>1002662152</v>
      </c>
      <c r="C110">
        <v>30</v>
      </c>
      <c r="D110" t="s">
        <v>1844</v>
      </c>
      <c r="E110" t="s">
        <v>1840</v>
      </c>
      <c r="F110" t="s">
        <v>1845</v>
      </c>
    </row>
    <row r="111" spans="1:6" x14ac:dyDescent="0.35">
      <c r="A111">
        <v>1002646074</v>
      </c>
      <c r="C111">
        <v>210</v>
      </c>
      <c r="D111" t="s">
        <v>1846</v>
      </c>
      <c r="F111" t="s">
        <v>1847</v>
      </c>
    </row>
    <row r="112" spans="1:6" x14ac:dyDescent="0.35">
      <c r="A112">
        <v>1002669280</v>
      </c>
      <c r="C112">
        <v>10</v>
      </c>
      <c r="D112" t="s">
        <v>1489</v>
      </c>
      <c r="E112">
        <v>4502699473</v>
      </c>
      <c r="F112" t="s">
        <v>1848</v>
      </c>
    </row>
    <row r="113" spans="1:6" x14ac:dyDescent="0.35">
      <c r="A113">
        <v>1002671590</v>
      </c>
      <c r="C113">
        <v>10</v>
      </c>
      <c r="D113" t="s">
        <v>1849</v>
      </c>
      <c r="E113" t="s">
        <v>1840</v>
      </c>
      <c r="F113" t="s">
        <v>1850</v>
      </c>
    </row>
    <row r="114" spans="1:6" x14ac:dyDescent="0.35">
      <c r="A114">
        <v>1002671083</v>
      </c>
      <c r="C114">
        <v>10</v>
      </c>
      <c r="D114" t="s">
        <v>798</v>
      </c>
      <c r="E114" t="s">
        <v>1851</v>
      </c>
      <c r="F114" t="s">
        <v>1852</v>
      </c>
    </row>
    <row r="115" spans="1:6" x14ac:dyDescent="0.35">
      <c r="A115">
        <v>1002671083</v>
      </c>
      <c r="C115">
        <v>20</v>
      </c>
      <c r="D115" t="s">
        <v>799</v>
      </c>
      <c r="E115" t="s">
        <v>1851</v>
      </c>
      <c r="F115" t="s">
        <v>1853</v>
      </c>
    </row>
    <row r="116" spans="1:6" x14ac:dyDescent="0.35">
      <c r="A116">
        <v>1002671083</v>
      </c>
      <c r="C116">
        <v>30</v>
      </c>
      <c r="D116" t="s">
        <v>851</v>
      </c>
      <c r="E116" t="s">
        <v>1854</v>
      </c>
      <c r="F116" t="s">
        <v>1855</v>
      </c>
    </row>
    <row r="117" spans="1:6" x14ac:dyDescent="0.35">
      <c r="A117">
        <v>1002671112</v>
      </c>
      <c r="C117">
        <v>10</v>
      </c>
      <c r="D117" t="s">
        <v>1556</v>
      </c>
      <c r="E117">
        <v>4502700098</v>
      </c>
      <c r="F117" t="s">
        <v>1856</v>
      </c>
    </row>
    <row r="118" spans="1:6" x14ac:dyDescent="0.35">
      <c r="A118">
        <v>1002671112</v>
      </c>
      <c r="C118">
        <v>20</v>
      </c>
      <c r="D118" t="s">
        <v>1557</v>
      </c>
      <c r="E118">
        <v>4502700098</v>
      </c>
      <c r="F118" t="s">
        <v>1857</v>
      </c>
    </row>
    <row r="119" spans="1:6" x14ac:dyDescent="0.35">
      <c r="A119">
        <v>1002671590</v>
      </c>
      <c r="C119">
        <v>50</v>
      </c>
      <c r="D119" t="s">
        <v>1858</v>
      </c>
      <c r="E119" t="s">
        <v>1840</v>
      </c>
      <c r="F119" t="s">
        <v>1859</v>
      </c>
    </row>
    <row r="120" spans="1:6" x14ac:dyDescent="0.35">
      <c r="A120">
        <v>1002671590</v>
      </c>
      <c r="C120">
        <v>40</v>
      </c>
      <c r="D120" t="s">
        <v>1860</v>
      </c>
      <c r="E120" t="s">
        <v>1840</v>
      </c>
      <c r="F120" t="s">
        <v>1861</v>
      </c>
    </row>
    <row r="121" spans="1:6" x14ac:dyDescent="0.35">
      <c r="A121">
        <v>1002671590</v>
      </c>
      <c r="C121">
        <v>30</v>
      </c>
      <c r="D121" t="s">
        <v>1862</v>
      </c>
      <c r="E121">
        <v>4502700039</v>
      </c>
      <c r="F121" t="s">
        <v>1863</v>
      </c>
    </row>
    <row r="122" spans="1:6" x14ac:dyDescent="0.35">
      <c r="A122">
        <v>1002671588</v>
      </c>
      <c r="C122">
        <v>10</v>
      </c>
      <c r="D122" t="s">
        <v>1864</v>
      </c>
      <c r="E122">
        <v>4502700140</v>
      </c>
      <c r="F122" t="s">
        <v>1865</v>
      </c>
    </row>
    <row r="123" spans="1:6" x14ac:dyDescent="0.35">
      <c r="A123">
        <v>1002673065</v>
      </c>
      <c r="C123">
        <v>10</v>
      </c>
      <c r="D123" t="s">
        <v>1866</v>
      </c>
      <c r="E123" t="s">
        <v>1867</v>
      </c>
      <c r="F123" t="s">
        <v>1868</v>
      </c>
    </row>
    <row r="124" spans="1:6" x14ac:dyDescent="0.35">
      <c r="A124">
        <v>1002672910</v>
      </c>
      <c r="C124">
        <v>20</v>
      </c>
      <c r="D124" t="s">
        <v>1869</v>
      </c>
      <c r="E124">
        <v>4502700157</v>
      </c>
      <c r="F124" t="s">
        <v>1870</v>
      </c>
    </row>
    <row r="125" spans="1:6" x14ac:dyDescent="0.35">
      <c r="A125">
        <v>1002672910</v>
      </c>
      <c r="C125">
        <v>10</v>
      </c>
      <c r="D125" t="s">
        <v>1871</v>
      </c>
      <c r="E125">
        <v>4502700157</v>
      </c>
      <c r="F125" t="s">
        <v>1872</v>
      </c>
    </row>
    <row r="126" spans="1:6" x14ac:dyDescent="0.35">
      <c r="A126">
        <v>1002671219</v>
      </c>
      <c r="C126">
        <v>20</v>
      </c>
      <c r="D126" t="s">
        <v>1211</v>
      </c>
      <c r="E126">
        <v>4502700280</v>
      </c>
      <c r="F126" t="s">
        <v>1873</v>
      </c>
    </row>
    <row r="127" spans="1:6" x14ac:dyDescent="0.35">
      <c r="A127">
        <v>1002663262</v>
      </c>
      <c r="C127">
        <v>170</v>
      </c>
      <c r="D127" t="s">
        <v>1874</v>
      </c>
      <c r="E127" t="s">
        <v>1809</v>
      </c>
      <c r="F127" t="s">
        <v>1875</v>
      </c>
    </row>
    <row r="128" spans="1:6" x14ac:dyDescent="0.35">
      <c r="A128">
        <v>1002674290</v>
      </c>
      <c r="C128">
        <v>10</v>
      </c>
      <c r="D128" t="s">
        <v>815</v>
      </c>
      <c r="E128" t="s">
        <v>1876</v>
      </c>
      <c r="F128" t="s">
        <v>1877</v>
      </c>
    </row>
    <row r="129" spans="1:6" x14ac:dyDescent="0.35">
      <c r="A129">
        <v>1002671598</v>
      </c>
      <c r="C129">
        <v>20</v>
      </c>
      <c r="D129" t="s">
        <v>1451</v>
      </c>
      <c r="E129" t="s">
        <v>1840</v>
      </c>
      <c r="F129" t="s">
        <v>1878</v>
      </c>
    </row>
    <row r="130" spans="1:6" x14ac:dyDescent="0.35">
      <c r="A130">
        <v>5001160050</v>
      </c>
      <c r="C130">
        <v>200</v>
      </c>
      <c r="D130" t="s">
        <v>1811</v>
      </c>
      <c r="E130">
        <v>4502700308</v>
      </c>
      <c r="F130" t="s">
        <v>1879</v>
      </c>
    </row>
    <row r="131" spans="1:6" x14ac:dyDescent="0.35">
      <c r="A131">
        <v>5001160050</v>
      </c>
      <c r="C131">
        <v>190</v>
      </c>
      <c r="D131" t="s">
        <v>1808</v>
      </c>
      <c r="E131">
        <v>4502700308</v>
      </c>
      <c r="F131" t="s">
        <v>1880</v>
      </c>
    </row>
    <row r="132" spans="1:6" x14ac:dyDescent="0.35">
      <c r="A132">
        <v>5001160050</v>
      </c>
      <c r="C132">
        <v>180</v>
      </c>
      <c r="D132" t="s">
        <v>1881</v>
      </c>
      <c r="E132" t="s">
        <v>1882</v>
      </c>
      <c r="F132" t="s">
        <v>1883</v>
      </c>
    </row>
    <row r="133" spans="1:6" x14ac:dyDescent="0.35">
      <c r="A133">
        <v>5001160050</v>
      </c>
      <c r="C133">
        <v>140</v>
      </c>
      <c r="D133" t="s">
        <v>1884</v>
      </c>
      <c r="E133" t="s">
        <v>1882</v>
      </c>
      <c r="F133" t="s">
        <v>1885</v>
      </c>
    </row>
    <row r="134" spans="1:6" x14ac:dyDescent="0.35">
      <c r="A134">
        <v>5001160050</v>
      </c>
      <c r="C134">
        <v>130</v>
      </c>
      <c r="D134" t="s">
        <v>1472</v>
      </c>
      <c r="E134">
        <v>4502700357</v>
      </c>
      <c r="F134" t="s">
        <v>1886</v>
      </c>
    </row>
    <row r="135" spans="1:6" x14ac:dyDescent="0.35">
      <c r="A135">
        <v>5001160050</v>
      </c>
      <c r="C135">
        <v>110</v>
      </c>
      <c r="D135" t="s">
        <v>1887</v>
      </c>
      <c r="E135">
        <v>4502700340</v>
      </c>
      <c r="F135" t="s">
        <v>1888</v>
      </c>
    </row>
    <row r="136" spans="1:6" x14ac:dyDescent="0.35">
      <c r="A136">
        <v>5001160050</v>
      </c>
      <c r="C136">
        <v>90</v>
      </c>
      <c r="D136" t="s">
        <v>1889</v>
      </c>
      <c r="E136">
        <v>4502700357</v>
      </c>
      <c r="F136" t="s">
        <v>1890</v>
      </c>
    </row>
    <row r="137" spans="1:6" x14ac:dyDescent="0.35">
      <c r="A137">
        <v>1002671598</v>
      </c>
      <c r="C137">
        <v>10</v>
      </c>
      <c r="D137" t="s">
        <v>1891</v>
      </c>
      <c r="E137" t="s">
        <v>1840</v>
      </c>
      <c r="F137" t="s">
        <v>1892</v>
      </c>
    </row>
    <row r="138" spans="1:6" x14ac:dyDescent="0.35">
      <c r="A138">
        <v>5001160050</v>
      </c>
      <c r="C138">
        <v>40</v>
      </c>
      <c r="D138" t="s">
        <v>1893</v>
      </c>
      <c r="E138">
        <v>4502700357</v>
      </c>
      <c r="F138" t="s">
        <v>1894</v>
      </c>
    </row>
    <row r="139" spans="1:6" x14ac:dyDescent="0.35">
      <c r="A139">
        <v>5001160050</v>
      </c>
      <c r="C139">
        <v>10</v>
      </c>
      <c r="D139" t="s">
        <v>1895</v>
      </c>
      <c r="E139">
        <v>4502700349</v>
      </c>
      <c r="F139" t="s">
        <v>1896</v>
      </c>
    </row>
    <row r="140" spans="1:6" x14ac:dyDescent="0.35">
      <c r="A140">
        <v>5001160050</v>
      </c>
      <c r="C140">
        <v>50</v>
      </c>
      <c r="D140" t="s">
        <v>1897</v>
      </c>
      <c r="E140">
        <v>4502700357</v>
      </c>
      <c r="F140" t="s">
        <v>1898</v>
      </c>
    </row>
    <row r="141" spans="1:6" x14ac:dyDescent="0.35">
      <c r="A141">
        <v>5001160050</v>
      </c>
      <c r="C141">
        <v>70</v>
      </c>
      <c r="D141" t="s">
        <v>1499</v>
      </c>
      <c r="E141">
        <v>4502700357</v>
      </c>
      <c r="F141" t="s">
        <v>1899</v>
      </c>
    </row>
    <row r="142" spans="1:6" x14ac:dyDescent="0.35">
      <c r="A142">
        <v>1002674338</v>
      </c>
      <c r="C142">
        <v>10</v>
      </c>
      <c r="D142" t="s">
        <v>1900</v>
      </c>
      <c r="E142" t="s">
        <v>1901</v>
      </c>
      <c r="F142" t="s">
        <v>1902</v>
      </c>
    </row>
    <row r="143" spans="1:6" x14ac:dyDescent="0.35">
      <c r="A143">
        <v>1002673036</v>
      </c>
      <c r="C143">
        <v>30</v>
      </c>
      <c r="D143" t="s">
        <v>1903</v>
      </c>
      <c r="E143" t="s">
        <v>1876</v>
      </c>
      <c r="F143" t="s">
        <v>1904</v>
      </c>
    </row>
    <row r="144" spans="1:6" x14ac:dyDescent="0.35">
      <c r="A144">
        <v>1002674973</v>
      </c>
      <c r="C144">
        <v>30</v>
      </c>
      <c r="D144" t="s">
        <v>1302</v>
      </c>
      <c r="E144" t="s">
        <v>1876</v>
      </c>
      <c r="F144" t="s">
        <v>1905</v>
      </c>
    </row>
    <row r="145" spans="1:6" x14ac:dyDescent="0.35">
      <c r="A145">
        <v>5001160050</v>
      </c>
      <c r="C145">
        <v>100</v>
      </c>
      <c r="D145" t="s">
        <v>1906</v>
      </c>
      <c r="E145" t="s">
        <v>1882</v>
      </c>
      <c r="F145" t="s">
        <v>1907</v>
      </c>
    </row>
    <row r="146" spans="1:6" x14ac:dyDescent="0.35">
      <c r="A146">
        <v>1002674971</v>
      </c>
      <c r="C146">
        <v>10</v>
      </c>
      <c r="D146" t="s">
        <v>1443</v>
      </c>
      <c r="E146" t="s">
        <v>1908</v>
      </c>
      <c r="F146" t="s">
        <v>1909</v>
      </c>
    </row>
    <row r="147" spans="1:6" x14ac:dyDescent="0.35">
      <c r="A147">
        <v>1002674994</v>
      </c>
      <c r="C147">
        <v>50</v>
      </c>
      <c r="D147" t="s">
        <v>1910</v>
      </c>
      <c r="E147" t="s">
        <v>1911</v>
      </c>
      <c r="F147" t="s">
        <v>1912</v>
      </c>
    </row>
    <row r="148" spans="1:6" x14ac:dyDescent="0.35">
      <c r="A148">
        <v>1002674994</v>
      </c>
      <c r="C148">
        <v>40</v>
      </c>
      <c r="D148" t="s">
        <v>1913</v>
      </c>
      <c r="F148" t="s">
        <v>1914</v>
      </c>
    </row>
    <row r="149" spans="1:6" x14ac:dyDescent="0.35">
      <c r="A149">
        <v>1002674994</v>
      </c>
      <c r="C149">
        <v>30</v>
      </c>
      <c r="D149" t="s">
        <v>1915</v>
      </c>
      <c r="F149" t="s">
        <v>1916</v>
      </c>
    </row>
    <row r="150" spans="1:6" x14ac:dyDescent="0.35">
      <c r="A150">
        <v>1002674994</v>
      </c>
      <c r="C150">
        <v>20</v>
      </c>
      <c r="D150" t="s">
        <v>1917</v>
      </c>
      <c r="F150" t="s">
        <v>1918</v>
      </c>
    </row>
    <row r="151" spans="1:6" x14ac:dyDescent="0.35">
      <c r="A151">
        <v>1002674994</v>
      </c>
      <c r="C151">
        <v>10</v>
      </c>
      <c r="D151" t="s">
        <v>1919</v>
      </c>
      <c r="F151" t="s">
        <v>1920</v>
      </c>
    </row>
    <row r="152" spans="1:6" x14ac:dyDescent="0.35">
      <c r="A152">
        <v>1002674973</v>
      </c>
      <c r="C152">
        <v>10</v>
      </c>
      <c r="D152" t="s">
        <v>133</v>
      </c>
      <c r="E152" t="s">
        <v>1876</v>
      </c>
      <c r="F152" t="s">
        <v>1921</v>
      </c>
    </row>
    <row r="153" spans="1:6" x14ac:dyDescent="0.35">
      <c r="A153">
        <v>1002663213</v>
      </c>
      <c r="C153">
        <v>10</v>
      </c>
      <c r="D153" t="s">
        <v>1922</v>
      </c>
      <c r="F153" t="s">
        <v>1923</v>
      </c>
    </row>
    <row r="154" spans="1:6" x14ac:dyDescent="0.35">
      <c r="A154">
        <v>1002643752</v>
      </c>
      <c r="C154">
        <v>1490</v>
      </c>
      <c r="D154" t="s">
        <v>1924</v>
      </c>
      <c r="E154" t="s">
        <v>1925</v>
      </c>
      <c r="F154" t="s">
        <v>1926</v>
      </c>
    </row>
    <row r="155" spans="1:6" x14ac:dyDescent="0.35">
      <c r="A155">
        <v>1002643752</v>
      </c>
      <c r="C155">
        <v>1500</v>
      </c>
      <c r="D155" t="s">
        <v>1924</v>
      </c>
      <c r="E155" t="s">
        <v>1925</v>
      </c>
      <c r="F155" t="s">
        <v>1926</v>
      </c>
    </row>
    <row r="156" spans="1:6" x14ac:dyDescent="0.35">
      <c r="A156">
        <v>1002643752</v>
      </c>
      <c r="C156">
        <v>1510</v>
      </c>
      <c r="D156" t="s">
        <v>1924</v>
      </c>
      <c r="E156" t="s">
        <v>1925</v>
      </c>
      <c r="F156" t="s">
        <v>1926</v>
      </c>
    </row>
    <row r="157" spans="1:6" x14ac:dyDescent="0.35">
      <c r="A157">
        <v>1002643752</v>
      </c>
      <c r="C157">
        <v>1520</v>
      </c>
      <c r="D157" t="s">
        <v>1927</v>
      </c>
      <c r="E157" t="s">
        <v>1925</v>
      </c>
      <c r="F157" t="s">
        <v>1928</v>
      </c>
    </row>
    <row r="158" spans="1:6" x14ac:dyDescent="0.35">
      <c r="A158">
        <v>1002643752</v>
      </c>
      <c r="C158">
        <v>1530</v>
      </c>
      <c r="D158" t="s">
        <v>1927</v>
      </c>
      <c r="E158" t="s">
        <v>1925</v>
      </c>
      <c r="F158" t="s">
        <v>1928</v>
      </c>
    </row>
    <row r="159" spans="1:6" x14ac:dyDescent="0.35">
      <c r="A159">
        <v>1002643752</v>
      </c>
      <c r="C159">
        <v>1540</v>
      </c>
      <c r="D159" t="s">
        <v>1927</v>
      </c>
      <c r="E159" t="s">
        <v>1925</v>
      </c>
      <c r="F159" t="s">
        <v>1928</v>
      </c>
    </row>
    <row r="160" spans="1:6" x14ac:dyDescent="0.35">
      <c r="A160">
        <v>1002643752</v>
      </c>
      <c r="C160">
        <v>1550</v>
      </c>
      <c r="D160" t="s">
        <v>1929</v>
      </c>
      <c r="E160" t="s">
        <v>1925</v>
      </c>
      <c r="F160" t="s">
        <v>1930</v>
      </c>
    </row>
    <row r="161" spans="1:6" x14ac:dyDescent="0.35">
      <c r="A161">
        <v>1002643752</v>
      </c>
      <c r="C161">
        <v>1560</v>
      </c>
      <c r="D161" t="s">
        <v>1931</v>
      </c>
      <c r="E161" t="s">
        <v>1925</v>
      </c>
      <c r="F161" t="s">
        <v>1932</v>
      </c>
    </row>
    <row r="162" spans="1:6" x14ac:dyDescent="0.35">
      <c r="A162">
        <v>1002644386</v>
      </c>
      <c r="C162">
        <v>10</v>
      </c>
      <c r="D162" t="s">
        <v>528</v>
      </c>
      <c r="F162" t="s">
        <v>1933</v>
      </c>
    </row>
    <row r="163" spans="1:6" x14ac:dyDescent="0.35">
      <c r="A163">
        <v>1002643752</v>
      </c>
      <c r="C163">
        <v>1580</v>
      </c>
      <c r="D163" t="s">
        <v>1927</v>
      </c>
      <c r="E163" t="s">
        <v>1925</v>
      </c>
      <c r="F163" t="s">
        <v>1928</v>
      </c>
    </row>
    <row r="164" spans="1:6" x14ac:dyDescent="0.35">
      <c r="A164">
        <v>1002643752</v>
      </c>
      <c r="C164">
        <v>1480</v>
      </c>
      <c r="D164" t="s">
        <v>1924</v>
      </c>
      <c r="E164" t="s">
        <v>1925</v>
      </c>
      <c r="F164" t="s">
        <v>1926</v>
      </c>
    </row>
    <row r="165" spans="1:6" x14ac:dyDescent="0.35">
      <c r="A165">
        <v>1002674714</v>
      </c>
      <c r="C165">
        <v>10</v>
      </c>
      <c r="D165" t="s">
        <v>1934</v>
      </c>
      <c r="F165" t="s">
        <v>1935</v>
      </c>
    </row>
    <row r="166" spans="1:6" x14ac:dyDescent="0.35">
      <c r="A166">
        <v>1002674757</v>
      </c>
      <c r="C166">
        <v>10</v>
      </c>
      <c r="D166" t="s">
        <v>1936</v>
      </c>
      <c r="F166" t="s">
        <v>1937</v>
      </c>
    </row>
    <row r="167" spans="1:6" x14ac:dyDescent="0.35">
      <c r="A167">
        <v>1002669151</v>
      </c>
      <c r="C167">
        <v>10</v>
      </c>
      <c r="D167" t="s">
        <v>1938</v>
      </c>
      <c r="F167" t="s">
        <v>1939</v>
      </c>
    </row>
    <row r="168" spans="1:6" x14ac:dyDescent="0.35">
      <c r="A168">
        <v>1002663220</v>
      </c>
      <c r="C168">
        <v>10</v>
      </c>
      <c r="D168" t="s">
        <v>1940</v>
      </c>
      <c r="F168" t="s">
        <v>1941</v>
      </c>
    </row>
    <row r="169" spans="1:6" x14ac:dyDescent="0.35">
      <c r="A169">
        <v>1002663213</v>
      </c>
      <c r="C169">
        <v>20</v>
      </c>
      <c r="D169" t="s">
        <v>1942</v>
      </c>
      <c r="F169" t="s">
        <v>1943</v>
      </c>
    </row>
    <row r="170" spans="1:6" x14ac:dyDescent="0.35">
      <c r="A170">
        <v>1002643752</v>
      </c>
      <c r="C170">
        <v>1570</v>
      </c>
      <c r="D170" t="s">
        <v>1927</v>
      </c>
      <c r="E170" t="s">
        <v>1925</v>
      </c>
      <c r="F170" t="s">
        <v>1928</v>
      </c>
    </row>
    <row r="171" spans="1:6" x14ac:dyDescent="0.35">
      <c r="A171">
        <v>1002643752</v>
      </c>
      <c r="C171">
        <v>930</v>
      </c>
      <c r="D171" t="s">
        <v>1944</v>
      </c>
      <c r="E171" t="s">
        <v>1925</v>
      </c>
      <c r="F171" t="s">
        <v>1945</v>
      </c>
    </row>
    <row r="172" spans="1:6" x14ac:dyDescent="0.35">
      <c r="A172">
        <v>1002663213</v>
      </c>
      <c r="C172">
        <v>30</v>
      </c>
      <c r="D172" t="s">
        <v>1946</v>
      </c>
      <c r="F172" t="s">
        <v>1947</v>
      </c>
    </row>
    <row r="173" spans="1:6" x14ac:dyDescent="0.35">
      <c r="A173">
        <v>1002643752</v>
      </c>
      <c r="C173">
        <v>1260</v>
      </c>
      <c r="D173" t="s">
        <v>1948</v>
      </c>
      <c r="E173" t="s">
        <v>1925</v>
      </c>
      <c r="F173" t="s">
        <v>1949</v>
      </c>
    </row>
    <row r="174" spans="1:6" x14ac:dyDescent="0.35">
      <c r="A174">
        <v>1002643752</v>
      </c>
      <c r="C174">
        <v>370</v>
      </c>
      <c r="D174" t="s">
        <v>1950</v>
      </c>
      <c r="E174" t="s">
        <v>1925</v>
      </c>
      <c r="F174" t="s">
        <v>1951</v>
      </c>
    </row>
    <row r="175" spans="1:6" x14ac:dyDescent="0.35">
      <c r="A175">
        <v>1002643752</v>
      </c>
      <c r="C175">
        <v>380</v>
      </c>
      <c r="D175" t="s">
        <v>1950</v>
      </c>
      <c r="E175" t="s">
        <v>1925</v>
      </c>
      <c r="F175" t="s">
        <v>1951</v>
      </c>
    </row>
    <row r="176" spans="1:6" x14ac:dyDescent="0.35">
      <c r="A176">
        <v>1002643752</v>
      </c>
      <c r="C176">
        <v>400</v>
      </c>
      <c r="D176" t="s">
        <v>1952</v>
      </c>
      <c r="E176" t="s">
        <v>1925</v>
      </c>
      <c r="F176" t="s">
        <v>1953</v>
      </c>
    </row>
    <row r="177" spans="1:6" x14ac:dyDescent="0.35">
      <c r="A177">
        <v>1002643752</v>
      </c>
      <c r="C177">
        <v>410</v>
      </c>
      <c r="D177" t="s">
        <v>1952</v>
      </c>
      <c r="E177" t="s">
        <v>1925</v>
      </c>
      <c r="F177" t="s">
        <v>1953</v>
      </c>
    </row>
    <row r="178" spans="1:6" x14ac:dyDescent="0.35">
      <c r="A178">
        <v>1002643752</v>
      </c>
      <c r="C178">
        <v>420</v>
      </c>
      <c r="D178" t="s">
        <v>1954</v>
      </c>
      <c r="E178" t="s">
        <v>1925</v>
      </c>
      <c r="F178" t="s">
        <v>1955</v>
      </c>
    </row>
    <row r="179" spans="1:6" x14ac:dyDescent="0.35">
      <c r="A179">
        <v>1002643752</v>
      </c>
      <c r="C179">
        <v>430</v>
      </c>
      <c r="D179" t="s">
        <v>1954</v>
      </c>
      <c r="E179" t="s">
        <v>1925</v>
      </c>
      <c r="F179" t="s">
        <v>1955</v>
      </c>
    </row>
    <row r="180" spans="1:6" x14ac:dyDescent="0.35">
      <c r="A180">
        <v>1002643752</v>
      </c>
      <c r="C180">
        <v>440</v>
      </c>
      <c r="D180" t="s">
        <v>1954</v>
      </c>
      <c r="E180" t="s">
        <v>1925</v>
      </c>
      <c r="F180" t="s">
        <v>1955</v>
      </c>
    </row>
    <row r="181" spans="1:6" x14ac:dyDescent="0.35">
      <c r="A181">
        <v>1002643752</v>
      </c>
      <c r="C181">
        <v>450</v>
      </c>
      <c r="D181" t="s">
        <v>1956</v>
      </c>
      <c r="E181" t="s">
        <v>1925</v>
      </c>
      <c r="F181" t="s">
        <v>1957</v>
      </c>
    </row>
    <row r="182" spans="1:6" x14ac:dyDescent="0.35">
      <c r="A182">
        <v>1002643752</v>
      </c>
      <c r="C182">
        <v>460</v>
      </c>
      <c r="D182" t="s">
        <v>1958</v>
      </c>
      <c r="E182" t="s">
        <v>1925</v>
      </c>
      <c r="F182" t="s">
        <v>1959</v>
      </c>
    </row>
    <row r="183" spans="1:6" x14ac:dyDescent="0.35">
      <c r="A183">
        <v>1002643752</v>
      </c>
      <c r="C183">
        <v>750</v>
      </c>
      <c r="D183" t="s">
        <v>1960</v>
      </c>
      <c r="E183" t="s">
        <v>1925</v>
      </c>
      <c r="F183" t="s">
        <v>1961</v>
      </c>
    </row>
    <row r="184" spans="1:6" x14ac:dyDescent="0.35">
      <c r="A184">
        <v>1002643752</v>
      </c>
      <c r="C184">
        <v>710</v>
      </c>
      <c r="D184" t="s">
        <v>1962</v>
      </c>
      <c r="E184" t="s">
        <v>1925</v>
      </c>
      <c r="F184" t="s">
        <v>1963</v>
      </c>
    </row>
    <row r="185" spans="1:6" x14ac:dyDescent="0.35">
      <c r="A185">
        <v>1002643752</v>
      </c>
      <c r="C185">
        <v>700</v>
      </c>
      <c r="D185" t="s">
        <v>1964</v>
      </c>
      <c r="E185" t="s">
        <v>1925</v>
      </c>
      <c r="F185" t="s">
        <v>1965</v>
      </c>
    </row>
    <row r="186" spans="1:6" x14ac:dyDescent="0.35">
      <c r="A186">
        <v>1002643752</v>
      </c>
      <c r="C186">
        <v>690</v>
      </c>
      <c r="D186" t="s">
        <v>1966</v>
      </c>
      <c r="E186" t="s">
        <v>1925</v>
      </c>
      <c r="F186" t="s">
        <v>1967</v>
      </c>
    </row>
    <row r="187" spans="1:6" x14ac:dyDescent="0.35">
      <c r="A187">
        <v>1002643752</v>
      </c>
      <c r="C187">
        <v>680</v>
      </c>
      <c r="D187" t="s">
        <v>1968</v>
      </c>
      <c r="E187" t="s">
        <v>1925</v>
      </c>
      <c r="F187" t="s">
        <v>1969</v>
      </c>
    </row>
    <row r="188" spans="1:6" x14ac:dyDescent="0.35">
      <c r="A188">
        <v>1002643752</v>
      </c>
      <c r="C188">
        <v>570</v>
      </c>
      <c r="D188" t="s">
        <v>1970</v>
      </c>
      <c r="E188" t="s">
        <v>1925</v>
      </c>
      <c r="F188" t="s">
        <v>1971</v>
      </c>
    </row>
    <row r="189" spans="1:6" x14ac:dyDescent="0.35">
      <c r="A189">
        <v>1002643752</v>
      </c>
      <c r="C189">
        <v>560</v>
      </c>
      <c r="D189" t="s">
        <v>1972</v>
      </c>
      <c r="E189" t="s">
        <v>1925</v>
      </c>
      <c r="F189" t="s">
        <v>1973</v>
      </c>
    </row>
    <row r="190" spans="1:6" x14ac:dyDescent="0.35">
      <c r="A190">
        <v>1002643752</v>
      </c>
      <c r="C190">
        <v>550</v>
      </c>
      <c r="D190" t="s">
        <v>1974</v>
      </c>
      <c r="E190" t="s">
        <v>1925</v>
      </c>
      <c r="F190" t="s">
        <v>1975</v>
      </c>
    </row>
    <row r="191" spans="1:6" x14ac:dyDescent="0.35">
      <c r="A191">
        <v>1002643752</v>
      </c>
      <c r="C191">
        <v>360</v>
      </c>
      <c r="D191" t="s">
        <v>1950</v>
      </c>
      <c r="E191" t="s">
        <v>1925</v>
      </c>
      <c r="F191" t="s">
        <v>1951</v>
      </c>
    </row>
    <row r="192" spans="1:6" x14ac:dyDescent="0.35">
      <c r="A192">
        <v>1002643752</v>
      </c>
      <c r="C192">
        <v>540</v>
      </c>
      <c r="D192" t="s">
        <v>1976</v>
      </c>
      <c r="E192" t="s">
        <v>1925</v>
      </c>
      <c r="F192" t="s">
        <v>1977</v>
      </c>
    </row>
    <row r="193" spans="1:6" x14ac:dyDescent="0.35">
      <c r="A193">
        <v>1002643752</v>
      </c>
      <c r="C193">
        <v>330</v>
      </c>
      <c r="D193" t="s">
        <v>1978</v>
      </c>
      <c r="E193" t="s">
        <v>1925</v>
      </c>
      <c r="F193" t="s">
        <v>1979</v>
      </c>
    </row>
    <row r="194" spans="1:6" x14ac:dyDescent="0.35">
      <c r="A194">
        <v>1002643752</v>
      </c>
      <c r="C194">
        <v>310</v>
      </c>
      <c r="D194" t="s">
        <v>1980</v>
      </c>
      <c r="E194" t="s">
        <v>1925</v>
      </c>
      <c r="F194" t="s">
        <v>1981</v>
      </c>
    </row>
    <row r="195" spans="1:6" x14ac:dyDescent="0.35">
      <c r="A195">
        <v>1002643752</v>
      </c>
      <c r="C195">
        <v>740</v>
      </c>
      <c r="D195" t="s">
        <v>1982</v>
      </c>
      <c r="E195" t="s">
        <v>1925</v>
      </c>
      <c r="F195" t="s">
        <v>1983</v>
      </c>
    </row>
    <row r="196" spans="1:6" x14ac:dyDescent="0.35">
      <c r="A196">
        <v>1002643752</v>
      </c>
      <c r="C196">
        <v>770</v>
      </c>
      <c r="D196" t="s">
        <v>1984</v>
      </c>
      <c r="E196" t="s">
        <v>1925</v>
      </c>
      <c r="F196" t="s">
        <v>1985</v>
      </c>
    </row>
    <row r="197" spans="1:6" x14ac:dyDescent="0.35">
      <c r="A197">
        <v>1002643752</v>
      </c>
      <c r="C197">
        <v>780</v>
      </c>
      <c r="D197" t="s">
        <v>1986</v>
      </c>
      <c r="E197" t="s">
        <v>1925</v>
      </c>
      <c r="F197" t="s">
        <v>1987</v>
      </c>
    </row>
    <row r="198" spans="1:6" x14ac:dyDescent="0.35">
      <c r="A198">
        <v>1002643752</v>
      </c>
      <c r="C198">
        <v>790</v>
      </c>
      <c r="D198" t="s">
        <v>1944</v>
      </c>
      <c r="E198" t="s">
        <v>1925</v>
      </c>
      <c r="F198" t="s">
        <v>1945</v>
      </c>
    </row>
    <row r="199" spans="1:6" x14ac:dyDescent="0.35">
      <c r="A199">
        <v>1002643752</v>
      </c>
      <c r="C199">
        <v>800</v>
      </c>
      <c r="D199" t="s">
        <v>1988</v>
      </c>
      <c r="E199" t="s">
        <v>1925</v>
      </c>
      <c r="F199" t="s">
        <v>1989</v>
      </c>
    </row>
    <row r="200" spans="1:6" x14ac:dyDescent="0.35">
      <c r="A200">
        <v>1002643752</v>
      </c>
      <c r="C200">
        <v>510</v>
      </c>
      <c r="D200" t="s">
        <v>1990</v>
      </c>
      <c r="E200" t="s">
        <v>1925</v>
      </c>
      <c r="F200" t="s">
        <v>1991</v>
      </c>
    </row>
    <row r="201" spans="1:6" x14ac:dyDescent="0.35">
      <c r="A201">
        <v>1002643752</v>
      </c>
      <c r="C201">
        <v>810</v>
      </c>
      <c r="D201" t="s">
        <v>1992</v>
      </c>
      <c r="E201" t="s">
        <v>1925</v>
      </c>
      <c r="F201" t="s">
        <v>1993</v>
      </c>
    </row>
    <row r="202" spans="1:6" x14ac:dyDescent="0.35">
      <c r="A202">
        <v>1002643752</v>
      </c>
      <c r="C202">
        <v>500</v>
      </c>
      <c r="D202" t="s">
        <v>1994</v>
      </c>
      <c r="E202" t="s">
        <v>1925</v>
      </c>
      <c r="F202" t="s">
        <v>1995</v>
      </c>
    </row>
    <row r="203" spans="1:6" x14ac:dyDescent="0.35">
      <c r="A203">
        <v>1002643752</v>
      </c>
      <c r="C203">
        <v>730</v>
      </c>
      <c r="D203" t="s">
        <v>1996</v>
      </c>
      <c r="E203" t="s">
        <v>1925</v>
      </c>
      <c r="F203" t="s">
        <v>1997</v>
      </c>
    </row>
    <row r="204" spans="1:6" x14ac:dyDescent="0.35">
      <c r="A204">
        <v>1002643752</v>
      </c>
      <c r="C204">
        <v>720</v>
      </c>
      <c r="D204" t="s">
        <v>1998</v>
      </c>
      <c r="E204" t="s">
        <v>1925</v>
      </c>
      <c r="F204" t="s">
        <v>1999</v>
      </c>
    </row>
    <row r="205" spans="1:6" x14ac:dyDescent="0.35">
      <c r="A205">
        <v>1002643752</v>
      </c>
      <c r="C205">
        <v>1270</v>
      </c>
      <c r="D205" t="s">
        <v>2000</v>
      </c>
      <c r="E205" t="s">
        <v>1925</v>
      </c>
      <c r="F205" t="s">
        <v>2001</v>
      </c>
    </row>
    <row r="206" spans="1:6" x14ac:dyDescent="0.35">
      <c r="A206">
        <v>1002643752</v>
      </c>
      <c r="C206">
        <v>480</v>
      </c>
      <c r="D206" t="s">
        <v>1958</v>
      </c>
      <c r="E206" t="s">
        <v>1925</v>
      </c>
      <c r="F206" t="s">
        <v>1959</v>
      </c>
    </row>
    <row r="207" spans="1:6" x14ac:dyDescent="0.35">
      <c r="A207">
        <v>1002643752</v>
      </c>
      <c r="C207">
        <v>180</v>
      </c>
      <c r="D207" t="s">
        <v>2002</v>
      </c>
      <c r="E207" t="s">
        <v>1925</v>
      </c>
      <c r="F207" t="s">
        <v>2003</v>
      </c>
    </row>
    <row r="208" spans="1:6" x14ac:dyDescent="0.35">
      <c r="A208">
        <v>1002643752</v>
      </c>
      <c r="C208">
        <v>190</v>
      </c>
      <c r="D208" t="s">
        <v>2002</v>
      </c>
      <c r="E208" t="s">
        <v>1925</v>
      </c>
      <c r="F208" t="s">
        <v>2003</v>
      </c>
    </row>
    <row r="209" spans="1:6" x14ac:dyDescent="0.35">
      <c r="A209">
        <v>1002643752</v>
      </c>
      <c r="C209">
        <v>200</v>
      </c>
      <c r="D209" t="s">
        <v>2004</v>
      </c>
      <c r="E209" t="s">
        <v>1925</v>
      </c>
      <c r="F209" t="s">
        <v>2005</v>
      </c>
    </row>
    <row r="210" spans="1:6" x14ac:dyDescent="0.35">
      <c r="A210">
        <v>1002643752</v>
      </c>
      <c r="C210">
        <v>210</v>
      </c>
      <c r="D210" t="s">
        <v>2006</v>
      </c>
      <c r="E210" t="s">
        <v>1925</v>
      </c>
      <c r="F210" t="s">
        <v>2007</v>
      </c>
    </row>
    <row r="211" spans="1:6" x14ac:dyDescent="0.35">
      <c r="A211">
        <v>1002643752</v>
      </c>
      <c r="C211">
        <v>220</v>
      </c>
      <c r="D211" t="s">
        <v>2008</v>
      </c>
      <c r="E211" t="s">
        <v>1925</v>
      </c>
      <c r="F211" t="s">
        <v>2009</v>
      </c>
    </row>
    <row r="212" spans="1:6" x14ac:dyDescent="0.35">
      <c r="A212">
        <v>1002643752</v>
      </c>
      <c r="C212">
        <v>320</v>
      </c>
      <c r="D212" t="s">
        <v>2010</v>
      </c>
      <c r="E212" t="s">
        <v>1925</v>
      </c>
      <c r="F212" t="s">
        <v>2011</v>
      </c>
    </row>
    <row r="213" spans="1:6" x14ac:dyDescent="0.35">
      <c r="A213">
        <v>1002643752</v>
      </c>
      <c r="C213">
        <v>530</v>
      </c>
      <c r="D213" t="s">
        <v>2012</v>
      </c>
      <c r="E213" t="s">
        <v>1925</v>
      </c>
      <c r="F213" t="s">
        <v>2013</v>
      </c>
    </row>
    <row r="214" spans="1:6" x14ac:dyDescent="0.35">
      <c r="A214">
        <v>1002643752</v>
      </c>
      <c r="C214">
        <v>760</v>
      </c>
      <c r="D214" t="s">
        <v>2014</v>
      </c>
      <c r="E214" t="s">
        <v>1925</v>
      </c>
      <c r="F214" t="s">
        <v>2015</v>
      </c>
    </row>
    <row r="215" spans="1:6" x14ac:dyDescent="0.35">
      <c r="A215">
        <v>1002643752</v>
      </c>
      <c r="C215">
        <v>1390</v>
      </c>
      <c r="D215" t="s">
        <v>2016</v>
      </c>
      <c r="E215" t="s">
        <v>1925</v>
      </c>
      <c r="F215" t="s">
        <v>2017</v>
      </c>
    </row>
    <row r="216" spans="1:6" x14ac:dyDescent="0.35">
      <c r="A216">
        <v>1002643752</v>
      </c>
      <c r="C216">
        <v>1290</v>
      </c>
      <c r="D216" t="s">
        <v>2018</v>
      </c>
      <c r="E216" t="s">
        <v>1925</v>
      </c>
      <c r="F216" t="s">
        <v>2019</v>
      </c>
    </row>
    <row r="217" spans="1:6" x14ac:dyDescent="0.35">
      <c r="A217">
        <v>1002643752</v>
      </c>
      <c r="C217">
        <v>900</v>
      </c>
      <c r="D217" t="s">
        <v>1944</v>
      </c>
      <c r="E217" t="s">
        <v>1925</v>
      </c>
      <c r="F217" t="s">
        <v>1945</v>
      </c>
    </row>
    <row r="218" spans="1:6" x14ac:dyDescent="0.35">
      <c r="A218">
        <v>1002643752</v>
      </c>
      <c r="C218">
        <v>890</v>
      </c>
      <c r="D218" t="s">
        <v>2020</v>
      </c>
      <c r="E218" t="s">
        <v>1925</v>
      </c>
      <c r="F218" t="s">
        <v>2021</v>
      </c>
    </row>
    <row r="219" spans="1:6" x14ac:dyDescent="0.35">
      <c r="A219">
        <v>1002643752</v>
      </c>
      <c r="C219">
        <v>880</v>
      </c>
      <c r="D219" t="s">
        <v>2022</v>
      </c>
      <c r="E219" t="s">
        <v>1925</v>
      </c>
      <c r="F219" t="s">
        <v>2023</v>
      </c>
    </row>
    <row r="220" spans="1:6" x14ac:dyDescent="0.35">
      <c r="A220">
        <v>1002643752</v>
      </c>
      <c r="C220">
        <v>870</v>
      </c>
      <c r="D220" t="s">
        <v>2024</v>
      </c>
      <c r="E220" t="s">
        <v>1925</v>
      </c>
      <c r="F220" t="s">
        <v>2025</v>
      </c>
    </row>
    <row r="221" spans="1:6" x14ac:dyDescent="0.35">
      <c r="A221">
        <v>1002643752</v>
      </c>
      <c r="C221">
        <v>860</v>
      </c>
      <c r="D221" t="s">
        <v>2026</v>
      </c>
      <c r="E221" t="s">
        <v>1925</v>
      </c>
      <c r="F221" t="s">
        <v>2027</v>
      </c>
    </row>
    <row r="222" spans="1:6" x14ac:dyDescent="0.35">
      <c r="A222">
        <v>1002643752</v>
      </c>
      <c r="C222">
        <v>920</v>
      </c>
      <c r="D222" t="s">
        <v>1944</v>
      </c>
      <c r="E222" t="s">
        <v>1925</v>
      </c>
      <c r="F222" t="s">
        <v>1945</v>
      </c>
    </row>
    <row r="223" spans="1:6" x14ac:dyDescent="0.35">
      <c r="A223">
        <v>1002643752</v>
      </c>
      <c r="C223">
        <v>850</v>
      </c>
      <c r="D223" t="s">
        <v>2028</v>
      </c>
      <c r="E223" t="s">
        <v>1925</v>
      </c>
      <c r="F223" t="s">
        <v>2029</v>
      </c>
    </row>
    <row r="224" spans="1:6" x14ac:dyDescent="0.35">
      <c r="A224">
        <v>1002643752</v>
      </c>
      <c r="C224">
        <v>1300</v>
      </c>
      <c r="D224" t="s">
        <v>1986</v>
      </c>
      <c r="E224" t="s">
        <v>1925</v>
      </c>
      <c r="F224" t="s">
        <v>1987</v>
      </c>
    </row>
    <row r="225" spans="1:6" x14ac:dyDescent="0.35">
      <c r="A225">
        <v>1002643752</v>
      </c>
      <c r="C225">
        <v>830</v>
      </c>
      <c r="D225" t="s">
        <v>2030</v>
      </c>
      <c r="E225" t="s">
        <v>1925</v>
      </c>
      <c r="F225" t="s">
        <v>2031</v>
      </c>
    </row>
    <row r="226" spans="1:6" x14ac:dyDescent="0.35">
      <c r="A226">
        <v>1002643752</v>
      </c>
      <c r="C226">
        <v>1310</v>
      </c>
      <c r="D226" t="s">
        <v>1986</v>
      </c>
      <c r="E226" t="s">
        <v>1925</v>
      </c>
      <c r="F226" t="s">
        <v>1987</v>
      </c>
    </row>
    <row r="227" spans="1:6" x14ac:dyDescent="0.35">
      <c r="A227">
        <v>1002643752</v>
      </c>
      <c r="C227">
        <v>1400</v>
      </c>
      <c r="D227" t="s">
        <v>2032</v>
      </c>
      <c r="E227" t="s">
        <v>1925</v>
      </c>
      <c r="F227" t="s">
        <v>2033</v>
      </c>
    </row>
    <row r="228" spans="1:6" x14ac:dyDescent="0.35">
      <c r="A228">
        <v>1002643752</v>
      </c>
      <c r="C228">
        <v>1440</v>
      </c>
      <c r="D228" t="s">
        <v>2034</v>
      </c>
      <c r="E228" t="s">
        <v>1925</v>
      </c>
      <c r="F228" t="s">
        <v>2035</v>
      </c>
    </row>
    <row r="229" spans="1:6" x14ac:dyDescent="0.35">
      <c r="A229">
        <v>1002643752</v>
      </c>
      <c r="C229">
        <v>1470</v>
      </c>
      <c r="D229" t="s">
        <v>1924</v>
      </c>
      <c r="E229" t="s">
        <v>1925</v>
      </c>
      <c r="F229" t="s">
        <v>1926</v>
      </c>
    </row>
    <row r="230" spans="1:6" x14ac:dyDescent="0.35">
      <c r="A230">
        <v>1002643752</v>
      </c>
      <c r="C230">
        <v>1280</v>
      </c>
      <c r="D230" t="s">
        <v>2036</v>
      </c>
      <c r="E230" t="s">
        <v>1925</v>
      </c>
      <c r="F230" t="s">
        <v>2037</v>
      </c>
    </row>
    <row r="231" spans="1:6" x14ac:dyDescent="0.35">
      <c r="A231">
        <v>1002643752</v>
      </c>
      <c r="C231">
        <v>910</v>
      </c>
      <c r="D231" t="s">
        <v>1944</v>
      </c>
      <c r="E231" t="s">
        <v>1925</v>
      </c>
      <c r="F231" t="s">
        <v>1945</v>
      </c>
    </row>
    <row r="232" spans="1:6" x14ac:dyDescent="0.35">
      <c r="A232">
        <v>1002643752</v>
      </c>
      <c r="C232">
        <v>990</v>
      </c>
      <c r="D232" t="s">
        <v>2038</v>
      </c>
      <c r="E232" t="s">
        <v>1925</v>
      </c>
      <c r="F232" t="s">
        <v>2039</v>
      </c>
    </row>
    <row r="233" spans="1:6" x14ac:dyDescent="0.35">
      <c r="A233">
        <v>1002643752</v>
      </c>
      <c r="C233">
        <v>1000</v>
      </c>
      <c r="D233" t="s">
        <v>2040</v>
      </c>
      <c r="E233" t="s">
        <v>1925</v>
      </c>
      <c r="F233" t="s">
        <v>2041</v>
      </c>
    </row>
    <row r="234" spans="1:6" x14ac:dyDescent="0.35">
      <c r="A234">
        <v>1002643752</v>
      </c>
      <c r="C234">
        <v>1250</v>
      </c>
      <c r="D234" t="s">
        <v>2042</v>
      </c>
      <c r="E234" t="s">
        <v>1925</v>
      </c>
      <c r="F234" t="s">
        <v>2043</v>
      </c>
    </row>
    <row r="235" spans="1:6" x14ac:dyDescent="0.35">
      <c r="A235">
        <v>1002643752</v>
      </c>
      <c r="C235">
        <v>520</v>
      </c>
      <c r="D235" t="s">
        <v>2044</v>
      </c>
      <c r="E235" t="s">
        <v>1925</v>
      </c>
      <c r="F235" t="s">
        <v>2045</v>
      </c>
    </row>
    <row r="236" spans="1:6" x14ac:dyDescent="0.35">
      <c r="A236">
        <v>1002643752</v>
      </c>
      <c r="C236">
        <v>470</v>
      </c>
      <c r="D236" t="s">
        <v>2046</v>
      </c>
      <c r="E236" t="s">
        <v>1925</v>
      </c>
      <c r="F236" t="s">
        <v>2047</v>
      </c>
    </row>
    <row r="237" spans="1:6" x14ac:dyDescent="0.35">
      <c r="A237">
        <v>1002643752</v>
      </c>
      <c r="C237">
        <v>490</v>
      </c>
      <c r="D237" t="s">
        <v>2046</v>
      </c>
      <c r="E237" t="s">
        <v>1925</v>
      </c>
      <c r="F237" t="s">
        <v>2047</v>
      </c>
    </row>
    <row r="238" spans="1:6" x14ac:dyDescent="0.35">
      <c r="A238">
        <v>1002643752</v>
      </c>
      <c r="C238">
        <v>820</v>
      </c>
      <c r="D238" t="s">
        <v>2048</v>
      </c>
      <c r="E238" t="s">
        <v>1925</v>
      </c>
      <c r="F238" t="s">
        <v>2049</v>
      </c>
    </row>
    <row r="239" spans="1:6" x14ac:dyDescent="0.35">
      <c r="A239">
        <v>1002643752</v>
      </c>
      <c r="C239">
        <v>1380</v>
      </c>
      <c r="D239" t="s">
        <v>2004</v>
      </c>
      <c r="E239" t="s">
        <v>1925</v>
      </c>
      <c r="F239" t="s">
        <v>2005</v>
      </c>
    </row>
    <row r="240" spans="1:6" x14ac:dyDescent="0.35">
      <c r="A240">
        <v>1002643752</v>
      </c>
      <c r="C240">
        <v>840</v>
      </c>
      <c r="D240" t="s">
        <v>2050</v>
      </c>
      <c r="E240" t="s">
        <v>1925</v>
      </c>
      <c r="F240" t="s">
        <v>2051</v>
      </c>
    </row>
    <row r="241" spans="1:6" x14ac:dyDescent="0.35">
      <c r="A241">
        <v>1002643752</v>
      </c>
      <c r="C241">
        <v>1170</v>
      </c>
      <c r="D241" t="s">
        <v>2018</v>
      </c>
      <c r="E241" t="s">
        <v>1925</v>
      </c>
      <c r="F241" t="s">
        <v>2019</v>
      </c>
    </row>
    <row r="242" spans="1:6" x14ac:dyDescent="0.35">
      <c r="A242">
        <v>1002643752</v>
      </c>
      <c r="C242">
        <v>1320</v>
      </c>
      <c r="D242" t="s">
        <v>1986</v>
      </c>
      <c r="E242" t="s">
        <v>1925</v>
      </c>
      <c r="F242" t="s">
        <v>1987</v>
      </c>
    </row>
    <row r="243" spans="1:6" x14ac:dyDescent="0.35">
      <c r="A243">
        <v>1002643752</v>
      </c>
      <c r="C243">
        <v>1330</v>
      </c>
      <c r="D243" t="s">
        <v>1986</v>
      </c>
      <c r="E243" t="s">
        <v>1925</v>
      </c>
      <c r="F243" t="s">
        <v>1987</v>
      </c>
    </row>
    <row r="244" spans="1:6" x14ac:dyDescent="0.35">
      <c r="A244">
        <v>1002643752</v>
      </c>
      <c r="C244">
        <v>1340</v>
      </c>
      <c r="D244" t="s">
        <v>1986</v>
      </c>
      <c r="E244" t="s">
        <v>1925</v>
      </c>
      <c r="F244" t="s">
        <v>1987</v>
      </c>
    </row>
    <row r="245" spans="1:6" x14ac:dyDescent="0.35">
      <c r="A245">
        <v>1002643752</v>
      </c>
      <c r="C245">
        <v>1350</v>
      </c>
      <c r="D245" t="s">
        <v>1986</v>
      </c>
      <c r="E245" t="s">
        <v>1925</v>
      </c>
      <c r="F245" t="s">
        <v>1987</v>
      </c>
    </row>
    <row r="246" spans="1:6" x14ac:dyDescent="0.35">
      <c r="A246">
        <v>1002643752</v>
      </c>
      <c r="C246">
        <v>1360</v>
      </c>
      <c r="D246" t="s">
        <v>2052</v>
      </c>
      <c r="E246" t="s">
        <v>1925</v>
      </c>
      <c r="F246" t="s">
        <v>2053</v>
      </c>
    </row>
    <row r="247" spans="1:6" x14ac:dyDescent="0.35">
      <c r="A247">
        <v>1002643752</v>
      </c>
      <c r="C247">
        <v>1370</v>
      </c>
      <c r="D247" t="s">
        <v>2054</v>
      </c>
      <c r="E247" t="s">
        <v>1925</v>
      </c>
      <c r="F247" t="s">
        <v>2055</v>
      </c>
    </row>
    <row r="248" spans="1:6" x14ac:dyDescent="0.35">
      <c r="A248">
        <v>1002643752</v>
      </c>
      <c r="C248">
        <v>1160</v>
      </c>
      <c r="D248" t="s">
        <v>2036</v>
      </c>
      <c r="E248" t="s">
        <v>1925</v>
      </c>
      <c r="F248" t="s">
        <v>2037</v>
      </c>
    </row>
    <row r="249" spans="1:6" x14ac:dyDescent="0.35">
      <c r="A249">
        <v>1002643752</v>
      </c>
      <c r="C249">
        <v>1450</v>
      </c>
      <c r="D249" t="s">
        <v>2034</v>
      </c>
      <c r="E249" t="s">
        <v>1925</v>
      </c>
      <c r="F249" t="s">
        <v>2035</v>
      </c>
    </row>
    <row r="250" spans="1:6" x14ac:dyDescent="0.35">
      <c r="A250">
        <v>1002643752</v>
      </c>
      <c r="C250">
        <v>1460</v>
      </c>
      <c r="D250" t="s">
        <v>2034</v>
      </c>
      <c r="E250" t="s">
        <v>1925</v>
      </c>
      <c r="F250" t="s">
        <v>2035</v>
      </c>
    </row>
    <row r="251" spans="1:6" x14ac:dyDescent="0.35">
      <c r="A251">
        <v>1002665016</v>
      </c>
      <c r="C251">
        <v>20</v>
      </c>
      <c r="D251" t="s">
        <v>2056</v>
      </c>
      <c r="F251" t="s">
        <v>2057</v>
      </c>
    </row>
    <row r="252" spans="1:6" x14ac:dyDescent="0.35">
      <c r="A252">
        <v>1002666061</v>
      </c>
      <c r="C252">
        <v>10</v>
      </c>
      <c r="D252" t="s">
        <v>2058</v>
      </c>
      <c r="F252" t="s">
        <v>2059</v>
      </c>
    </row>
    <row r="253" spans="1:6" x14ac:dyDescent="0.35">
      <c r="A253">
        <v>1002665016</v>
      </c>
      <c r="C253">
        <v>10</v>
      </c>
      <c r="D253" t="s">
        <v>2060</v>
      </c>
      <c r="F253" t="s">
        <v>2061</v>
      </c>
    </row>
    <row r="254" spans="1:6" x14ac:dyDescent="0.35">
      <c r="A254">
        <v>1002668895</v>
      </c>
      <c r="C254">
        <v>10</v>
      </c>
      <c r="D254" t="s">
        <v>2062</v>
      </c>
      <c r="F254" t="s">
        <v>2063</v>
      </c>
    </row>
    <row r="255" spans="1:6" x14ac:dyDescent="0.35">
      <c r="A255">
        <v>1002676719</v>
      </c>
      <c r="C255">
        <v>10</v>
      </c>
      <c r="D255" t="s">
        <v>984</v>
      </c>
      <c r="F255" t="s">
        <v>2064</v>
      </c>
    </row>
    <row r="256" spans="1:6" x14ac:dyDescent="0.35">
      <c r="A256">
        <v>1002676674</v>
      </c>
      <c r="C256">
        <v>20</v>
      </c>
      <c r="D256" t="s">
        <v>2065</v>
      </c>
      <c r="F256" t="s">
        <v>2066</v>
      </c>
    </row>
    <row r="257" spans="1:6" x14ac:dyDescent="0.35">
      <c r="A257">
        <v>1002676674</v>
      </c>
      <c r="C257">
        <v>10</v>
      </c>
      <c r="D257" t="s">
        <v>2067</v>
      </c>
      <c r="F257" t="s">
        <v>2068</v>
      </c>
    </row>
    <row r="258" spans="1:6" x14ac:dyDescent="0.35">
      <c r="A258">
        <v>1002660968</v>
      </c>
      <c r="C258">
        <v>10</v>
      </c>
      <c r="D258" t="s">
        <v>2069</v>
      </c>
      <c r="F258" t="s">
        <v>2070</v>
      </c>
    </row>
    <row r="259" spans="1:6" x14ac:dyDescent="0.35">
      <c r="A259">
        <v>1002668895</v>
      </c>
      <c r="C259">
        <v>20</v>
      </c>
      <c r="D259" t="s">
        <v>2071</v>
      </c>
      <c r="F259" t="s">
        <v>2072</v>
      </c>
    </row>
    <row r="260" spans="1:6" x14ac:dyDescent="0.35">
      <c r="A260">
        <v>1002675370</v>
      </c>
      <c r="C260">
        <v>30</v>
      </c>
      <c r="D260" t="s">
        <v>2073</v>
      </c>
      <c r="F260" t="s">
        <v>2074</v>
      </c>
    </row>
    <row r="261" spans="1:6" x14ac:dyDescent="0.35">
      <c r="A261">
        <v>1002675370</v>
      </c>
      <c r="C261">
        <v>20</v>
      </c>
      <c r="D261" t="s">
        <v>2075</v>
      </c>
      <c r="F261" t="s">
        <v>2076</v>
      </c>
    </row>
    <row r="262" spans="1:6" x14ac:dyDescent="0.35">
      <c r="A262">
        <v>1002675370</v>
      </c>
      <c r="C262">
        <v>110</v>
      </c>
      <c r="D262" t="s">
        <v>2077</v>
      </c>
      <c r="E262" t="s">
        <v>2078</v>
      </c>
      <c r="F262" t="s">
        <v>2079</v>
      </c>
    </row>
    <row r="263" spans="1:6" x14ac:dyDescent="0.35">
      <c r="A263">
        <v>1002675370</v>
      </c>
      <c r="C263">
        <v>100</v>
      </c>
      <c r="D263" t="s">
        <v>2080</v>
      </c>
      <c r="E263" t="s">
        <v>2081</v>
      </c>
      <c r="F263" t="s">
        <v>2082</v>
      </c>
    </row>
    <row r="264" spans="1:6" x14ac:dyDescent="0.35">
      <c r="A264">
        <v>1002675370</v>
      </c>
      <c r="C264">
        <v>120</v>
      </c>
      <c r="D264" t="s">
        <v>2083</v>
      </c>
      <c r="F264" t="s">
        <v>2084</v>
      </c>
    </row>
    <row r="265" spans="1:6" x14ac:dyDescent="0.35">
      <c r="A265">
        <v>1002675370</v>
      </c>
      <c r="C265">
        <v>90</v>
      </c>
      <c r="D265" t="s">
        <v>2085</v>
      </c>
      <c r="F265" t="s">
        <v>2086</v>
      </c>
    </row>
    <row r="266" spans="1:6" x14ac:dyDescent="0.35">
      <c r="A266">
        <v>1002675370</v>
      </c>
      <c r="C266">
        <v>80</v>
      </c>
      <c r="D266" t="s">
        <v>2087</v>
      </c>
      <c r="F266" t="s">
        <v>2088</v>
      </c>
    </row>
    <row r="267" spans="1:6" x14ac:dyDescent="0.35">
      <c r="A267">
        <v>1002675370</v>
      </c>
      <c r="C267">
        <v>70</v>
      </c>
      <c r="D267" t="s">
        <v>2089</v>
      </c>
      <c r="F267" t="s">
        <v>2090</v>
      </c>
    </row>
    <row r="268" spans="1:6" x14ac:dyDescent="0.35">
      <c r="A268">
        <v>1002678751</v>
      </c>
      <c r="C268">
        <v>10</v>
      </c>
      <c r="D268" t="s">
        <v>2091</v>
      </c>
      <c r="F268" t="s">
        <v>2092</v>
      </c>
    </row>
    <row r="269" spans="1:6" x14ac:dyDescent="0.35">
      <c r="A269">
        <v>1002679171</v>
      </c>
      <c r="C269">
        <v>10</v>
      </c>
      <c r="D269" t="s">
        <v>2093</v>
      </c>
      <c r="F269" t="s">
        <v>2094</v>
      </c>
    </row>
    <row r="270" spans="1:6" x14ac:dyDescent="0.35">
      <c r="A270">
        <v>1002679190</v>
      </c>
      <c r="C270">
        <v>10</v>
      </c>
      <c r="D270" t="s">
        <v>1655</v>
      </c>
      <c r="F270" t="s">
        <v>2095</v>
      </c>
    </row>
    <row r="271" spans="1:6" x14ac:dyDescent="0.35">
      <c r="A271">
        <v>1002675370</v>
      </c>
      <c r="C271">
        <v>60</v>
      </c>
      <c r="D271" t="s">
        <v>2096</v>
      </c>
      <c r="E271" t="s">
        <v>2081</v>
      </c>
      <c r="F271" t="s">
        <v>2097</v>
      </c>
    </row>
    <row r="272" spans="1:6" x14ac:dyDescent="0.35">
      <c r="A272">
        <v>1002675370</v>
      </c>
      <c r="C272">
        <v>50</v>
      </c>
      <c r="D272" t="s">
        <v>2098</v>
      </c>
      <c r="F272" t="s">
        <v>2099</v>
      </c>
    </row>
    <row r="273" spans="1:6" x14ac:dyDescent="0.35">
      <c r="A273">
        <v>1002675370</v>
      </c>
      <c r="C273">
        <v>40</v>
      </c>
      <c r="D273" t="s">
        <v>2100</v>
      </c>
      <c r="F273" t="s">
        <v>2101</v>
      </c>
    </row>
    <row r="274" spans="1:6" x14ac:dyDescent="0.35">
      <c r="A274">
        <v>1002675370</v>
      </c>
      <c r="C274">
        <v>10</v>
      </c>
      <c r="D274" t="s">
        <v>2102</v>
      </c>
      <c r="F274" t="s">
        <v>2103</v>
      </c>
    </row>
    <row r="275" spans="1:6" x14ac:dyDescent="0.35">
      <c r="A275">
        <v>1002676646</v>
      </c>
      <c r="C275">
        <v>10</v>
      </c>
      <c r="D275" t="s">
        <v>2104</v>
      </c>
      <c r="E275">
        <v>4502700093</v>
      </c>
      <c r="F275" t="s">
        <v>2105</v>
      </c>
    </row>
    <row r="276" spans="1:6" x14ac:dyDescent="0.35">
      <c r="A276">
        <v>1002673992</v>
      </c>
      <c r="C276">
        <v>20</v>
      </c>
      <c r="D276" t="s">
        <v>1270</v>
      </c>
      <c r="E276" t="s">
        <v>1854</v>
      </c>
      <c r="F276" t="s">
        <v>2106</v>
      </c>
    </row>
    <row r="277" spans="1:6" x14ac:dyDescent="0.35">
      <c r="A277">
        <v>1002667096</v>
      </c>
      <c r="C277">
        <v>70</v>
      </c>
      <c r="D277" t="s">
        <v>1483</v>
      </c>
      <c r="E277" t="s">
        <v>1809</v>
      </c>
      <c r="F277" t="s">
        <v>2107</v>
      </c>
    </row>
    <row r="278" spans="1:6" x14ac:dyDescent="0.35">
      <c r="A278">
        <v>1002667096</v>
      </c>
      <c r="C278">
        <v>80</v>
      </c>
      <c r="D278" t="s">
        <v>590</v>
      </c>
      <c r="E278" t="s">
        <v>1809</v>
      </c>
      <c r="F278" t="s">
        <v>2108</v>
      </c>
    </row>
    <row r="279" spans="1:6" x14ac:dyDescent="0.35">
      <c r="A279">
        <v>1002667096</v>
      </c>
      <c r="C279">
        <v>60</v>
      </c>
      <c r="D279" t="s">
        <v>874</v>
      </c>
      <c r="E279" t="s">
        <v>1809</v>
      </c>
      <c r="F279" t="s">
        <v>2109</v>
      </c>
    </row>
    <row r="280" spans="1:6" x14ac:dyDescent="0.35">
      <c r="A280">
        <v>1002667096</v>
      </c>
      <c r="C280">
        <v>50</v>
      </c>
      <c r="D280" t="s">
        <v>1067</v>
      </c>
      <c r="E280" t="s">
        <v>1809</v>
      </c>
      <c r="F280" t="s">
        <v>2110</v>
      </c>
    </row>
    <row r="281" spans="1:6" x14ac:dyDescent="0.35">
      <c r="A281">
        <v>1002667096</v>
      </c>
      <c r="C281">
        <v>40</v>
      </c>
      <c r="D281" t="s">
        <v>1130</v>
      </c>
      <c r="E281" t="s">
        <v>1809</v>
      </c>
      <c r="F281" t="s">
        <v>2111</v>
      </c>
    </row>
    <row r="282" spans="1:6" x14ac:dyDescent="0.35">
      <c r="A282">
        <v>1002667096</v>
      </c>
      <c r="C282">
        <v>30</v>
      </c>
      <c r="D282" t="s">
        <v>1425</v>
      </c>
      <c r="E282" t="s">
        <v>1809</v>
      </c>
      <c r="F282" t="s">
        <v>2112</v>
      </c>
    </row>
    <row r="283" spans="1:6" x14ac:dyDescent="0.35">
      <c r="A283">
        <v>1002667096</v>
      </c>
      <c r="C283">
        <v>10</v>
      </c>
      <c r="D283" t="s">
        <v>162</v>
      </c>
      <c r="E283" t="s">
        <v>1809</v>
      </c>
      <c r="F283" t="s">
        <v>2113</v>
      </c>
    </row>
    <row r="284" spans="1:6" x14ac:dyDescent="0.35">
      <c r="A284">
        <v>1002667096</v>
      </c>
      <c r="C284">
        <v>20</v>
      </c>
      <c r="D284" t="s">
        <v>1444</v>
      </c>
      <c r="E284" t="s">
        <v>1809</v>
      </c>
      <c r="F284" t="s">
        <v>2114</v>
      </c>
    </row>
    <row r="285" spans="1:6" x14ac:dyDescent="0.35">
      <c r="A285">
        <v>1002673990</v>
      </c>
      <c r="C285">
        <v>20</v>
      </c>
      <c r="D285" t="s">
        <v>1528</v>
      </c>
      <c r="E285" t="s">
        <v>1854</v>
      </c>
      <c r="F285" t="s">
        <v>2115</v>
      </c>
    </row>
    <row r="286" spans="1:6" x14ac:dyDescent="0.35">
      <c r="A286">
        <v>1002673992</v>
      </c>
      <c r="C286">
        <v>10</v>
      </c>
      <c r="D286" t="s">
        <v>152</v>
      </c>
      <c r="E286" t="s">
        <v>1854</v>
      </c>
      <c r="F286" t="s">
        <v>2116</v>
      </c>
    </row>
    <row r="287" spans="1:6" x14ac:dyDescent="0.35">
      <c r="A287">
        <v>1002673992</v>
      </c>
      <c r="C287">
        <v>30</v>
      </c>
      <c r="D287" t="s">
        <v>250</v>
      </c>
      <c r="E287" t="s">
        <v>1854</v>
      </c>
      <c r="F287" t="s">
        <v>2117</v>
      </c>
    </row>
    <row r="288" spans="1:6" x14ac:dyDescent="0.35">
      <c r="A288">
        <v>1002673992</v>
      </c>
      <c r="C288">
        <v>40</v>
      </c>
      <c r="D288" t="s">
        <v>495</v>
      </c>
      <c r="E288" t="s">
        <v>1854</v>
      </c>
      <c r="F288" t="s">
        <v>2118</v>
      </c>
    </row>
    <row r="289" spans="1:6" x14ac:dyDescent="0.35">
      <c r="A289">
        <v>1002673992</v>
      </c>
      <c r="C289">
        <v>50</v>
      </c>
      <c r="D289" t="s">
        <v>169</v>
      </c>
      <c r="E289" t="s">
        <v>1854</v>
      </c>
      <c r="F289" t="s">
        <v>2119</v>
      </c>
    </row>
    <row r="290" spans="1:6" x14ac:dyDescent="0.35">
      <c r="A290">
        <v>1002673990</v>
      </c>
      <c r="C290">
        <v>10</v>
      </c>
      <c r="D290" t="s">
        <v>1386</v>
      </c>
      <c r="E290" t="s">
        <v>1854</v>
      </c>
      <c r="F290" t="s">
        <v>2120</v>
      </c>
    </row>
    <row r="291" spans="1:6" x14ac:dyDescent="0.35">
      <c r="A291">
        <v>1002681347</v>
      </c>
      <c r="C291">
        <v>60</v>
      </c>
      <c r="D291" t="s">
        <v>2121</v>
      </c>
      <c r="E291" t="s">
        <v>1854</v>
      </c>
      <c r="F291" t="s">
        <v>2122</v>
      </c>
    </row>
    <row r="292" spans="1:6" x14ac:dyDescent="0.35">
      <c r="A292">
        <v>1002681345</v>
      </c>
      <c r="C292">
        <v>50</v>
      </c>
      <c r="D292" t="s">
        <v>2123</v>
      </c>
      <c r="E292" t="s">
        <v>1854</v>
      </c>
      <c r="F292" t="s">
        <v>2124</v>
      </c>
    </row>
    <row r="293" spans="1:6" x14ac:dyDescent="0.35">
      <c r="A293">
        <v>1002681345</v>
      </c>
      <c r="C293">
        <v>40</v>
      </c>
      <c r="D293" t="s">
        <v>2125</v>
      </c>
      <c r="E293" t="s">
        <v>1854</v>
      </c>
      <c r="F293" t="s">
        <v>2126</v>
      </c>
    </row>
    <row r="294" spans="1:6" x14ac:dyDescent="0.35">
      <c r="A294">
        <v>1002681345</v>
      </c>
      <c r="C294">
        <v>60</v>
      </c>
      <c r="D294" t="s">
        <v>2127</v>
      </c>
      <c r="E294" t="s">
        <v>1854</v>
      </c>
      <c r="F294" t="s">
        <v>2128</v>
      </c>
    </row>
    <row r="295" spans="1:6" x14ac:dyDescent="0.35">
      <c r="A295">
        <v>1002681345</v>
      </c>
      <c r="C295">
        <v>70</v>
      </c>
      <c r="D295" t="s">
        <v>2129</v>
      </c>
      <c r="E295" t="s">
        <v>1854</v>
      </c>
      <c r="F295" t="s">
        <v>2130</v>
      </c>
    </row>
    <row r="296" spans="1:6" x14ac:dyDescent="0.35">
      <c r="A296">
        <v>1002674992</v>
      </c>
      <c r="C296">
        <v>30</v>
      </c>
      <c r="D296" t="s">
        <v>2131</v>
      </c>
      <c r="E296" t="s">
        <v>1854</v>
      </c>
      <c r="F296" t="s">
        <v>2132</v>
      </c>
    </row>
    <row r="297" spans="1:6" x14ac:dyDescent="0.35">
      <c r="A297">
        <v>1002674992</v>
      </c>
      <c r="C297">
        <v>20</v>
      </c>
      <c r="D297" t="s">
        <v>30</v>
      </c>
      <c r="E297" t="s">
        <v>1854</v>
      </c>
      <c r="F297" t="s">
        <v>2133</v>
      </c>
    </row>
    <row r="298" spans="1:6" x14ac:dyDescent="0.35">
      <c r="A298">
        <v>1002681347</v>
      </c>
      <c r="C298">
        <v>40</v>
      </c>
      <c r="D298" t="s">
        <v>2134</v>
      </c>
      <c r="E298" t="s">
        <v>1854</v>
      </c>
      <c r="F298" t="s">
        <v>2135</v>
      </c>
    </row>
    <row r="299" spans="1:6" x14ac:dyDescent="0.35">
      <c r="A299">
        <v>1002681347</v>
      </c>
      <c r="C299">
        <v>50</v>
      </c>
      <c r="D299" t="s">
        <v>34</v>
      </c>
      <c r="E299" t="s">
        <v>1854</v>
      </c>
      <c r="F299" t="s">
        <v>2136</v>
      </c>
    </row>
    <row r="300" spans="1:6" x14ac:dyDescent="0.35">
      <c r="A300">
        <v>1002681347</v>
      </c>
      <c r="C300">
        <v>70</v>
      </c>
      <c r="D300" t="s">
        <v>63</v>
      </c>
      <c r="E300" t="s">
        <v>1854</v>
      </c>
      <c r="F300" t="s">
        <v>2137</v>
      </c>
    </row>
    <row r="301" spans="1:6" x14ac:dyDescent="0.35">
      <c r="A301">
        <v>1002681347</v>
      </c>
      <c r="C301">
        <v>30</v>
      </c>
      <c r="D301" t="s">
        <v>2138</v>
      </c>
      <c r="E301" t="s">
        <v>1854</v>
      </c>
      <c r="F301" t="s">
        <v>2139</v>
      </c>
    </row>
    <row r="302" spans="1:6" x14ac:dyDescent="0.35">
      <c r="A302">
        <v>1002681345</v>
      </c>
      <c r="C302">
        <v>120</v>
      </c>
      <c r="D302" t="s">
        <v>2140</v>
      </c>
      <c r="E302" t="s">
        <v>1854</v>
      </c>
      <c r="F302" t="s">
        <v>2141</v>
      </c>
    </row>
    <row r="303" spans="1:6" x14ac:dyDescent="0.35">
      <c r="A303">
        <v>1002398518</v>
      </c>
      <c r="C303">
        <v>10</v>
      </c>
      <c r="D303" t="s">
        <v>2142</v>
      </c>
      <c r="E303" t="s">
        <v>1854</v>
      </c>
      <c r="F303" t="s">
        <v>2143</v>
      </c>
    </row>
    <row r="304" spans="1:6" x14ac:dyDescent="0.35">
      <c r="A304">
        <v>1002681347</v>
      </c>
      <c r="C304">
        <v>20</v>
      </c>
      <c r="D304" t="s">
        <v>2144</v>
      </c>
      <c r="E304" t="s">
        <v>1854</v>
      </c>
      <c r="F304" t="s">
        <v>2145</v>
      </c>
    </row>
    <row r="305" spans="1:6" x14ac:dyDescent="0.35">
      <c r="A305">
        <v>1002681345</v>
      </c>
      <c r="C305">
        <v>100</v>
      </c>
      <c r="D305" t="s">
        <v>2146</v>
      </c>
      <c r="E305" t="s">
        <v>1854</v>
      </c>
      <c r="F305" t="s">
        <v>2147</v>
      </c>
    </row>
    <row r="306" spans="1:6" x14ac:dyDescent="0.35">
      <c r="A306">
        <v>1002681347</v>
      </c>
      <c r="C306">
        <v>10</v>
      </c>
      <c r="D306" t="s">
        <v>2148</v>
      </c>
      <c r="E306" t="s">
        <v>1854</v>
      </c>
      <c r="F306" t="s">
        <v>2149</v>
      </c>
    </row>
    <row r="307" spans="1:6" x14ac:dyDescent="0.35">
      <c r="A307">
        <v>1002681345</v>
      </c>
      <c r="C307">
        <v>80</v>
      </c>
      <c r="D307" t="s">
        <v>2150</v>
      </c>
      <c r="E307" t="s">
        <v>1854</v>
      </c>
      <c r="F307" t="s">
        <v>2151</v>
      </c>
    </row>
    <row r="308" spans="1:6" x14ac:dyDescent="0.35">
      <c r="A308">
        <v>1002681345</v>
      </c>
      <c r="C308">
        <v>30</v>
      </c>
      <c r="D308" t="s">
        <v>2152</v>
      </c>
      <c r="E308" t="s">
        <v>1854</v>
      </c>
      <c r="F308" t="s">
        <v>2153</v>
      </c>
    </row>
    <row r="309" spans="1:6" x14ac:dyDescent="0.35">
      <c r="A309">
        <v>1002681345</v>
      </c>
      <c r="C309">
        <v>20</v>
      </c>
      <c r="D309" t="s">
        <v>2154</v>
      </c>
      <c r="E309" t="s">
        <v>1854</v>
      </c>
      <c r="F309" t="s">
        <v>2155</v>
      </c>
    </row>
    <row r="310" spans="1:6" x14ac:dyDescent="0.35">
      <c r="A310">
        <v>1002681345</v>
      </c>
      <c r="C310">
        <v>10</v>
      </c>
      <c r="D310" t="s">
        <v>2156</v>
      </c>
      <c r="E310" t="s">
        <v>1854</v>
      </c>
      <c r="F310" t="s">
        <v>2157</v>
      </c>
    </row>
    <row r="311" spans="1:6" x14ac:dyDescent="0.35">
      <c r="A311">
        <v>1002681299</v>
      </c>
      <c r="C311">
        <v>20</v>
      </c>
      <c r="D311" t="s">
        <v>2158</v>
      </c>
      <c r="E311" t="s">
        <v>1854</v>
      </c>
      <c r="F311" t="s">
        <v>2159</v>
      </c>
    </row>
    <row r="312" spans="1:6" x14ac:dyDescent="0.35">
      <c r="A312">
        <v>1002680721</v>
      </c>
      <c r="C312">
        <v>10</v>
      </c>
      <c r="D312" t="s">
        <v>2160</v>
      </c>
      <c r="E312" t="s">
        <v>1854</v>
      </c>
      <c r="F312" t="s">
        <v>2161</v>
      </c>
    </row>
    <row r="313" spans="1:6" x14ac:dyDescent="0.35">
      <c r="A313">
        <v>1002681345</v>
      </c>
      <c r="C313">
        <v>90</v>
      </c>
      <c r="D313" t="s">
        <v>2162</v>
      </c>
      <c r="E313" t="s">
        <v>1854</v>
      </c>
      <c r="F313" t="s">
        <v>2163</v>
      </c>
    </row>
    <row r="314" spans="1:6" x14ac:dyDescent="0.35">
      <c r="A314">
        <v>1002674992</v>
      </c>
      <c r="C314">
        <v>10</v>
      </c>
      <c r="D314" t="s">
        <v>2164</v>
      </c>
      <c r="E314" t="s">
        <v>1854</v>
      </c>
      <c r="F314" t="s">
        <v>2165</v>
      </c>
    </row>
    <row r="315" spans="1:6" x14ac:dyDescent="0.35">
      <c r="A315">
        <v>1002682088</v>
      </c>
      <c r="C315">
        <v>10</v>
      </c>
      <c r="D315" t="s">
        <v>259</v>
      </c>
      <c r="E315">
        <v>4502699416</v>
      </c>
      <c r="F315" t="s">
        <v>2166</v>
      </c>
    </row>
    <row r="316" spans="1:6" x14ac:dyDescent="0.35">
      <c r="A316">
        <v>1002664971</v>
      </c>
      <c r="C316">
        <v>10</v>
      </c>
      <c r="D316" t="s">
        <v>2167</v>
      </c>
      <c r="E316" t="s">
        <v>2168</v>
      </c>
      <c r="F316" t="s">
        <v>2169</v>
      </c>
    </row>
    <row r="317" spans="1:6" x14ac:dyDescent="0.35">
      <c r="A317">
        <v>5001160666</v>
      </c>
      <c r="C317">
        <v>10</v>
      </c>
      <c r="D317" t="s">
        <v>2170</v>
      </c>
      <c r="E317" t="s">
        <v>1854</v>
      </c>
      <c r="F317" t="s">
        <v>2171</v>
      </c>
    </row>
    <row r="318" spans="1:6" x14ac:dyDescent="0.35">
      <c r="A318">
        <v>5001160666</v>
      </c>
      <c r="C318">
        <v>20</v>
      </c>
      <c r="D318" t="s">
        <v>2172</v>
      </c>
      <c r="E318" t="s">
        <v>1854</v>
      </c>
      <c r="F318" t="s">
        <v>2173</v>
      </c>
    </row>
    <row r="319" spans="1:6" x14ac:dyDescent="0.35">
      <c r="A319">
        <v>1002683928</v>
      </c>
      <c r="C319">
        <v>20</v>
      </c>
      <c r="D319" t="s">
        <v>2174</v>
      </c>
      <c r="E319" t="s">
        <v>1854</v>
      </c>
      <c r="F319" t="s">
        <v>2175</v>
      </c>
    </row>
    <row r="320" spans="1:6" x14ac:dyDescent="0.35">
      <c r="A320">
        <v>1002683928</v>
      </c>
      <c r="C320">
        <v>10</v>
      </c>
      <c r="D320" t="s">
        <v>2176</v>
      </c>
      <c r="E320" t="s">
        <v>1854</v>
      </c>
      <c r="F320" t="s">
        <v>2177</v>
      </c>
    </row>
    <row r="321" spans="1:6" x14ac:dyDescent="0.35">
      <c r="A321">
        <v>1002683635</v>
      </c>
      <c r="C321">
        <v>10</v>
      </c>
      <c r="D321" t="s">
        <v>2178</v>
      </c>
      <c r="F321" t="s">
        <v>2179</v>
      </c>
    </row>
    <row r="322" spans="1:6" x14ac:dyDescent="0.35">
      <c r="A322">
        <v>5001160666</v>
      </c>
      <c r="C322">
        <v>40</v>
      </c>
      <c r="D322" t="s">
        <v>2180</v>
      </c>
      <c r="E322" t="s">
        <v>1854</v>
      </c>
      <c r="F322" t="s">
        <v>2181</v>
      </c>
    </row>
    <row r="323" spans="1:6" x14ac:dyDescent="0.35">
      <c r="A323">
        <v>1002666229</v>
      </c>
      <c r="C323">
        <v>40</v>
      </c>
      <c r="D323" t="s">
        <v>1128</v>
      </c>
      <c r="E323" t="s">
        <v>1854</v>
      </c>
      <c r="F323" t="s">
        <v>2182</v>
      </c>
    </row>
    <row r="324" spans="1:6" x14ac:dyDescent="0.35">
      <c r="A324">
        <v>5001160666</v>
      </c>
      <c r="C324">
        <v>50</v>
      </c>
      <c r="D324" t="s">
        <v>2183</v>
      </c>
      <c r="E324" t="s">
        <v>1854</v>
      </c>
      <c r="F324" t="s">
        <v>2184</v>
      </c>
    </row>
    <row r="325" spans="1:6" x14ac:dyDescent="0.35">
      <c r="A325">
        <v>5001160666</v>
      </c>
      <c r="C325">
        <v>60</v>
      </c>
      <c r="D325" t="s">
        <v>2185</v>
      </c>
      <c r="E325" t="s">
        <v>1854</v>
      </c>
      <c r="F325" t="s">
        <v>2186</v>
      </c>
    </row>
    <row r="326" spans="1:6" x14ac:dyDescent="0.35">
      <c r="A326">
        <v>5001160666</v>
      </c>
      <c r="C326">
        <v>70</v>
      </c>
      <c r="D326" t="s">
        <v>2187</v>
      </c>
      <c r="E326" t="s">
        <v>1854</v>
      </c>
      <c r="F326" t="s">
        <v>2188</v>
      </c>
    </row>
    <row r="327" spans="1:6" x14ac:dyDescent="0.35">
      <c r="A327">
        <v>6000065769</v>
      </c>
      <c r="C327">
        <v>10</v>
      </c>
      <c r="D327" t="s">
        <v>2189</v>
      </c>
      <c r="E327" t="s">
        <v>2190</v>
      </c>
      <c r="F327" t="s">
        <v>2191</v>
      </c>
    </row>
    <row r="328" spans="1:6" x14ac:dyDescent="0.35">
      <c r="A328">
        <v>6000065769</v>
      </c>
      <c r="C328">
        <v>20</v>
      </c>
      <c r="D328" t="s">
        <v>2192</v>
      </c>
      <c r="E328" t="s">
        <v>2190</v>
      </c>
      <c r="F328" t="s">
        <v>2193</v>
      </c>
    </row>
    <row r="329" spans="1:6" x14ac:dyDescent="0.35">
      <c r="A329">
        <v>6000065769</v>
      </c>
      <c r="C329">
        <v>30</v>
      </c>
      <c r="D329" t="s">
        <v>2194</v>
      </c>
      <c r="E329" t="s">
        <v>2190</v>
      </c>
      <c r="F329" t="s">
        <v>2195</v>
      </c>
    </row>
    <row r="330" spans="1:6" x14ac:dyDescent="0.35">
      <c r="A330">
        <v>6000065801</v>
      </c>
      <c r="C330">
        <v>10</v>
      </c>
      <c r="D330" t="s">
        <v>1629</v>
      </c>
      <c r="E330" t="s">
        <v>2190</v>
      </c>
      <c r="F330" t="s">
        <v>2196</v>
      </c>
    </row>
    <row r="331" spans="1:6" x14ac:dyDescent="0.35">
      <c r="A331">
        <v>5001160666</v>
      </c>
      <c r="C331">
        <v>30</v>
      </c>
      <c r="D331" t="s">
        <v>2197</v>
      </c>
      <c r="E331" t="s">
        <v>1854</v>
      </c>
      <c r="F331" t="s">
        <v>2198</v>
      </c>
    </row>
    <row r="332" spans="1:6" x14ac:dyDescent="0.35">
      <c r="A332">
        <v>6000066020</v>
      </c>
      <c r="C332">
        <v>10</v>
      </c>
      <c r="D332" t="s">
        <v>2199</v>
      </c>
      <c r="F332" t="s">
        <v>2200</v>
      </c>
    </row>
    <row r="333" spans="1:6" x14ac:dyDescent="0.35">
      <c r="A333">
        <v>1002671085</v>
      </c>
      <c r="C333">
        <v>170</v>
      </c>
      <c r="D333" t="s">
        <v>860</v>
      </c>
      <c r="F333" t="s">
        <v>2201</v>
      </c>
    </row>
    <row r="334" spans="1:6" x14ac:dyDescent="0.35">
      <c r="A334">
        <v>1002671085</v>
      </c>
      <c r="C334">
        <v>110</v>
      </c>
      <c r="D334" t="s">
        <v>197</v>
      </c>
      <c r="F334" t="s">
        <v>2202</v>
      </c>
    </row>
    <row r="335" spans="1:6" x14ac:dyDescent="0.35">
      <c r="A335">
        <v>1002671085</v>
      </c>
      <c r="C335">
        <v>150</v>
      </c>
      <c r="D335" t="s">
        <v>801</v>
      </c>
      <c r="F335" t="s">
        <v>2203</v>
      </c>
    </row>
    <row r="336" spans="1:6" x14ac:dyDescent="0.35">
      <c r="A336">
        <v>1002671085</v>
      </c>
      <c r="C336">
        <v>20</v>
      </c>
      <c r="D336" t="s">
        <v>1344</v>
      </c>
      <c r="F336" t="s">
        <v>2204</v>
      </c>
    </row>
    <row r="337" spans="1:6" x14ac:dyDescent="0.35">
      <c r="A337">
        <v>1002671085</v>
      </c>
      <c r="C337">
        <v>30</v>
      </c>
      <c r="D337" t="s">
        <v>313</v>
      </c>
      <c r="F337" t="s">
        <v>2205</v>
      </c>
    </row>
    <row r="338" spans="1:6" x14ac:dyDescent="0.35">
      <c r="A338">
        <v>1002671085</v>
      </c>
      <c r="C338">
        <v>40</v>
      </c>
      <c r="D338" t="s">
        <v>1132</v>
      </c>
      <c r="F338" t="s">
        <v>2206</v>
      </c>
    </row>
    <row r="339" spans="1:6" x14ac:dyDescent="0.35">
      <c r="A339">
        <v>1002671085</v>
      </c>
      <c r="C339">
        <v>50</v>
      </c>
      <c r="D339" t="s">
        <v>1133</v>
      </c>
      <c r="F339" t="s">
        <v>2207</v>
      </c>
    </row>
    <row r="340" spans="1:6" x14ac:dyDescent="0.35">
      <c r="A340">
        <v>1002671085</v>
      </c>
      <c r="C340">
        <v>70</v>
      </c>
      <c r="D340" t="s">
        <v>760</v>
      </c>
      <c r="F340" t="s">
        <v>2208</v>
      </c>
    </row>
    <row r="341" spans="1:6" x14ac:dyDescent="0.35">
      <c r="A341">
        <v>1002671085</v>
      </c>
      <c r="C341">
        <v>80</v>
      </c>
      <c r="D341" t="s">
        <v>1370</v>
      </c>
      <c r="F341" t="s">
        <v>2209</v>
      </c>
    </row>
    <row r="342" spans="1:6" x14ac:dyDescent="0.35">
      <c r="A342">
        <v>1002671085</v>
      </c>
      <c r="C342">
        <v>90</v>
      </c>
      <c r="D342" t="s">
        <v>1345</v>
      </c>
      <c r="F342" t="s">
        <v>2210</v>
      </c>
    </row>
    <row r="343" spans="1:6" x14ac:dyDescent="0.35">
      <c r="A343">
        <v>1002681353</v>
      </c>
      <c r="C343">
        <v>10</v>
      </c>
      <c r="D343" t="s">
        <v>122</v>
      </c>
      <c r="E343" t="s">
        <v>1854</v>
      </c>
      <c r="F343" t="s">
        <v>2211</v>
      </c>
    </row>
    <row r="344" spans="1:6" x14ac:dyDescent="0.35">
      <c r="A344">
        <v>1002681353</v>
      </c>
      <c r="C344">
        <v>50</v>
      </c>
      <c r="D344" t="s">
        <v>132</v>
      </c>
      <c r="E344" t="s">
        <v>1854</v>
      </c>
      <c r="F344" t="s">
        <v>2212</v>
      </c>
    </row>
    <row r="345" spans="1:6" x14ac:dyDescent="0.35">
      <c r="A345">
        <v>1002685764</v>
      </c>
      <c r="C345">
        <v>10</v>
      </c>
      <c r="D345" t="s">
        <v>2213</v>
      </c>
      <c r="F345" t="s">
        <v>2214</v>
      </c>
    </row>
    <row r="346" spans="1:6" x14ac:dyDescent="0.35">
      <c r="A346">
        <v>1002671085</v>
      </c>
      <c r="C346">
        <v>100</v>
      </c>
      <c r="D346" t="s">
        <v>160</v>
      </c>
      <c r="F346" t="s">
        <v>2215</v>
      </c>
    </row>
    <row r="347" spans="1:6" x14ac:dyDescent="0.35">
      <c r="A347">
        <v>1002671085</v>
      </c>
      <c r="C347">
        <v>120</v>
      </c>
      <c r="D347" t="s">
        <v>1068</v>
      </c>
      <c r="F347" t="s">
        <v>2216</v>
      </c>
    </row>
    <row r="348" spans="1:6" x14ac:dyDescent="0.35">
      <c r="A348">
        <v>1002671085</v>
      </c>
      <c r="C348">
        <v>130</v>
      </c>
      <c r="D348" t="s">
        <v>1145</v>
      </c>
      <c r="F348" t="s">
        <v>2217</v>
      </c>
    </row>
    <row r="349" spans="1:6" x14ac:dyDescent="0.35">
      <c r="A349">
        <v>1002671085</v>
      </c>
      <c r="C349">
        <v>140</v>
      </c>
      <c r="D349" t="s">
        <v>802</v>
      </c>
      <c r="F349" t="s">
        <v>2218</v>
      </c>
    </row>
    <row r="350" spans="1:6" x14ac:dyDescent="0.35">
      <c r="A350">
        <v>1002671085</v>
      </c>
      <c r="C350">
        <v>160</v>
      </c>
      <c r="D350" t="s">
        <v>816</v>
      </c>
      <c r="F350" t="s">
        <v>2219</v>
      </c>
    </row>
    <row r="351" spans="1:6" x14ac:dyDescent="0.35">
      <c r="A351">
        <v>1002685588</v>
      </c>
      <c r="C351">
        <v>10</v>
      </c>
      <c r="D351" t="s">
        <v>2220</v>
      </c>
      <c r="F351" t="s">
        <v>2221</v>
      </c>
    </row>
    <row r="352" spans="1:6" x14ac:dyDescent="0.35">
      <c r="A352">
        <v>6000066038</v>
      </c>
      <c r="C352">
        <v>10</v>
      </c>
      <c r="D352" t="s">
        <v>2222</v>
      </c>
      <c r="F352" t="s">
        <v>2223</v>
      </c>
    </row>
    <row r="353" spans="1:6" x14ac:dyDescent="0.35">
      <c r="A353">
        <v>1002542940</v>
      </c>
      <c r="C353">
        <v>30</v>
      </c>
      <c r="D353" t="s">
        <v>711</v>
      </c>
      <c r="E353" t="s">
        <v>2224</v>
      </c>
      <c r="F353" t="s">
        <v>2225</v>
      </c>
    </row>
    <row r="354" spans="1:6" x14ac:dyDescent="0.35">
      <c r="A354">
        <v>1002316731</v>
      </c>
      <c r="C354">
        <v>10</v>
      </c>
      <c r="D354" t="s">
        <v>2226</v>
      </c>
      <c r="E354" t="s">
        <v>2227</v>
      </c>
      <c r="F354" t="s">
        <v>2228</v>
      </c>
    </row>
    <row r="355" spans="1:6" x14ac:dyDescent="0.35">
      <c r="A355">
        <v>1002316731</v>
      </c>
      <c r="C355">
        <v>20</v>
      </c>
      <c r="D355" t="s">
        <v>2229</v>
      </c>
      <c r="E355" t="s">
        <v>2227</v>
      </c>
      <c r="F355" t="s">
        <v>2230</v>
      </c>
    </row>
    <row r="356" spans="1:6" x14ac:dyDescent="0.35">
      <c r="A356">
        <v>1002619622</v>
      </c>
      <c r="C356">
        <v>50</v>
      </c>
      <c r="D356" t="s">
        <v>2231</v>
      </c>
      <c r="E356" t="s">
        <v>2232</v>
      </c>
      <c r="F356" t="s">
        <v>2233</v>
      </c>
    </row>
    <row r="357" spans="1:6" x14ac:dyDescent="0.35">
      <c r="A357">
        <v>1002428090</v>
      </c>
      <c r="C357">
        <v>20</v>
      </c>
      <c r="D357" t="s">
        <v>2234</v>
      </c>
      <c r="E357" t="s">
        <v>2235</v>
      </c>
      <c r="F357" t="s">
        <v>2236</v>
      </c>
    </row>
    <row r="358" spans="1:6" x14ac:dyDescent="0.35">
      <c r="A358">
        <v>1002631449</v>
      </c>
      <c r="C358">
        <v>10</v>
      </c>
      <c r="D358" t="s">
        <v>693</v>
      </c>
      <c r="E358" t="s">
        <v>2237</v>
      </c>
      <c r="F358" t="s">
        <v>2238</v>
      </c>
    </row>
    <row r="359" spans="1:6" x14ac:dyDescent="0.35">
      <c r="A359">
        <v>1002637283</v>
      </c>
      <c r="C359">
        <v>20</v>
      </c>
      <c r="D359" t="s">
        <v>1239</v>
      </c>
      <c r="E359" t="s">
        <v>2232</v>
      </c>
      <c r="F359" t="s">
        <v>2239</v>
      </c>
    </row>
    <row r="360" spans="1:6" x14ac:dyDescent="0.35">
      <c r="A360">
        <v>6000059432</v>
      </c>
      <c r="C360">
        <v>10</v>
      </c>
      <c r="D360" t="s">
        <v>2240</v>
      </c>
      <c r="E360" t="s">
        <v>2241</v>
      </c>
      <c r="F360" t="s">
        <v>2242</v>
      </c>
    </row>
    <row r="361" spans="1:6" x14ac:dyDescent="0.35">
      <c r="A361">
        <v>6000058510</v>
      </c>
      <c r="C361">
        <v>10</v>
      </c>
      <c r="D361" t="s">
        <v>2243</v>
      </c>
      <c r="E361" t="s">
        <v>2241</v>
      </c>
      <c r="F361" t="s">
        <v>2244</v>
      </c>
    </row>
    <row r="362" spans="1:6" x14ac:dyDescent="0.35">
      <c r="A362">
        <v>1002638644</v>
      </c>
      <c r="C362">
        <v>10</v>
      </c>
      <c r="D362" t="s">
        <v>2245</v>
      </c>
      <c r="E362" t="s">
        <v>2246</v>
      </c>
      <c r="F362" t="s">
        <v>2247</v>
      </c>
    </row>
    <row r="363" spans="1:6" x14ac:dyDescent="0.35">
      <c r="A363">
        <v>1002648063</v>
      </c>
      <c r="C363">
        <v>30</v>
      </c>
      <c r="D363" t="s">
        <v>530</v>
      </c>
      <c r="E363" t="s">
        <v>2227</v>
      </c>
      <c r="F363" t="s">
        <v>2248</v>
      </c>
    </row>
    <row r="364" spans="1:6" x14ac:dyDescent="0.35">
      <c r="A364">
        <v>1002648063</v>
      </c>
      <c r="C364">
        <v>70</v>
      </c>
      <c r="D364" t="s">
        <v>849</v>
      </c>
      <c r="E364" t="s">
        <v>2227</v>
      </c>
      <c r="F364" t="s">
        <v>2249</v>
      </c>
    </row>
    <row r="365" spans="1:6" x14ac:dyDescent="0.35">
      <c r="A365">
        <v>1002648063</v>
      </c>
      <c r="C365">
        <v>10</v>
      </c>
      <c r="D365" t="s">
        <v>377</v>
      </c>
      <c r="E365" t="s">
        <v>2227</v>
      </c>
      <c r="F365" t="s">
        <v>2250</v>
      </c>
    </row>
    <row r="366" spans="1:6" x14ac:dyDescent="0.35">
      <c r="A366">
        <v>1002648063</v>
      </c>
      <c r="C366">
        <v>60</v>
      </c>
      <c r="D366" t="s">
        <v>768</v>
      </c>
      <c r="E366" t="s">
        <v>2227</v>
      </c>
      <c r="F366" t="s">
        <v>2251</v>
      </c>
    </row>
    <row r="367" spans="1:6" x14ac:dyDescent="0.35">
      <c r="A367">
        <v>1002655016</v>
      </c>
      <c r="C367">
        <v>20</v>
      </c>
      <c r="D367" t="s">
        <v>2252</v>
      </c>
      <c r="E367" t="s">
        <v>2253</v>
      </c>
      <c r="F367" t="s">
        <v>2254</v>
      </c>
    </row>
    <row r="368" spans="1:6" x14ac:dyDescent="0.35">
      <c r="A368">
        <v>1002655016</v>
      </c>
      <c r="C368">
        <v>10</v>
      </c>
      <c r="D368" t="s">
        <v>2255</v>
      </c>
      <c r="E368" t="s">
        <v>2253</v>
      </c>
      <c r="F368" t="s">
        <v>2256</v>
      </c>
    </row>
    <row r="369" spans="1:6" x14ac:dyDescent="0.35">
      <c r="A369">
        <v>6000054614</v>
      </c>
      <c r="C369">
        <v>10</v>
      </c>
      <c r="D369" t="s">
        <v>1228</v>
      </c>
      <c r="E369" t="s">
        <v>2241</v>
      </c>
      <c r="F369" t="s">
        <v>2257</v>
      </c>
    </row>
    <row r="370" spans="1:6" x14ac:dyDescent="0.35">
      <c r="A370">
        <v>1002655016</v>
      </c>
      <c r="C370">
        <v>30</v>
      </c>
      <c r="D370" t="s">
        <v>2258</v>
      </c>
      <c r="E370" t="s">
        <v>2253</v>
      </c>
      <c r="F370" t="s">
        <v>2259</v>
      </c>
    </row>
    <row r="371" spans="1:6" x14ac:dyDescent="0.35">
      <c r="A371">
        <v>1002648051</v>
      </c>
      <c r="C371">
        <v>30</v>
      </c>
      <c r="D371" t="s">
        <v>1248</v>
      </c>
      <c r="E371" t="s">
        <v>2260</v>
      </c>
      <c r="F371" t="s">
        <v>2261</v>
      </c>
    </row>
    <row r="372" spans="1:6" x14ac:dyDescent="0.35">
      <c r="A372">
        <v>6000054614</v>
      </c>
      <c r="C372">
        <v>20</v>
      </c>
      <c r="D372" t="s">
        <v>2262</v>
      </c>
      <c r="E372" t="s">
        <v>2241</v>
      </c>
      <c r="F372" t="s">
        <v>2263</v>
      </c>
    </row>
    <row r="373" spans="1:6" x14ac:dyDescent="0.35">
      <c r="A373">
        <v>1002640119</v>
      </c>
      <c r="C373">
        <v>10</v>
      </c>
      <c r="D373" t="s">
        <v>2264</v>
      </c>
      <c r="E373" t="s">
        <v>2265</v>
      </c>
      <c r="F373" t="s">
        <v>2266</v>
      </c>
    </row>
    <row r="374" spans="1:6" x14ac:dyDescent="0.35">
      <c r="A374">
        <v>1002654915</v>
      </c>
      <c r="C374">
        <v>10</v>
      </c>
      <c r="D374" t="s">
        <v>2267</v>
      </c>
      <c r="E374" t="s">
        <v>2268</v>
      </c>
      <c r="F374" t="s">
        <v>2269</v>
      </c>
    </row>
    <row r="375" spans="1:6" x14ac:dyDescent="0.35">
      <c r="A375">
        <v>1002657559</v>
      </c>
      <c r="C375">
        <v>20</v>
      </c>
      <c r="D375" t="s">
        <v>2270</v>
      </c>
      <c r="E375" t="s">
        <v>2268</v>
      </c>
      <c r="F375" t="s">
        <v>2271</v>
      </c>
    </row>
    <row r="376" spans="1:6" x14ac:dyDescent="0.35">
      <c r="A376">
        <v>1002657559</v>
      </c>
      <c r="C376">
        <v>30</v>
      </c>
      <c r="D376" t="s">
        <v>2272</v>
      </c>
      <c r="E376" t="s">
        <v>2268</v>
      </c>
      <c r="F376" t="s">
        <v>2273</v>
      </c>
    </row>
    <row r="377" spans="1:6" x14ac:dyDescent="0.35">
      <c r="A377">
        <v>1002657559</v>
      </c>
      <c r="C377">
        <v>40</v>
      </c>
      <c r="D377" t="s">
        <v>2274</v>
      </c>
      <c r="E377" t="s">
        <v>2268</v>
      </c>
      <c r="F377" t="s">
        <v>2275</v>
      </c>
    </row>
    <row r="378" spans="1:6" x14ac:dyDescent="0.35">
      <c r="A378">
        <v>1002659647</v>
      </c>
      <c r="C378">
        <v>10</v>
      </c>
      <c r="D378" t="s">
        <v>2276</v>
      </c>
      <c r="E378" t="s">
        <v>2253</v>
      </c>
      <c r="F378" t="s">
        <v>2277</v>
      </c>
    </row>
    <row r="379" spans="1:6" x14ac:dyDescent="0.35">
      <c r="A379">
        <v>1002657559</v>
      </c>
      <c r="C379">
        <v>10</v>
      </c>
      <c r="D379" t="s">
        <v>2278</v>
      </c>
      <c r="E379" t="s">
        <v>2268</v>
      </c>
      <c r="F379" t="s">
        <v>2279</v>
      </c>
    </row>
    <row r="380" spans="1:6" x14ac:dyDescent="0.35">
      <c r="A380">
        <v>1002657559</v>
      </c>
      <c r="C380">
        <v>50</v>
      </c>
      <c r="D380" t="s">
        <v>2280</v>
      </c>
      <c r="E380" t="s">
        <v>2268</v>
      </c>
      <c r="F380" t="s">
        <v>2281</v>
      </c>
    </row>
    <row r="381" spans="1:6" x14ac:dyDescent="0.35">
      <c r="A381">
        <v>1002659086</v>
      </c>
      <c r="C381">
        <v>30</v>
      </c>
      <c r="D381" t="s">
        <v>2282</v>
      </c>
      <c r="E381" t="s">
        <v>2253</v>
      </c>
      <c r="F381" t="s">
        <v>2283</v>
      </c>
    </row>
    <row r="382" spans="1:6" x14ac:dyDescent="0.35">
      <c r="A382">
        <v>1002657594</v>
      </c>
      <c r="C382">
        <v>10</v>
      </c>
      <c r="D382" t="s">
        <v>2284</v>
      </c>
      <c r="E382" t="s">
        <v>2253</v>
      </c>
      <c r="F382" t="s">
        <v>2285</v>
      </c>
    </row>
    <row r="383" spans="1:6" x14ac:dyDescent="0.35">
      <c r="A383">
        <v>1002661016</v>
      </c>
      <c r="C383">
        <v>30</v>
      </c>
      <c r="D383" t="s">
        <v>2286</v>
      </c>
      <c r="F383" t="s">
        <v>2287</v>
      </c>
    </row>
    <row r="384" spans="1:6" x14ac:dyDescent="0.35">
      <c r="A384">
        <v>1002661016</v>
      </c>
      <c r="C384">
        <v>10</v>
      </c>
      <c r="D384" t="s">
        <v>2288</v>
      </c>
      <c r="E384" t="s">
        <v>2253</v>
      </c>
      <c r="F384" t="s">
        <v>2289</v>
      </c>
    </row>
    <row r="385" spans="1:6" x14ac:dyDescent="0.35">
      <c r="A385">
        <v>1002661016</v>
      </c>
      <c r="C385">
        <v>20</v>
      </c>
      <c r="D385" t="s">
        <v>2290</v>
      </c>
      <c r="E385" t="s">
        <v>2253</v>
      </c>
      <c r="F385" t="s">
        <v>2291</v>
      </c>
    </row>
    <row r="386" spans="1:6" x14ac:dyDescent="0.35">
      <c r="A386">
        <v>1002646074</v>
      </c>
      <c r="C386">
        <v>60</v>
      </c>
      <c r="D386" t="s">
        <v>2292</v>
      </c>
      <c r="E386" t="s">
        <v>2293</v>
      </c>
      <c r="F386" t="s">
        <v>2294</v>
      </c>
    </row>
    <row r="387" spans="1:6" x14ac:dyDescent="0.35">
      <c r="A387">
        <v>1002663456</v>
      </c>
      <c r="C387">
        <v>20</v>
      </c>
      <c r="D387" t="s">
        <v>2295</v>
      </c>
      <c r="E387" t="s">
        <v>2227</v>
      </c>
      <c r="F387" t="s">
        <v>2296</v>
      </c>
    </row>
    <row r="388" spans="1:6" x14ac:dyDescent="0.35">
      <c r="A388">
        <v>1002663456</v>
      </c>
      <c r="C388">
        <v>10</v>
      </c>
      <c r="D388" t="s">
        <v>2297</v>
      </c>
      <c r="E388" t="s">
        <v>2227</v>
      </c>
      <c r="F388" t="s">
        <v>2298</v>
      </c>
    </row>
    <row r="389" spans="1:6" x14ac:dyDescent="0.35">
      <c r="A389">
        <v>1002664013</v>
      </c>
      <c r="C389">
        <v>10</v>
      </c>
      <c r="D389" t="s">
        <v>2299</v>
      </c>
      <c r="E389" t="s">
        <v>2253</v>
      </c>
      <c r="F389" t="s">
        <v>2300</v>
      </c>
    </row>
    <row r="390" spans="1:6" x14ac:dyDescent="0.35">
      <c r="A390">
        <v>1002643256</v>
      </c>
      <c r="C390">
        <v>390</v>
      </c>
      <c r="D390" t="s">
        <v>2301</v>
      </c>
      <c r="E390" t="s">
        <v>2293</v>
      </c>
      <c r="F390" t="s">
        <v>2302</v>
      </c>
    </row>
    <row r="391" spans="1:6" x14ac:dyDescent="0.35">
      <c r="A391">
        <v>1002643256</v>
      </c>
      <c r="C391">
        <v>380</v>
      </c>
      <c r="D391" t="s">
        <v>2303</v>
      </c>
      <c r="E391" t="s">
        <v>2293</v>
      </c>
      <c r="F391" t="s">
        <v>2304</v>
      </c>
    </row>
    <row r="392" spans="1:6" x14ac:dyDescent="0.35">
      <c r="A392">
        <v>1002643256</v>
      </c>
      <c r="C392">
        <v>370</v>
      </c>
      <c r="D392" t="s">
        <v>2305</v>
      </c>
      <c r="E392" t="s">
        <v>2293</v>
      </c>
      <c r="F392" t="s">
        <v>2306</v>
      </c>
    </row>
    <row r="393" spans="1:6" x14ac:dyDescent="0.35">
      <c r="A393">
        <v>1002643256</v>
      </c>
      <c r="C393">
        <v>360</v>
      </c>
      <c r="D393" t="s">
        <v>2307</v>
      </c>
      <c r="E393" t="s">
        <v>2293</v>
      </c>
      <c r="F393" t="s">
        <v>2308</v>
      </c>
    </row>
    <row r="394" spans="1:6" x14ac:dyDescent="0.35">
      <c r="A394">
        <v>1002643256</v>
      </c>
      <c r="C394">
        <v>160</v>
      </c>
      <c r="D394" t="s">
        <v>2309</v>
      </c>
      <c r="E394" t="s">
        <v>2310</v>
      </c>
      <c r="F394" t="s">
        <v>2311</v>
      </c>
    </row>
    <row r="395" spans="1:6" x14ac:dyDescent="0.35">
      <c r="A395">
        <v>1002643256</v>
      </c>
      <c r="C395">
        <v>130</v>
      </c>
      <c r="D395" t="s">
        <v>2312</v>
      </c>
      <c r="E395" t="s">
        <v>2313</v>
      </c>
      <c r="F395" t="s">
        <v>2314</v>
      </c>
    </row>
    <row r="396" spans="1:6" x14ac:dyDescent="0.35">
      <c r="A396">
        <v>1002667097</v>
      </c>
      <c r="C396">
        <v>20</v>
      </c>
      <c r="D396" t="s">
        <v>1390</v>
      </c>
      <c r="E396" t="s">
        <v>2313</v>
      </c>
      <c r="F396" t="s">
        <v>2315</v>
      </c>
    </row>
    <row r="397" spans="1:6" x14ac:dyDescent="0.35">
      <c r="A397">
        <v>1002667097</v>
      </c>
      <c r="C397">
        <v>30</v>
      </c>
      <c r="D397" t="s">
        <v>1391</v>
      </c>
      <c r="E397" t="s">
        <v>2313</v>
      </c>
      <c r="F397" t="s">
        <v>2316</v>
      </c>
    </row>
    <row r="398" spans="1:6" x14ac:dyDescent="0.35">
      <c r="A398">
        <v>1002667097</v>
      </c>
      <c r="C398">
        <v>40</v>
      </c>
      <c r="D398" t="s">
        <v>1393</v>
      </c>
      <c r="E398" t="s">
        <v>2313</v>
      </c>
      <c r="F398" t="s">
        <v>2317</v>
      </c>
    </row>
    <row r="399" spans="1:6" x14ac:dyDescent="0.35">
      <c r="A399">
        <v>1002663550</v>
      </c>
      <c r="C399">
        <v>20</v>
      </c>
      <c r="D399" t="s">
        <v>323</v>
      </c>
      <c r="E399" t="s">
        <v>2318</v>
      </c>
      <c r="F399" t="s">
        <v>2319</v>
      </c>
    </row>
    <row r="400" spans="1:6" x14ac:dyDescent="0.35">
      <c r="A400">
        <v>1002663550</v>
      </c>
      <c r="C400">
        <v>60</v>
      </c>
      <c r="D400" t="s">
        <v>721</v>
      </c>
      <c r="E400" t="s">
        <v>2318</v>
      </c>
      <c r="F400" t="s">
        <v>2320</v>
      </c>
    </row>
    <row r="401" spans="1:6" x14ac:dyDescent="0.35">
      <c r="A401">
        <v>1002667097</v>
      </c>
      <c r="C401">
        <v>60</v>
      </c>
      <c r="D401" t="s">
        <v>467</v>
      </c>
      <c r="E401" t="s">
        <v>2313</v>
      </c>
      <c r="F401" t="s">
        <v>2321</v>
      </c>
    </row>
    <row r="402" spans="1:6" x14ac:dyDescent="0.35">
      <c r="A402">
        <v>1002667097</v>
      </c>
      <c r="C402">
        <v>100</v>
      </c>
      <c r="D402" t="s">
        <v>465</v>
      </c>
      <c r="E402" t="s">
        <v>2313</v>
      </c>
      <c r="F402" t="s">
        <v>2322</v>
      </c>
    </row>
    <row r="403" spans="1:6" x14ac:dyDescent="0.35">
      <c r="A403">
        <v>1002640117</v>
      </c>
      <c r="C403">
        <v>20</v>
      </c>
      <c r="D403" t="s">
        <v>2323</v>
      </c>
      <c r="E403" t="s">
        <v>2318</v>
      </c>
      <c r="F403" t="s">
        <v>2324</v>
      </c>
    </row>
    <row r="404" spans="1:6" x14ac:dyDescent="0.35">
      <c r="A404">
        <v>1002667097</v>
      </c>
      <c r="C404">
        <v>50</v>
      </c>
      <c r="D404" t="s">
        <v>1394</v>
      </c>
      <c r="E404" t="s">
        <v>2313</v>
      </c>
      <c r="F404" t="s">
        <v>2325</v>
      </c>
    </row>
    <row r="405" spans="1:6" x14ac:dyDescent="0.35">
      <c r="A405">
        <v>1002668897</v>
      </c>
      <c r="C405">
        <v>60</v>
      </c>
      <c r="D405" t="s">
        <v>2326</v>
      </c>
      <c r="E405" t="s">
        <v>2327</v>
      </c>
      <c r="F405" t="s">
        <v>2328</v>
      </c>
    </row>
    <row r="406" spans="1:6" x14ac:dyDescent="0.35">
      <c r="A406">
        <v>1002671116</v>
      </c>
      <c r="C406">
        <v>10</v>
      </c>
      <c r="D406" t="s">
        <v>520</v>
      </c>
      <c r="F406" t="s">
        <v>2329</v>
      </c>
    </row>
    <row r="407" spans="1:6" x14ac:dyDescent="0.35">
      <c r="A407">
        <v>1002671116</v>
      </c>
      <c r="C407">
        <v>40</v>
      </c>
      <c r="D407" t="s">
        <v>555</v>
      </c>
      <c r="F407" t="s">
        <v>2330</v>
      </c>
    </row>
    <row r="408" spans="1:6" x14ac:dyDescent="0.35">
      <c r="A408">
        <v>1002671116</v>
      </c>
      <c r="C408">
        <v>20</v>
      </c>
      <c r="D408" t="s">
        <v>622</v>
      </c>
      <c r="F408" t="s">
        <v>2331</v>
      </c>
    </row>
    <row r="409" spans="1:6" x14ac:dyDescent="0.35">
      <c r="A409">
        <v>1002671116</v>
      </c>
      <c r="C409">
        <v>30</v>
      </c>
      <c r="D409" t="s">
        <v>1307</v>
      </c>
      <c r="F409" t="s">
        <v>2332</v>
      </c>
    </row>
    <row r="410" spans="1:6" x14ac:dyDescent="0.35">
      <c r="A410">
        <v>1002668897</v>
      </c>
      <c r="C410">
        <v>50</v>
      </c>
      <c r="D410" t="s">
        <v>2333</v>
      </c>
      <c r="E410" t="s">
        <v>2327</v>
      </c>
      <c r="F410" t="s">
        <v>2334</v>
      </c>
    </row>
    <row r="411" spans="1:6" x14ac:dyDescent="0.35">
      <c r="A411">
        <v>1002663262</v>
      </c>
      <c r="C411">
        <v>310</v>
      </c>
      <c r="D411" t="s">
        <v>2335</v>
      </c>
      <c r="E411" t="s">
        <v>2318</v>
      </c>
      <c r="F411" t="s">
        <v>2336</v>
      </c>
    </row>
    <row r="412" spans="1:6" x14ac:dyDescent="0.35">
      <c r="A412">
        <v>1002665102</v>
      </c>
      <c r="C412">
        <v>20</v>
      </c>
      <c r="D412" t="s">
        <v>2337</v>
      </c>
      <c r="E412" t="s">
        <v>2338</v>
      </c>
      <c r="F412" t="s">
        <v>2339</v>
      </c>
    </row>
    <row r="413" spans="1:6" x14ac:dyDescent="0.35">
      <c r="A413">
        <v>1002663262</v>
      </c>
      <c r="C413">
        <v>290</v>
      </c>
      <c r="D413" t="s">
        <v>2340</v>
      </c>
      <c r="E413" t="s">
        <v>2318</v>
      </c>
      <c r="F413" t="s">
        <v>2341</v>
      </c>
    </row>
    <row r="414" spans="1:6" x14ac:dyDescent="0.35">
      <c r="A414">
        <v>1001769038</v>
      </c>
      <c r="C414">
        <v>10</v>
      </c>
      <c r="D414" t="s">
        <v>2342</v>
      </c>
      <c r="E414" t="s">
        <v>2327</v>
      </c>
      <c r="F414" t="s">
        <v>2343</v>
      </c>
    </row>
    <row r="415" spans="1:6" x14ac:dyDescent="0.35">
      <c r="A415">
        <v>1002663262</v>
      </c>
      <c r="C415">
        <v>140</v>
      </c>
      <c r="D415" t="s">
        <v>2344</v>
      </c>
      <c r="E415" t="s">
        <v>2318</v>
      </c>
      <c r="F415" t="s">
        <v>2345</v>
      </c>
    </row>
    <row r="416" spans="1:6" x14ac:dyDescent="0.35">
      <c r="A416">
        <v>1002663262</v>
      </c>
      <c r="C416">
        <v>80</v>
      </c>
      <c r="D416" t="s">
        <v>2346</v>
      </c>
      <c r="E416" t="s">
        <v>2318</v>
      </c>
      <c r="F416" t="s">
        <v>2347</v>
      </c>
    </row>
    <row r="417" spans="1:6" x14ac:dyDescent="0.35">
      <c r="A417">
        <v>1002663262</v>
      </c>
      <c r="C417">
        <v>60</v>
      </c>
      <c r="D417" t="s">
        <v>2348</v>
      </c>
      <c r="E417" t="s">
        <v>2318</v>
      </c>
      <c r="F417" t="s">
        <v>2349</v>
      </c>
    </row>
    <row r="418" spans="1:6" x14ac:dyDescent="0.35">
      <c r="A418">
        <v>1002663262</v>
      </c>
      <c r="C418">
        <v>50</v>
      </c>
      <c r="D418" t="s">
        <v>2350</v>
      </c>
      <c r="E418" t="s">
        <v>2318</v>
      </c>
      <c r="F418" t="s">
        <v>2351</v>
      </c>
    </row>
    <row r="419" spans="1:6" x14ac:dyDescent="0.35">
      <c r="A419">
        <v>1002663262</v>
      </c>
      <c r="C419">
        <v>40</v>
      </c>
      <c r="D419" t="s">
        <v>2352</v>
      </c>
      <c r="E419" t="s">
        <v>2318</v>
      </c>
      <c r="F419" t="s">
        <v>2353</v>
      </c>
    </row>
    <row r="420" spans="1:6" x14ac:dyDescent="0.35">
      <c r="A420">
        <v>1002663262</v>
      </c>
      <c r="C420">
        <v>180</v>
      </c>
      <c r="D420" t="s">
        <v>2354</v>
      </c>
      <c r="E420" t="s">
        <v>2318</v>
      </c>
      <c r="F420" t="s">
        <v>2355</v>
      </c>
    </row>
    <row r="421" spans="1:6" x14ac:dyDescent="0.35">
      <c r="A421">
        <v>1002653864</v>
      </c>
      <c r="C421">
        <v>20</v>
      </c>
      <c r="D421" t="s">
        <v>531</v>
      </c>
      <c r="F421" t="s">
        <v>2356</v>
      </c>
    </row>
    <row r="422" spans="1:6" x14ac:dyDescent="0.35">
      <c r="A422">
        <v>1002653864</v>
      </c>
      <c r="C422">
        <v>40</v>
      </c>
      <c r="D422" t="s">
        <v>607</v>
      </c>
      <c r="F422" t="s">
        <v>2357</v>
      </c>
    </row>
    <row r="423" spans="1:6" x14ac:dyDescent="0.35">
      <c r="A423">
        <v>1002674974</v>
      </c>
      <c r="C423">
        <v>30</v>
      </c>
      <c r="D423" t="s">
        <v>385</v>
      </c>
      <c r="F423" t="s">
        <v>2358</v>
      </c>
    </row>
    <row r="424" spans="1:6" x14ac:dyDescent="0.35">
      <c r="A424">
        <v>1002674995</v>
      </c>
      <c r="C424">
        <v>10</v>
      </c>
      <c r="D424" t="s">
        <v>2359</v>
      </c>
      <c r="F424" t="s">
        <v>2360</v>
      </c>
    </row>
    <row r="425" spans="1:6" x14ac:dyDescent="0.35">
      <c r="A425">
        <v>1002674995</v>
      </c>
      <c r="C425">
        <v>20</v>
      </c>
      <c r="D425" t="s">
        <v>2361</v>
      </c>
      <c r="F425" t="s">
        <v>2362</v>
      </c>
    </row>
    <row r="426" spans="1:6" x14ac:dyDescent="0.35">
      <c r="A426">
        <v>1002674995</v>
      </c>
      <c r="C426">
        <v>30</v>
      </c>
      <c r="D426" t="s">
        <v>2363</v>
      </c>
      <c r="F426" t="s">
        <v>2364</v>
      </c>
    </row>
    <row r="427" spans="1:6" x14ac:dyDescent="0.35">
      <c r="A427">
        <v>1002674974</v>
      </c>
      <c r="C427">
        <v>10</v>
      </c>
      <c r="D427" t="s">
        <v>1522</v>
      </c>
      <c r="F427" t="s">
        <v>2365</v>
      </c>
    </row>
    <row r="428" spans="1:6" x14ac:dyDescent="0.35">
      <c r="A428">
        <v>1002660930</v>
      </c>
      <c r="C428">
        <v>10</v>
      </c>
      <c r="D428" t="s">
        <v>442</v>
      </c>
      <c r="F428" t="s">
        <v>2366</v>
      </c>
    </row>
    <row r="429" spans="1:6" x14ac:dyDescent="0.35">
      <c r="A429">
        <v>1002674974</v>
      </c>
      <c r="C429">
        <v>20</v>
      </c>
      <c r="D429" t="s">
        <v>742</v>
      </c>
      <c r="F429" t="s">
        <v>2367</v>
      </c>
    </row>
    <row r="430" spans="1:6" x14ac:dyDescent="0.35">
      <c r="A430">
        <v>1002675439</v>
      </c>
      <c r="C430">
        <v>100</v>
      </c>
      <c r="D430" t="s">
        <v>2368</v>
      </c>
      <c r="E430" t="s">
        <v>2246</v>
      </c>
      <c r="F430" t="s">
        <v>2369</v>
      </c>
    </row>
    <row r="431" spans="1:6" x14ac:dyDescent="0.35">
      <c r="A431">
        <v>1002675439</v>
      </c>
      <c r="C431">
        <v>80</v>
      </c>
      <c r="D431" t="s">
        <v>2370</v>
      </c>
      <c r="E431" t="s">
        <v>2371</v>
      </c>
      <c r="F431" t="s">
        <v>2372</v>
      </c>
    </row>
    <row r="432" spans="1:6" x14ac:dyDescent="0.35">
      <c r="A432">
        <v>1002675439</v>
      </c>
      <c r="C432">
        <v>70</v>
      </c>
      <c r="D432" t="s">
        <v>2373</v>
      </c>
      <c r="E432" t="s">
        <v>2371</v>
      </c>
      <c r="F432" t="s">
        <v>2374</v>
      </c>
    </row>
    <row r="433" spans="1:6" x14ac:dyDescent="0.35">
      <c r="A433">
        <v>1002675439</v>
      </c>
      <c r="C433">
        <v>110</v>
      </c>
      <c r="D433" t="s">
        <v>2375</v>
      </c>
      <c r="E433" t="s">
        <v>2246</v>
      </c>
      <c r="F433" t="s">
        <v>2376</v>
      </c>
    </row>
    <row r="434" spans="1:6" x14ac:dyDescent="0.35">
      <c r="A434">
        <v>1002675439</v>
      </c>
      <c r="C434">
        <v>20</v>
      </c>
      <c r="D434" t="s">
        <v>2377</v>
      </c>
      <c r="E434" t="s">
        <v>2371</v>
      </c>
      <c r="F434" t="s">
        <v>2378</v>
      </c>
    </row>
    <row r="435" spans="1:6" x14ac:dyDescent="0.35">
      <c r="A435">
        <v>1002675439</v>
      </c>
      <c r="C435">
        <v>10</v>
      </c>
      <c r="D435" t="s">
        <v>2379</v>
      </c>
      <c r="E435" t="s">
        <v>2371</v>
      </c>
      <c r="F435" t="s">
        <v>2380</v>
      </c>
    </row>
    <row r="436" spans="1:6" x14ac:dyDescent="0.35">
      <c r="A436">
        <v>1002675439</v>
      </c>
      <c r="C436">
        <v>120</v>
      </c>
      <c r="D436" t="s">
        <v>2381</v>
      </c>
      <c r="E436" t="s">
        <v>2246</v>
      </c>
      <c r="F436" t="s">
        <v>2382</v>
      </c>
    </row>
    <row r="437" spans="1:6" x14ac:dyDescent="0.35">
      <c r="A437">
        <v>1002675439</v>
      </c>
      <c r="C437">
        <v>130</v>
      </c>
      <c r="D437" t="s">
        <v>2383</v>
      </c>
      <c r="E437" t="s">
        <v>2246</v>
      </c>
      <c r="F437" t="s">
        <v>2384</v>
      </c>
    </row>
    <row r="438" spans="1:6" x14ac:dyDescent="0.35">
      <c r="A438">
        <v>1002675439</v>
      </c>
      <c r="C438">
        <v>140</v>
      </c>
      <c r="D438" t="s">
        <v>2385</v>
      </c>
      <c r="E438" t="s">
        <v>2371</v>
      </c>
      <c r="F438" t="s">
        <v>2386</v>
      </c>
    </row>
    <row r="439" spans="1:6" x14ac:dyDescent="0.35">
      <c r="A439">
        <v>1002634694</v>
      </c>
      <c r="C439">
        <v>80</v>
      </c>
      <c r="D439" t="s">
        <v>2387</v>
      </c>
      <c r="F439" t="s">
        <v>2388</v>
      </c>
    </row>
    <row r="440" spans="1:6" x14ac:dyDescent="0.35">
      <c r="A440">
        <v>1002675439</v>
      </c>
      <c r="C440">
        <v>90</v>
      </c>
      <c r="D440" t="s">
        <v>2389</v>
      </c>
      <c r="E440" t="s">
        <v>2371</v>
      </c>
      <c r="F440" t="s">
        <v>2390</v>
      </c>
    </row>
    <row r="441" spans="1:6" x14ac:dyDescent="0.35">
      <c r="A441">
        <v>1002675439</v>
      </c>
      <c r="C441">
        <v>60</v>
      </c>
      <c r="D441" t="s">
        <v>2391</v>
      </c>
      <c r="E441" t="s">
        <v>2371</v>
      </c>
      <c r="F441" t="s">
        <v>2392</v>
      </c>
    </row>
    <row r="442" spans="1:6" x14ac:dyDescent="0.35">
      <c r="A442">
        <v>1002643752</v>
      </c>
      <c r="C442">
        <v>1200</v>
      </c>
      <c r="D442" t="s">
        <v>2393</v>
      </c>
      <c r="E442" t="s">
        <v>2394</v>
      </c>
      <c r="F442" t="s">
        <v>2395</v>
      </c>
    </row>
    <row r="443" spans="1:6" x14ac:dyDescent="0.35">
      <c r="A443">
        <v>1002643752</v>
      </c>
      <c r="C443">
        <v>260</v>
      </c>
      <c r="D443" t="s">
        <v>2396</v>
      </c>
      <c r="E443" t="s">
        <v>2394</v>
      </c>
      <c r="F443" t="s">
        <v>2397</v>
      </c>
    </row>
    <row r="444" spans="1:6" x14ac:dyDescent="0.35">
      <c r="A444">
        <v>1002643752</v>
      </c>
      <c r="C444">
        <v>270</v>
      </c>
      <c r="D444" t="s">
        <v>2398</v>
      </c>
      <c r="E444" t="s">
        <v>2394</v>
      </c>
      <c r="F444" t="s">
        <v>2399</v>
      </c>
    </row>
    <row r="445" spans="1:6" x14ac:dyDescent="0.35">
      <c r="A445">
        <v>1002643752</v>
      </c>
      <c r="C445">
        <v>600</v>
      </c>
      <c r="D445" t="s">
        <v>2400</v>
      </c>
      <c r="E445" t="s">
        <v>2394</v>
      </c>
      <c r="F445" t="s">
        <v>2401</v>
      </c>
    </row>
    <row r="446" spans="1:6" x14ac:dyDescent="0.35">
      <c r="A446">
        <v>1002643752</v>
      </c>
      <c r="C446">
        <v>660</v>
      </c>
      <c r="D446" t="s">
        <v>2402</v>
      </c>
      <c r="E446" t="s">
        <v>2394</v>
      </c>
      <c r="F446" t="s">
        <v>2403</v>
      </c>
    </row>
    <row r="447" spans="1:6" x14ac:dyDescent="0.35">
      <c r="A447">
        <v>1002643752</v>
      </c>
      <c r="C447">
        <v>1210</v>
      </c>
      <c r="D447" t="s">
        <v>2404</v>
      </c>
      <c r="E447" t="s">
        <v>2394</v>
      </c>
      <c r="F447" t="s">
        <v>2405</v>
      </c>
    </row>
    <row r="448" spans="1:6" x14ac:dyDescent="0.35">
      <c r="A448">
        <v>1002671970</v>
      </c>
      <c r="C448">
        <v>10</v>
      </c>
      <c r="D448" t="s">
        <v>2393</v>
      </c>
      <c r="F448" t="s">
        <v>2406</v>
      </c>
    </row>
    <row r="449" spans="1:6" x14ac:dyDescent="0.35">
      <c r="A449">
        <v>1002663149</v>
      </c>
      <c r="C449">
        <v>10</v>
      </c>
      <c r="D449" t="s">
        <v>2407</v>
      </c>
      <c r="F449" t="s">
        <v>2408</v>
      </c>
    </row>
    <row r="450" spans="1:6" x14ac:dyDescent="0.35">
      <c r="A450">
        <v>1002643392</v>
      </c>
      <c r="C450">
        <v>140</v>
      </c>
      <c r="D450" t="s">
        <v>2409</v>
      </c>
      <c r="F450" t="s">
        <v>2410</v>
      </c>
    </row>
    <row r="451" spans="1:6" x14ac:dyDescent="0.35">
      <c r="A451">
        <v>1002672981</v>
      </c>
      <c r="C451">
        <v>10</v>
      </c>
      <c r="D451" t="s">
        <v>2411</v>
      </c>
      <c r="F451" t="s">
        <v>2412</v>
      </c>
    </row>
    <row r="452" spans="1:6" x14ac:dyDescent="0.35">
      <c r="A452">
        <v>1002660951</v>
      </c>
      <c r="C452">
        <v>10</v>
      </c>
      <c r="D452" t="s">
        <v>2413</v>
      </c>
      <c r="F452" t="s">
        <v>2414</v>
      </c>
    </row>
    <row r="453" spans="1:6" x14ac:dyDescent="0.35">
      <c r="A453">
        <v>1002671591</v>
      </c>
      <c r="C453">
        <v>40</v>
      </c>
      <c r="D453" t="s">
        <v>2415</v>
      </c>
      <c r="F453" t="s">
        <v>2416</v>
      </c>
    </row>
    <row r="454" spans="1:6" x14ac:dyDescent="0.35">
      <c r="A454">
        <v>1002671591</v>
      </c>
      <c r="C454">
        <v>20</v>
      </c>
      <c r="D454" t="s">
        <v>2417</v>
      </c>
      <c r="E454">
        <v>3699598</v>
      </c>
      <c r="F454" t="s">
        <v>2418</v>
      </c>
    </row>
    <row r="455" spans="1:6" x14ac:dyDescent="0.35">
      <c r="A455">
        <v>1002671591</v>
      </c>
      <c r="C455">
        <v>30</v>
      </c>
      <c r="D455" t="s">
        <v>2419</v>
      </c>
      <c r="E455" t="s">
        <v>2420</v>
      </c>
      <c r="F455" t="s">
        <v>2421</v>
      </c>
    </row>
    <row r="456" spans="1:6" x14ac:dyDescent="0.35">
      <c r="A456">
        <v>1002676646</v>
      </c>
      <c r="C456">
        <v>20</v>
      </c>
      <c r="D456" t="s">
        <v>2288</v>
      </c>
      <c r="F456" t="s">
        <v>2422</v>
      </c>
    </row>
    <row r="457" spans="1:6" x14ac:dyDescent="0.35">
      <c r="A457">
        <v>1002676646</v>
      </c>
      <c r="C457">
        <v>30</v>
      </c>
      <c r="D457" t="s">
        <v>2290</v>
      </c>
      <c r="F457" t="s">
        <v>2423</v>
      </c>
    </row>
    <row r="458" spans="1:6" x14ac:dyDescent="0.35">
      <c r="A458">
        <v>1002681348</v>
      </c>
      <c r="C458">
        <v>20</v>
      </c>
      <c r="D458" t="s">
        <v>2424</v>
      </c>
      <c r="F458" t="s">
        <v>2425</v>
      </c>
    </row>
    <row r="459" spans="1:6" x14ac:dyDescent="0.35">
      <c r="A459">
        <v>1002681348</v>
      </c>
      <c r="C459">
        <v>10</v>
      </c>
      <c r="D459" t="s">
        <v>2426</v>
      </c>
      <c r="F459" t="s">
        <v>2427</v>
      </c>
    </row>
    <row r="460" spans="1:6" x14ac:dyDescent="0.35">
      <c r="A460">
        <v>6000065571</v>
      </c>
      <c r="C460">
        <v>10</v>
      </c>
      <c r="D460" t="s">
        <v>2243</v>
      </c>
      <c r="E460" t="s">
        <v>2428</v>
      </c>
      <c r="F460" t="s">
        <v>2429</v>
      </c>
    </row>
    <row r="461" spans="1:6" x14ac:dyDescent="0.35">
      <c r="A461">
        <v>1002682089</v>
      </c>
      <c r="C461">
        <v>10</v>
      </c>
      <c r="D461" t="s">
        <v>241</v>
      </c>
      <c r="F461" t="s">
        <v>2430</v>
      </c>
    </row>
    <row r="462" spans="1:6" x14ac:dyDescent="0.35">
      <c r="A462">
        <v>1002666229</v>
      </c>
      <c r="C462">
        <v>130</v>
      </c>
      <c r="D462" t="s">
        <v>2431</v>
      </c>
      <c r="E462" t="s">
        <v>2232</v>
      </c>
      <c r="F462" t="s">
        <v>2432</v>
      </c>
    </row>
    <row r="463" spans="1:6" x14ac:dyDescent="0.35">
      <c r="A463">
        <v>1002666229</v>
      </c>
      <c r="C463">
        <v>90</v>
      </c>
      <c r="D463" t="s">
        <v>2433</v>
      </c>
      <c r="E463" t="s">
        <v>2232</v>
      </c>
      <c r="F463" t="s">
        <v>2434</v>
      </c>
    </row>
    <row r="464" spans="1:6" x14ac:dyDescent="0.35">
      <c r="A464">
        <v>1002660701</v>
      </c>
      <c r="C464">
        <v>10</v>
      </c>
      <c r="D464" t="s">
        <v>2435</v>
      </c>
      <c r="E464" t="s">
        <v>2338</v>
      </c>
      <c r="F464" t="s">
        <v>2436</v>
      </c>
    </row>
    <row r="465" spans="1:6" x14ac:dyDescent="0.35">
      <c r="A465">
        <v>1002600981</v>
      </c>
      <c r="C465">
        <v>10</v>
      </c>
      <c r="D465" t="s">
        <v>2138</v>
      </c>
      <c r="F465" t="s">
        <v>2437</v>
      </c>
    </row>
    <row r="466" spans="1:6" x14ac:dyDescent="0.35">
      <c r="A466">
        <v>1002687242</v>
      </c>
      <c r="C466">
        <v>20</v>
      </c>
      <c r="D466" t="s">
        <v>1056</v>
      </c>
      <c r="E466" t="s">
        <v>2438</v>
      </c>
      <c r="F466" t="s">
        <v>2439</v>
      </c>
    </row>
    <row r="467" spans="1:6" x14ac:dyDescent="0.35">
      <c r="A467">
        <v>1002687242</v>
      </c>
      <c r="C467">
        <v>30</v>
      </c>
      <c r="D467" t="s">
        <v>592</v>
      </c>
      <c r="E467" t="s">
        <v>2438</v>
      </c>
      <c r="F467" t="s">
        <v>2440</v>
      </c>
    </row>
    <row r="468" spans="1:6" x14ac:dyDescent="0.35">
      <c r="A468">
        <v>1002687242</v>
      </c>
      <c r="C468">
        <v>10</v>
      </c>
      <c r="D468" t="s">
        <v>93</v>
      </c>
      <c r="E468" t="s">
        <v>2438</v>
      </c>
      <c r="F468" t="s">
        <v>2441</v>
      </c>
    </row>
    <row r="469" spans="1:6" x14ac:dyDescent="0.35">
      <c r="A469">
        <v>1002673993</v>
      </c>
      <c r="C469">
        <v>20</v>
      </c>
      <c r="D469" t="s">
        <v>476</v>
      </c>
      <c r="F469" t="s">
        <v>2442</v>
      </c>
    </row>
    <row r="470" spans="1:6" x14ac:dyDescent="0.35">
      <c r="A470">
        <v>1002687240</v>
      </c>
      <c r="C470">
        <v>50</v>
      </c>
      <c r="D470" t="s">
        <v>1486</v>
      </c>
      <c r="F470" t="s">
        <v>2443</v>
      </c>
    </row>
    <row r="471" spans="1:6" x14ac:dyDescent="0.35">
      <c r="A471">
        <v>1002660965</v>
      </c>
      <c r="C471">
        <v>10</v>
      </c>
      <c r="D471" t="s">
        <v>2444</v>
      </c>
      <c r="F471" t="s">
        <v>2445</v>
      </c>
    </row>
    <row r="472" spans="1:6" x14ac:dyDescent="0.35">
      <c r="A472">
        <v>1002687240</v>
      </c>
      <c r="C472">
        <v>10</v>
      </c>
      <c r="D472" t="s">
        <v>53</v>
      </c>
      <c r="F472" t="s">
        <v>2446</v>
      </c>
    </row>
    <row r="473" spans="1:6" x14ac:dyDescent="0.35">
      <c r="A473">
        <v>1002687837</v>
      </c>
      <c r="C473">
        <v>10</v>
      </c>
      <c r="D473" t="s">
        <v>2447</v>
      </c>
      <c r="E473" t="s">
        <v>2438</v>
      </c>
      <c r="F473" t="s">
        <v>2448</v>
      </c>
    </row>
    <row r="474" spans="1:6" x14ac:dyDescent="0.35">
      <c r="A474">
        <v>1001951866</v>
      </c>
      <c r="C474">
        <v>90</v>
      </c>
      <c r="D474" t="s">
        <v>2449</v>
      </c>
      <c r="F474" t="s">
        <v>2450</v>
      </c>
    </row>
    <row r="475" spans="1:6" x14ac:dyDescent="0.35">
      <c r="A475">
        <v>1001951866</v>
      </c>
      <c r="C475">
        <v>20</v>
      </c>
      <c r="D475" t="s">
        <v>2229</v>
      </c>
      <c r="F475" t="s">
        <v>2451</v>
      </c>
    </row>
    <row r="476" spans="1:6" x14ac:dyDescent="0.35">
      <c r="A476">
        <v>1002685587</v>
      </c>
      <c r="C476">
        <v>10</v>
      </c>
      <c r="D476" t="s">
        <v>2452</v>
      </c>
      <c r="E476" t="s">
        <v>2438</v>
      </c>
      <c r="F476" t="s">
        <v>2453</v>
      </c>
    </row>
    <row r="477" spans="1:6" x14ac:dyDescent="0.35">
      <c r="A477">
        <v>1002686783</v>
      </c>
      <c r="C477">
        <v>30</v>
      </c>
      <c r="D477" t="s">
        <v>2454</v>
      </c>
      <c r="E477" t="s">
        <v>2438</v>
      </c>
      <c r="F477" t="s">
        <v>2455</v>
      </c>
    </row>
    <row r="478" spans="1:6" x14ac:dyDescent="0.35">
      <c r="A478">
        <v>1002686783</v>
      </c>
      <c r="C478">
        <v>20</v>
      </c>
      <c r="D478" t="s">
        <v>2359</v>
      </c>
      <c r="F478" t="s">
        <v>2456</v>
      </c>
    </row>
    <row r="479" spans="1:6" x14ac:dyDescent="0.35">
      <c r="A479">
        <v>1002686783</v>
      </c>
      <c r="C479">
        <v>10</v>
      </c>
      <c r="D479" t="s">
        <v>2457</v>
      </c>
      <c r="F479" t="s">
        <v>2458</v>
      </c>
    </row>
    <row r="480" spans="1:6" x14ac:dyDescent="0.35">
      <c r="A480">
        <v>1002685587</v>
      </c>
      <c r="C480">
        <v>20</v>
      </c>
      <c r="D480" t="s">
        <v>2459</v>
      </c>
      <c r="E480" t="s">
        <v>2438</v>
      </c>
      <c r="F480" t="s">
        <v>2460</v>
      </c>
    </row>
    <row r="481" spans="1:6" x14ac:dyDescent="0.35">
      <c r="A481">
        <v>6000066777</v>
      </c>
      <c r="C481">
        <v>10</v>
      </c>
      <c r="D481" t="s">
        <v>2461</v>
      </c>
      <c r="E481" t="s">
        <v>2428</v>
      </c>
      <c r="F481" t="s">
        <v>2462</v>
      </c>
    </row>
    <row r="482" spans="1:6" x14ac:dyDescent="0.35">
      <c r="A482">
        <v>1002692726</v>
      </c>
      <c r="C482">
        <v>10</v>
      </c>
      <c r="D482" t="s">
        <v>1220</v>
      </c>
      <c r="E482" t="s">
        <v>2438</v>
      </c>
      <c r="F482" t="s">
        <v>2463</v>
      </c>
    </row>
    <row r="483" spans="1:6" x14ac:dyDescent="0.35">
      <c r="A483">
        <v>1002692733</v>
      </c>
      <c r="C483">
        <v>10</v>
      </c>
      <c r="D483" t="s">
        <v>2464</v>
      </c>
      <c r="F483" t="s">
        <v>2465</v>
      </c>
    </row>
    <row r="484" spans="1:6" x14ac:dyDescent="0.35">
      <c r="A484">
        <v>1002691210</v>
      </c>
      <c r="C484">
        <v>10</v>
      </c>
      <c r="D484" t="s">
        <v>710</v>
      </c>
      <c r="F484" t="s">
        <v>2466</v>
      </c>
    </row>
    <row r="485" spans="1:6" x14ac:dyDescent="0.35">
      <c r="A485">
        <v>1002692725</v>
      </c>
      <c r="C485">
        <v>10</v>
      </c>
      <c r="D485" t="s">
        <v>1363</v>
      </c>
      <c r="F485" t="s">
        <v>2467</v>
      </c>
    </row>
    <row r="486" spans="1:6" x14ac:dyDescent="0.35">
      <c r="A486">
        <v>1002696573</v>
      </c>
      <c r="C486">
        <v>10</v>
      </c>
      <c r="D486" t="s">
        <v>2468</v>
      </c>
      <c r="F486" t="s">
        <v>2469</v>
      </c>
    </row>
    <row r="487" spans="1:6" x14ac:dyDescent="0.35">
      <c r="A487">
        <v>1002696590</v>
      </c>
      <c r="C487">
        <v>10</v>
      </c>
      <c r="D487" t="s">
        <v>1906</v>
      </c>
      <c r="F487" t="s">
        <v>2470</v>
      </c>
    </row>
    <row r="488" spans="1:6" x14ac:dyDescent="0.35">
      <c r="A488">
        <v>6000067321</v>
      </c>
      <c r="C488">
        <v>10</v>
      </c>
      <c r="D488" t="s">
        <v>2471</v>
      </c>
      <c r="F488" t="s">
        <v>2472</v>
      </c>
    </row>
    <row r="489" spans="1:6" x14ac:dyDescent="0.35">
      <c r="B489">
        <v>3500036884</v>
      </c>
      <c r="C489">
        <v>10</v>
      </c>
      <c r="D489" t="s">
        <v>2473</v>
      </c>
      <c r="E489" t="s">
        <v>68</v>
      </c>
      <c r="F489" t="s">
        <v>2474</v>
      </c>
    </row>
    <row r="490" spans="1:6" x14ac:dyDescent="0.35">
      <c r="B490">
        <v>3500036883</v>
      </c>
      <c r="C490">
        <v>10</v>
      </c>
      <c r="D490" t="s">
        <v>2475</v>
      </c>
      <c r="E490" t="s">
        <v>68</v>
      </c>
      <c r="F490" t="s">
        <v>2476</v>
      </c>
    </row>
    <row r="491" spans="1:6" x14ac:dyDescent="0.35">
      <c r="B491">
        <v>3500036882</v>
      </c>
      <c r="C491">
        <v>10</v>
      </c>
      <c r="D491" t="s">
        <v>2477</v>
      </c>
      <c r="E491" t="s">
        <v>68</v>
      </c>
      <c r="F491" t="s">
        <v>2478</v>
      </c>
    </row>
    <row r="492" spans="1:6" x14ac:dyDescent="0.35">
      <c r="B492">
        <v>3500036855</v>
      </c>
      <c r="C492">
        <v>10</v>
      </c>
      <c r="D492" t="s">
        <v>2479</v>
      </c>
      <c r="E492" t="s">
        <v>68</v>
      </c>
      <c r="F492" t="s">
        <v>2480</v>
      </c>
    </row>
    <row r="493" spans="1:6" x14ac:dyDescent="0.35">
      <c r="B493">
        <v>3500036832</v>
      </c>
      <c r="C493">
        <v>10</v>
      </c>
      <c r="D493" t="s">
        <v>2475</v>
      </c>
      <c r="E493" t="s">
        <v>68</v>
      </c>
      <c r="F493" t="s">
        <v>2481</v>
      </c>
    </row>
    <row r="494" spans="1:6" x14ac:dyDescent="0.35">
      <c r="B494">
        <v>3500036810</v>
      </c>
      <c r="C494">
        <v>10</v>
      </c>
      <c r="D494" t="s">
        <v>2482</v>
      </c>
      <c r="E494" t="s">
        <v>68</v>
      </c>
      <c r="F494" t="s">
        <v>2483</v>
      </c>
    </row>
    <row r="495" spans="1:6" x14ac:dyDescent="0.35">
      <c r="B495">
        <v>3500036809</v>
      </c>
      <c r="C495">
        <v>10</v>
      </c>
      <c r="D495" t="s">
        <v>2482</v>
      </c>
      <c r="E495" t="s">
        <v>68</v>
      </c>
      <c r="F495" t="s">
        <v>2484</v>
      </c>
    </row>
    <row r="496" spans="1:6" x14ac:dyDescent="0.35">
      <c r="B496">
        <v>3500036808</v>
      </c>
      <c r="C496">
        <v>70</v>
      </c>
      <c r="D496" t="s">
        <v>2485</v>
      </c>
      <c r="E496" t="s">
        <v>68</v>
      </c>
      <c r="F496" t="s">
        <v>2486</v>
      </c>
    </row>
    <row r="497" spans="2:6" x14ac:dyDescent="0.35">
      <c r="B497">
        <v>3500036808</v>
      </c>
      <c r="C497">
        <v>60</v>
      </c>
      <c r="D497" t="s">
        <v>2487</v>
      </c>
      <c r="E497" t="s">
        <v>68</v>
      </c>
      <c r="F497" t="s">
        <v>2488</v>
      </c>
    </row>
    <row r="498" spans="2:6" x14ac:dyDescent="0.35">
      <c r="B498">
        <v>3500036808</v>
      </c>
      <c r="C498">
        <v>50</v>
      </c>
      <c r="D498" t="s">
        <v>2489</v>
      </c>
      <c r="E498" t="s">
        <v>68</v>
      </c>
      <c r="F498" t="s">
        <v>2490</v>
      </c>
    </row>
    <row r="499" spans="2:6" x14ac:dyDescent="0.35">
      <c r="B499">
        <v>3500036808</v>
      </c>
      <c r="C499">
        <v>40</v>
      </c>
      <c r="D499" t="s">
        <v>2491</v>
      </c>
      <c r="E499" t="s">
        <v>68</v>
      </c>
      <c r="F499" t="s">
        <v>2492</v>
      </c>
    </row>
    <row r="500" spans="2:6" x14ac:dyDescent="0.35">
      <c r="B500">
        <v>3500036808</v>
      </c>
      <c r="C500">
        <v>30</v>
      </c>
      <c r="D500" t="s">
        <v>2493</v>
      </c>
      <c r="E500" t="s">
        <v>68</v>
      </c>
      <c r="F500" t="s">
        <v>2494</v>
      </c>
    </row>
    <row r="501" spans="2:6" x14ac:dyDescent="0.35">
      <c r="B501">
        <v>3500036808</v>
      </c>
      <c r="C501">
        <v>20</v>
      </c>
      <c r="D501" t="s">
        <v>2495</v>
      </c>
      <c r="E501" t="s">
        <v>68</v>
      </c>
      <c r="F501" t="s">
        <v>2496</v>
      </c>
    </row>
    <row r="502" spans="2:6" x14ac:dyDescent="0.35">
      <c r="B502">
        <v>3500036808</v>
      </c>
      <c r="C502">
        <v>10</v>
      </c>
      <c r="D502" t="s">
        <v>2497</v>
      </c>
      <c r="E502" t="s">
        <v>68</v>
      </c>
      <c r="F502" t="s">
        <v>2498</v>
      </c>
    </row>
    <row r="503" spans="2:6" x14ac:dyDescent="0.35">
      <c r="B503">
        <v>3500036807</v>
      </c>
      <c r="C503">
        <v>10</v>
      </c>
      <c r="D503" t="s">
        <v>2499</v>
      </c>
      <c r="E503" t="s">
        <v>68</v>
      </c>
      <c r="F503" t="s">
        <v>2500</v>
      </c>
    </row>
    <row r="504" spans="2:6" x14ac:dyDescent="0.35">
      <c r="B504">
        <v>3500036806</v>
      </c>
      <c r="C504">
        <v>10</v>
      </c>
      <c r="D504" t="s">
        <v>2501</v>
      </c>
      <c r="E504" t="s">
        <v>68</v>
      </c>
      <c r="F504" t="s">
        <v>2502</v>
      </c>
    </row>
    <row r="505" spans="2:6" x14ac:dyDescent="0.35">
      <c r="B505">
        <v>3500036804</v>
      </c>
      <c r="C505">
        <v>10</v>
      </c>
      <c r="D505" t="s">
        <v>2503</v>
      </c>
      <c r="E505" t="s">
        <v>68</v>
      </c>
      <c r="F505" t="s">
        <v>2504</v>
      </c>
    </row>
    <row r="506" spans="2:6" x14ac:dyDescent="0.35">
      <c r="B506">
        <v>3500036801</v>
      </c>
      <c r="C506">
        <v>10</v>
      </c>
      <c r="D506" t="s">
        <v>1629</v>
      </c>
      <c r="E506" t="s">
        <v>68</v>
      </c>
      <c r="F506" t="s">
        <v>2505</v>
      </c>
    </row>
    <row r="507" spans="2:6" x14ac:dyDescent="0.35">
      <c r="B507">
        <v>3500036800</v>
      </c>
      <c r="C507">
        <v>10</v>
      </c>
      <c r="D507" t="s">
        <v>2506</v>
      </c>
      <c r="E507" t="s">
        <v>68</v>
      </c>
      <c r="F507" t="s">
        <v>2507</v>
      </c>
    </row>
    <row r="508" spans="2:6" x14ac:dyDescent="0.35">
      <c r="B508">
        <v>3500036789</v>
      </c>
      <c r="C508">
        <v>30</v>
      </c>
      <c r="D508" t="s">
        <v>2508</v>
      </c>
      <c r="E508" t="s">
        <v>68</v>
      </c>
      <c r="F508" t="s">
        <v>2509</v>
      </c>
    </row>
    <row r="509" spans="2:6" x14ac:dyDescent="0.35">
      <c r="B509">
        <v>3500036789</v>
      </c>
      <c r="C509">
        <v>20</v>
      </c>
      <c r="D509" t="s">
        <v>2510</v>
      </c>
      <c r="E509" t="s">
        <v>68</v>
      </c>
      <c r="F509" t="s">
        <v>2511</v>
      </c>
    </row>
    <row r="510" spans="2:6" x14ac:dyDescent="0.35">
      <c r="B510">
        <v>3500036789</v>
      </c>
      <c r="C510">
        <v>10</v>
      </c>
      <c r="D510" t="s">
        <v>2512</v>
      </c>
      <c r="E510" t="s">
        <v>68</v>
      </c>
      <c r="F510" t="s">
        <v>2513</v>
      </c>
    </row>
    <row r="511" spans="2:6" x14ac:dyDescent="0.35">
      <c r="B511">
        <v>3500036753</v>
      </c>
      <c r="C511">
        <v>10</v>
      </c>
      <c r="D511" t="s">
        <v>2514</v>
      </c>
      <c r="E511" t="s">
        <v>68</v>
      </c>
      <c r="F511" t="s">
        <v>2515</v>
      </c>
    </row>
    <row r="512" spans="2:6" x14ac:dyDescent="0.35">
      <c r="B512">
        <v>3500036752</v>
      </c>
      <c r="C512">
        <v>20</v>
      </c>
      <c r="D512" t="s">
        <v>2516</v>
      </c>
      <c r="E512" t="s">
        <v>68</v>
      </c>
      <c r="F512" t="s">
        <v>2517</v>
      </c>
    </row>
    <row r="513" spans="2:6" x14ac:dyDescent="0.35">
      <c r="B513">
        <v>3500036752</v>
      </c>
      <c r="C513">
        <v>10</v>
      </c>
      <c r="D513" t="s">
        <v>2518</v>
      </c>
      <c r="E513" t="s">
        <v>68</v>
      </c>
      <c r="F513" t="s">
        <v>2519</v>
      </c>
    </row>
    <row r="514" spans="2:6" x14ac:dyDescent="0.35">
      <c r="B514">
        <v>3500036750</v>
      </c>
      <c r="C514">
        <v>10</v>
      </c>
      <c r="D514" t="s">
        <v>1629</v>
      </c>
      <c r="E514" t="s">
        <v>68</v>
      </c>
      <c r="F514" t="s">
        <v>2520</v>
      </c>
    </row>
    <row r="515" spans="2:6" x14ac:dyDescent="0.35">
      <c r="B515">
        <v>3500036749</v>
      </c>
      <c r="C515">
        <v>10</v>
      </c>
      <c r="D515" t="s">
        <v>1629</v>
      </c>
      <c r="E515" t="s">
        <v>68</v>
      </c>
      <c r="F515" t="s">
        <v>2521</v>
      </c>
    </row>
    <row r="516" spans="2:6" x14ac:dyDescent="0.35">
      <c r="B516">
        <v>3500036748</v>
      </c>
      <c r="C516">
        <v>10</v>
      </c>
      <c r="D516" t="s">
        <v>1629</v>
      </c>
      <c r="E516" t="s">
        <v>68</v>
      </c>
      <c r="F516" t="s">
        <v>2522</v>
      </c>
    </row>
    <row r="517" spans="2:6" x14ac:dyDescent="0.35">
      <c r="B517">
        <v>3500036747</v>
      </c>
      <c r="C517">
        <v>10</v>
      </c>
      <c r="D517" t="s">
        <v>1629</v>
      </c>
      <c r="E517" t="s">
        <v>68</v>
      </c>
      <c r="F517" t="s">
        <v>2523</v>
      </c>
    </row>
    <row r="518" spans="2:6" x14ac:dyDescent="0.35">
      <c r="B518">
        <v>3500036746</v>
      </c>
      <c r="C518">
        <v>10</v>
      </c>
      <c r="D518" t="s">
        <v>1629</v>
      </c>
      <c r="E518" t="s">
        <v>68</v>
      </c>
      <c r="F518" t="s">
        <v>2524</v>
      </c>
    </row>
    <row r="519" spans="2:6" x14ac:dyDescent="0.35">
      <c r="B519">
        <v>3500036744</v>
      </c>
      <c r="C519">
        <v>10</v>
      </c>
      <c r="D519" t="s">
        <v>2525</v>
      </c>
      <c r="E519" t="s">
        <v>68</v>
      </c>
      <c r="F519" t="s">
        <v>2526</v>
      </c>
    </row>
    <row r="520" spans="2:6" x14ac:dyDescent="0.35">
      <c r="B520">
        <v>3500036743</v>
      </c>
      <c r="C520">
        <v>90</v>
      </c>
      <c r="D520" t="s">
        <v>2527</v>
      </c>
      <c r="E520" t="s">
        <v>68</v>
      </c>
      <c r="F520" t="s">
        <v>2528</v>
      </c>
    </row>
    <row r="521" spans="2:6" x14ac:dyDescent="0.35">
      <c r="B521">
        <v>3500036743</v>
      </c>
      <c r="C521">
        <v>80</v>
      </c>
      <c r="D521" t="s">
        <v>2529</v>
      </c>
      <c r="E521" t="s">
        <v>68</v>
      </c>
      <c r="F521" t="s">
        <v>2530</v>
      </c>
    </row>
    <row r="522" spans="2:6" x14ac:dyDescent="0.35">
      <c r="B522">
        <v>3500036743</v>
      </c>
      <c r="C522">
        <v>70</v>
      </c>
      <c r="D522" t="s">
        <v>2531</v>
      </c>
      <c r="E522" t="s">
        <v>68</v>
      </c>
      <c r="F522" t="s">
        <v>2532</v>
      </c>
    </row>
    <row r="523" spans="2:6" x14ac:dyDescent="0.35">
      <c r="B523">
        <v>3500036743</v>
      </c>
      <c r="C523">
        <v>60</v>
      </c>
      <c r="D523" t="s">
        <v>2533</v>
      </c>
      <c r="E523" t="s">
        <v>68</v>
      </c>
      <c r="F523" t="s">
        <v>2534</v>
      </c>
    </row>
    <row r="524" spans="2:6" x14ac:dyDescent="0.35">
      <c r="B524">
        <v>3500036743</v>
      </c>
      <c r="C524">
        <v>50</v>
      </c>
      <c r="D524" t="s">
        <v>2535</v>
      </c>
      <c r="E524" t="s">
        <v>68</v>
      </c>
      <c r="F524" t="s">
        <v>2536</v>
      </c>
    </row>
    <row r="525" spans="2:6" x14ac:dyDescent="0.35">
      <c r="B525">
        <v>3500036743</v>
      </c>
      <c r="C525">
        <v>40</v>
      </c>
      <c r="D525" t="s">
        <v>2537</v>
      </c>
      <c r="E525" t="s">
        <v>68</v>
      </c>
      <c r="F525" t="s">
        <v>2538</v>
      </c>
    </row>
    <row r="526" spans="2:6" x14ac:dyDescent="0.35">
      <c r="B526">
        <v>3500036743</v>
      </c>
      <c r="C526">
        <v>30</v>
      </c>
      <c r="D526" t="s">
        <v>2539</v>
      </c>
      <c r="E526" t="s">
        <v>68</v>
      </c>
      <c r="F526" t="s">
        <v>2540</v>
      </c>
    </row>
    <row r="527" spans="2:6" x14ac:dyDescent="0.35">
      <c r="B527">
        <v>3500036743</v>
      </c>
      <c r="C527">
        <v>20</v>
      </c>
      <c r="D527" t="s">
        <v>2541</v>
      </c>
      <c r="E527" t="s">
        <v>68</v>
      </c>
      <c r="F527" t="s">
        <v>2542</v>
      </c>
    </row>
    <row r="528" spans="2:6" x14ac:dyDescent="0.35">
      <c r="B528">
        <v>3500036743</v>
      </c>
      <c r="C528">
        <v>10</v>
      </c>
      <c r="D528" t="s">
        <v>2543</v>
      </c>
      <c r="E528" t="s">
        <v>68</v>
      </c>
      <c r="F528" t="s">
        <v>2544</v>
      </c>
    </row>
    <row r="529" spans="2:6" x14ac:dyDescent="0.35">
      <c r="B529">
        <v>3500036742</v>
      </c>
      <c r="C529">
        <v>80</v>
      </c>
      <c r="D529" t="s">
        <v>2545</v>
      </c>
      <c r="E529" t="s">
        <v>68</v>
      </c>
      <c r="F529" t="s">
        <v>2546</v>
      </c>
    </row>
    <row r="530" spans="2:6" x14ac:dyDescent="0.35">
      <c r="B530">
        <v>3500036742</v>
      </c>
      <c r="C530">
        <v>70</v>
      </c>
      <c r="D530" t="s">
        <v>2547</v>
      </c>
      <c r="E530" t="s">
        <v>68</v>
      </c>
      <c r="F530" t="s">
        <v>2548</v>
      </c>
    </row>
    <row r="531" spans="2:6" x14ac:dyDescent="0.35">
      <c r="B531">
        <v>3500036742</v>
      </c>
      <c r="C531">
        <v>60</v>
      </c>
      <c r="D531" t="s">
        <v>2533</v>
      </c>
      <c r="E531" t="s">
        <v>68</v>
      </c>
      <c r="F531" t="s">
        <v>2549</v>
      </c>
    </row>
    <row r="532" spans="2:6" x14ac:dyDescent="0.35">
      <c r="B532">
        <v>3500036742</v>
      </c>
      <c r="C532">
        <v>50</v>
      </c>
      <c r="D532" t="s">
        <v>2535</v>
      </c>
      <c r="E532" t="s">
        <v>68</v>
      </c>
      <c r="F532" t="s">
        <v>2550</v>
      </c>
    </row>
    <row r="533" spans="2:6" x14ac:dyDescent="0.35">
      <c r="B533">
        <v>3500036742</v>
      </c>
      <c r="C533">
        <v>40</v>
      </c>
      <c r="D533" t="s">
        <v>2551</v>
      </c>
      <c r="E533" t="s">
        <v>68</v>
      </c>
      <c r="F533" t="s">
        <v>2552</v>
      </c>
    </row>
    <row r="534" spans="2:6" x14ac:dyDescent="0.35">
      <c r="B534">
        <v>3500036742</v>
      </c>
      <c r="C534">
        <v>30</v>
      </c>
      <c r="D534" t="s">
        <v>2553</v>
      </c>
      <c r="E534" t="s">
        <v>68</v>
      </c>
      <c r="F534" t="s">
        <v>2554</v>
      </c>
    </row>
    <row r="535" spans="2:6" x14ac:dyDescent="0.35">
      <c r="B535">
        <v>3500036742</v>
      </c>
      <c r="C535">
        <v>20</v>
      </c>
      <c r="D535" t="s">
        <v>2555</v>
      </c>
      <c r="E535" t="s">
        <v>68</v>
      </c>
      <c r="F535" t="s">
        <v>2556</v>
      </c>
    </row>
    <row r="536" spans="2:6" x14ac:dyDescent="0.35">
      <c r="B536">
        <v>3500036742</v>
      </c>
      <c r="C536">
        <v>10</v>
      </c>
      <c r="D536" t="s">
        <v>2557</v>
      </c>
      <c r="E536" t="s">
        <v>68</v>
      </c>
      <c r="F536" t="s">
        <v>2558</v>
      </c>
    </row>
    <row r="537" spans="2:6" x14ac:dyDescent="0.35">
      <c r="B537">
        <v>3500036741</v>
      </c>
      <c r="C537">
        <v>90</v>
      </c>
      <c r="D537" t="s">
        <v>2559</v>
      </c>
      <c r="E537" t="s">
        <v>68</v>
      </c>
      <c r="F537" t="s">
        <v>2560</v>
      </c>
    </row>
    <row r="538" spans="2:6" x14ac:dyDescent="0.35">
      <c r="B538">
        <v>3500036741</v>
      </c>
      <c r="C538">
        <v>80</v>
      </c>
      <c r="D538" t="s">
        <v>2561</v>
      </c>
      <c r="E538" t="s">
        <v>68</v>
      </c>
      <c r="F538" t="s">
        <v>2562</v>
      </c>
    </row>
    <row r="539" spans="2:6" x14ac:dyDescent="0.35">
      <c r="B539">
        <v>3500036741</v>
      </c>
      <c r="C539">
        <v>70</v>
      </c>
      <c r="D539" t="s">
        <v>2563</v>
      </c>
      <c r="E539" t="s">
        <v>68</v>
      </c>
      <c r="F539" t="s">
        <v>2564</v>
      </c>
    </row>
    <row r="540" spans="2:6" x14ac:dyDescent="0.35">
      <c r="B540">
        <v>3500036741</v>
      </c>
      <c r="C540">
        <v>60</v>
      </c>
      <c r="D540" t="s">
        <v>2565</v>
      </c>
      <c r="E540" t="s">
        <v>68</v>
      </c>
      <c r="F540" t="s">
        <v>2566</v>
      </c>
    </row>
    <row r="541" spans="2:6" x14ac:dyDescent="0.35">
      <c r="B541">
        <v>3500036741</v>
      </c>
      <c r="C541">
        <v>50</v>
      </c>
      <c r="D541" t="s">
        <v>2567</v>
      </c>
      <c r="E541" t="s">
        <v>68</v>
      </c>
      <c r="F541" t="s">
        <v>2568</v>
      </c>
    </row>
    <row r="542" spans="2:6" x14ac:dyDescent="0.35">
      <c r="B542">
        <v>3500036741</v>
      </c>
      <c r="C542">
        <v>40</v>
      </c>
      <c r="D542" t="s">
        <v>2569</v>
      </c>
      <c r="E542" t="s">
        <v>68</v>
      </c>
      <c r="F542" t="s">
        <v>2570</v>
      </c>
    </row>
    <row r="543" spans="2:6" x14ac:dyDescent="0.35">
      <c r="B543">
        <v>3500036741</v>
      </c>
      <c r="C543">
        <v>30</v>
      </c>
      <c r="D543" t="s">
        <v>2571</v>
      </c>
      <c r="E543" t="s">
        <v>68</v>
      </c>
      <c r="F543" t="s">
        <v>2572</v>
      </c>
    </row>
    <row r="544" spans="2:6" x14ac:dyDescent="0.35">
      <c r="B544">
        <v>3500036741</v>
      </c>
      <c r="C544">
        <v>20</v>
      </c>
      <c r="D544" t="s">
        <v>2573</v>
      </c>
      <c r="E544" t="s">
        <v>68</v>
      </c>
      <c r="F544" t="s">
        <v>2574</v>
      </c>
    </row>
    <row r="545" spans="2:6" x14ac:dyDescent="0.35">
      <c r="B545">
        <v>3500036741</v>
      </c>
      <c r="C545">
        <v>160</v>
      </c>
      <c r="D545" t="s">
        <v>2575</v>
      </c>
      <c r="E545" t="s">
        <v>68</v>
      </c>
      <c r="F545" t="s">
        <v>2576</v>
      </c>
    </row>
    <row r="546" spans="2:6" x14ac:dyDescent="0.35">
      <c r="B546">
        <v>3500036741</v>
      </c>
      <c r="C546">
        <v>150</v>
      </c>
      <c r="D546" t="s">
        <v>2577</v>
      </c>
      <c r="E546" t="s">
        <v>68</v>
      </c>
      <c r="F546" t="s">
        <v>2578</v>
      </c>
    </row>
    <row r="547" spans="2:6" x14ac:dyDescent="0.35">
      <c r="B547">
        <v>3500036741</v>
      </c>
      <c r="C547">
        <v>140</v>
      </c>
      <c r="D547" t="s">
        <v>2535</v>
      </c>
      <c r="E547" t="s">
        <v>68</v>
      </c>
      <c r="F547" t="s">
        <v>2579</v>
      </c>
    </row>
    <row r="548" spans="2:6" x14ac:dyDescent="0.35">
      <c r="B548">
        <v>3500036741</v>
      </c>
      <c r="C548">
        <v>130</v>
      </c>
      <c r="D548" t="s">
        <v>2580</v>
      </c>
      <c r="E548" t="s">
        <v>68</v>
      </c>
      <c r="F548" t="s">
        <v>2581</v>
      </c>
    </row>
    <row r="549" spans="2:6" x14ac:dyDescent="0.35">
      <c r="B549">
        <v>3500036741</v>
      </c>
      <c r="C549">
        <v>120</v>
      </c>
      <c r="D549" t="s">
        <v>2531</v>
      </c>
      <c r="E549" t="s">
        <v>68</v>
      </c>
      <c r="F549" t="s">
        <v>2582</v>
      </c>
    </row>
    <row r="550" spans="2:6" x14ac:dyDescent="0.35">
      <c r="B550">
        <v>3500036741</v>
      </c>
      <c r="C550">
        <v>110</v>
      </c>
      <c r="D550" t="s">
        <v>2583</v>
      </c>
      <c r="E550" t="s">
        <v>68</v>
      </c>
      <c r="F550" t="s">
        <v>2584</v>
      </c>
    </row>
    <row r="551" spans="2:6" x14ac:dyDescent="0.35">
      <c r="B551">
        <v>3500036741</v>
      </c>
      <c r="C551">
        <v>100</v>
      </c>
      <c r="D551" t="s">
        <v>2585</v>
      </c>
      <c r="E551" t="s">
        <v>68</v>
      </c>
      <c r="F551" t="s">
        <v>2586</v>
      </c>
    </row>
    <row r="552" spans="2:6" x14ac:dyDescent="0.35">
      <c r="B552">
        <v>3500036741</v>
      </c>
      <c r="C552">
        <v>10</v>
      </c>
      <c r="D552" t="s">
        <v>2587</v>
      </c>
      <c r="E552" t="s">
        <v>68</v>
      </c>
      <c r="F552" t="s">
        <v>2588</v>
      </c>
    </row>
    <row r="553" spans="2:6" x14ac:dyDescent="0.35">
      <c r="B553">
        <v>3500036740</v>
      </c>
      <c r="C553">
        <v>90</v>
      </c>
      <c r="D553" t="s">
        <v>2533</v>
      </c>
      <c r="E553" t="s">
        <v>68</v>
      </c>
      <c r="F553" t="s">
        <v>2589</v>
      </c>
    </row>
    <row r="554" spans="2:6" x14ac:dyDescent="0.35">
      <c r="B554">
        <v>3500036740</v>
      </c>
      <c r="C554">
        <v>80</v>
      </c>
      <c r="D554" t="s">
        <v>2590</v>
      </c>
      <c r="E554" t="s">
        <v>68</v>
      </c>
      <c r="F554" t="s">
        <v>2591</v>
      </c>
    </row>
    <row r="555" spans="2:6" x14ac:dyDescent="0.35">
      <c r="B555">
        <v>3500036740</v>
      </c>
      <c r="C555">
        <v>70</v>
      </c>
      <c r="D555" t="s">
        <v>2592</v>
      </c>
      <c r="E555" t="s">
        <v>68</v>
      </c>
      <c r="F555" t="s">
        <v>2593</v>
      </c>
    </row>
    <row r="556" spans="2:6" x14ac:dyDescent="0.35">
      <c r="B556">
        <v>3500036740</v>
      </c>
      <c r="C556">
        <v>60</v>
      </c>
      <c r="D556" t="s">
        <v>2539</v>
      </c>
      <c r="E556" t="s">
        <v>68</v>
      </c>
      <c r="F556" t="s">
        <v>2594</v>
      </c>
    </row>
    <row r="557" spans="2:6" x14ac:dyDescent="0.35">
      <c r="B557">
        <v>3500036740</v>
      </c>
      <c r="C557">
        <v>50</v>
      </c>
      <c r="D557" t="s">
        <v>2595</v>
      </c>
      <c r="E557" t="s">
        <v>68</v>
      </c>
      <c r="F557" t="s">
        <v>2596</v>
      </c>
    </row>
    <row r="558" spans="2:6" x14ac:dyDescent="0.35">
      <c r="B558">
        <v>3500036740</v>
      </c>
      <c r="C558">
        <v>40</v>
      </c>
      <c r="D558" t="s">
        <v>2595</v>
      </c>
      <c r="E558" t="s">
        <v>68</v>
      </c>
      <c r="F558" t="s">
        <v>2596</v>
      </c>
    </row>
    <row r="559" spans="2:6" x14ac:dyDescent="0.35">
      <c r="B559">
        <v>3500036740</v>
      </c>
      <c r="C559">
        <v>30</v>
      </c>
      <c r="D559" t="s">
        <v>2597</v>
      </c>
      <c r="E559" t="s">
        <v>68</v>
      </c>
      <c r="F559" t="s">
        <v>2598</v>
      </c>
    </row>
    <row r="560" spans="2:6" x14ac:dyDescent="0.35">
      <c r="B560">
        <v>3500036740</v>
      </c>
      <c r="C560">
        <v>20</v>
      </c>
      <c r="D560" t="s">
        <v>2599</v>
      </c>
      <c r="E560" t="s">
        <v>68</v>
      </c>
      <c r="F560" t="s">
        <v>2600</v>
      </c>
    </row>
    <row r="561" spans="2:6" x14ac:dyDescent="0.35">
      <c r="B561">
        <v>3500036740</v>
      </c>
      <c r="C561">
        <v>120</v>
      </c>
      <c r="D561" t="s">
        <v>2601</v>
      </c>
      <c r="E561" t="s">
        <v>68</v>
      </c>
      <c r="F561" t="s">
        <v>2602</v>
      </c>
    </row>
    <row r="562" spans="2:6" x14ac:dyDescent="0.35">
      <c r="B562">
        <v>3500036740</v>
      </c>
      <c r="C562">
        <v>110</v>
      </c>
      <c r="D562" t="s">
        <v>2577</v>
      </c>
      <c r="E562" t="s">
        <v>68</v>
      </c>
      <c r="F562" t="s">
        <v>2603</v>
      </c>
    </row>
    <row r="563" spans="2:6" x14ac:dyDescent="0.35">
      <c r="B563">
        <v>3500036740</v>
      </c>
      <c r="C563">
        <v>100</v>
      </c>
      <c r="D563" t="s">
        <v>2580</v>
      </c>
      <c r="E563" t="s">
        <v>68</v>
      </c>
      <c r="F563" t="s">
        <v>2604</v>
      </c>
    </row>
    <row r="564" spans="2:6" x14ac:dyDescent="0.35">
      <c r="B564">
        <v>3500036740</v>
      </c>
      <c r="C564">
        <v>10</v>
      </c>
      <c r="D564" t="s">
        <v>2605</v>
      </c>
      <c r="E564" t="s">
        <v>68</v>
      </c>
      <c r="F564" t="s">
        <v>2606</v>
      </c>
    </row>
    <row r="565" spans="2:6" x14ac:dyDescent="0.35">
      <c r="B565">
        <v>3500036739</v>
      </c>
      <c r="C565">
        <v>90</v>
      </c>
      <c r="D565" t="s">
        <v>2607</v>
      </c>
      <c r="E565" t="s">
        <v>68</v>
      </c>
      <c r="F565" t="s">
        <v>2608</v>
      </c>
    </row>
    <row r="566" spans="2:6" x14ac:dyDescent="0.35">
      <c r="B566">
        <v>3500036739</v>
      </c>
      <c r="C566">
        <v>80</v>
      </c>
      <c r="D566" t="s">
        <v>2577</v>
      </c>
      <c r="E566" t="s">
        <v>68</v>
      </c>
      <c r="F566" t="s">
        <v>2609</v>
      </c>
    </row>
    <row r="567" spans="2:6" x14ac:dyDescent="0.35">
      <c r="B567">
        <v>3500036739</v>
      </c>
      <c r="C567">
        <v>70</v>
      </c>
      <c r="D567" t="s">
        <v>2535</v>
      </c>
      <c r="E567" t="s">
        <v>68</v>
      </c>
      <c r="F567" t="s">
        <v>2610</v>
      </c>
    </row>
    <row r="568" spans="2:6" x14ac:dyDescent="0.35">
      <c r="B568">
        <v>3500036739</v>
      </c>
      <c r="C568">
        <v>60</v>
      </c>
      <c r="D568" t="s">
        <v>2580</v>
      </c>
      <c r="E568" t="s">
        <v>68</v>
      </c>
      <c r="F568" t="s">
        <v>2611</v>
      </c>
    </row>
    <row r="569" spans="2:6" x14ac:dyDescent="0.35">
      <c r="B569">
        <v>3500036739</v>
      </c>
      <c r="C569">
        <v>50</v>
      </c>
      <c r="D569" t="s">
        <v>2612</v>
      </c>
      <c r="E569" t="s">
        <v>68</v>
      </c>
      <c r="F569" t="s">
        <v>2613</v>
      </c>
    </row>
    <row r="570" spans="2:6" x14ac:dyDescent="0.35">
      <c r="B570">
        <v>3500036739</v>
      </c>
      <c r="C570">
        <v>40</v>
      </c>
      <c r="D570" t="s">
        <v>2614</v>
      </c>
      <c r="E570" t="s">
        <v>68</v>
      </c>
      <c r="F570" t="s">
        <v>2615</v>
      </c>
    </row>
    <row r="571" spans="2:6" x14ac:dyDescent="0.35">
      <c r="B571">
        <v>3500036739</v>
      </c>
      <c r="C571">
        <v>30</v>
      </c>
      <c r="D571" t="s">
        <v>2616</v>
      </c>
      <c r="E571" t="s">
        <v>68</v>
      </c>
      <c r="F571" t="s">
        <v>2617</v>
      </c>
    </row>
    <row r="572" spans="2:6" x14ac:dyDescent="0.35">
      <c r="B572">
        <v>3500036739</v>
      </c>
      <c r="C572">
        <v>20</v>
      </c>
      <c r="D572" t="s">
        <v>2618</v>
      </c>
      <c r="E572" t="s">
        <v>68</v>
      </c>
      <c r="F572" t="s">
        <v>2619</v>
      </c>
    </row>
    <row r="573" spans="2:6" x14ac:dyDescent="0.35">
      <c r="B573">
        <v>3500036739</v>
      </c>
      <c r="C573">
        <v>100</v>
      </c>
      <c r="D573" t="s">
        <v>2620</v>
      </c>
      <c r="E573" t="s">
        <v>68</v>
      </c>
      <c r="F573" t="s">
        <v>2621</v>
      </c>
    </row>
    <row r="574" spans="2:6" x14ac:dyDescent="0.35">
      <c r="B574">
        <v>3500036739</v>
      </c>
      <c r="C574">
        <v>10</v>
      </c>
      <c r="D574" t="s">
        <v>2557</v>
      </c>
      <c r="E574" t="s">
        <v>68</v>
      </c>
      <c r="F574" t="s">
        <v>2622</v>
      </c>
    </row>
    <row r="575" spans="2:6" x14ac:dyDescent="0.35">
      <c r="B575">
        <v>3500036738</v>
      </c>
      <c r="C575">
        <v>10</v>
      </c>
      <c r="D575" t="s">
        <v>2623</v>
      </c>
      <c r="E575" t="s">
        <v>68</v>
      </c>
      <c r="F575" t="s">
        <v>2624</v>
      </c>
    </row>
    <row r="576" spans="2:6" x14ac:dyDescent="0.35">
      <c r="B576">
        <v>3500036737</v>
      </c>
      <c r="C576">
        <v>70</v>
      </c>
      <c r="D576" t="s">
        <v>2625</v>
      </c>
      <c r="E576" t="s">
        <v>68</v>
      </c>
      <c r="F576" t="s">
        <v>2626</v>
      </c>
    </row>
    <row r="577" spans="2:6" x14ac:dyDescent="0.35">
      <c r="B577">
        <v>3500036737</v>
      </c>
      <c r="C577">
        <v>60</v>
      </c>
      <c r="D577" t="s">
        <v>2580</v>
      </c>
      <c r="E577" t="s">
        <v>68</v>
      </c>
      <c r="F577" t="s">
        <v>2627</v>
      </c>
    </row>
    <row r="578" spans="2:6" x14ac:dyDescent="0.35">
      <c r="B578">
        <v>3500036737</v>
      </c>
      <c r="C578">
        <v>50</v>
      </c>
      <c r="D578" t="s">
        <v>2628</v>
      </c>
      <c r="E578" t="s">
        <v>68</v>
      </c>
      <c r="F578" t="s">
        <v>2629</v>
      </c>
    </row>
    <row r="579" spans="2:6" x14ac:dyDescent="0.35">
      <c r="B579">
        <v>3500036737</v>
      </c>
      <c r="C579">
        <v>40</v>
      </c>
      <c r="D579" t="s">
        <v>2630</v>
      </c>
      <c r="E579" t="s">
        <v>68</v>
      </c>
      <c r="F579" t="s">
        <v>2631</v>
      </c>
    </row>
    <row r="580" spans="2:6" x14ac:dyDescent="0.35">
      <c r="B580">
        <v>3500036737</v>
      </c>
      <c r="C580">
        <v>30</v>
      </c>
      <c r="D580" t="s">
        <v>2632</v>
      </c>
      <c r="E580" t="s">
        <v>68</v>
      </c>
      <c r="F580" t="s">
        <v>2633</v>
      </c>
    </row>
    <row r="581" spans="2:6" x14ac:dyDescent="0.35">
      <c r="B581">
        <v>3500036737</v>
      </c>
      <c r="C581">
        <v>20</v>
      </c>
      <c r="D581" t="s">
        <v>2634</v>
      </c>
      <c r="E581" t="s">
        <v>68</v>
      </c>
      <c r="F581" t="s">
        <v>2635</v>
      </c>
    </row>
    <row r="582" spans="2:6" x14ac:dyDescent="0.35">
      <c r="B582">
        <v>3500036737</v>
      </c>
      <c r="C582">
        <v>10</v>
      </c>
      <c r="D582" t="s">
        <v>2636</v>
      </c>
      <c r="E582" t="s">
        <v>68</v>
      </c>
      <c r="F582" t="s">
        <v>2637</v>
      </c>
    </row>
    <row r="583" spans="2:6" x14ac:dyDescent="0.35">
      <c r="B583">
        <v>3500036685</v>
      </c>
      <c r="C583">
        <v>10</v>
      </c>
      <c r="D583" t="s">
        <v>1629</v>
      </c>
      <c r="E583" t="s">
        <v>68</v>
      </c>
      <c r="F583" t="s">
        <v>2638</v>
      </c>
    </row>
    <row r="584" spans="2:6" x14ac:dyDescent="0.35">
      <c r="B584">
        <v>3500036684</v>
      </c>
      <c r="C584">
        <v>70</v>
      </c>
      <c r="D584" t="s">
        <v>2639</v>
      </c>
      <c r="E584" t="s">
        <v>68</v>
      </c>
      <c r="F584" t="s">
        <v>2640</v>
      </c>
    </row>
    <row r="585" spans="2:6" x14ac:dyDescent="0.35">
      <c r="B585">
        <v>3500036684</v>
      </c>
      <c r="C585">
        <v>60</v>
      </c>
      <c r="D585" t="s">
        <v>2641</v>
      </c>
      <c r="E585" t="s">
        <v>68</v>
      </c>
      <c r="F585" t="s">
        <v>2642</v>
      </c>
    </row>
    <row r="586" spans="2:6" x14ac:dyDescent="0.35">
      <c r="B586">
        <v>3500036684</v>
      </c>
      <c r="C586">
        <v>50</v>
      </c>
      <c r="D586" t="s">
        <v>2643</v>
      </c>
      <c r="E586" t="s">
        <v>68</v>
      </c>
      <c r="F586" t="s">
        <v>2644</v>
      </c>
    </row>
    <row r="587" spans="2:6" x14ac:dyDescent="0.35">
      <c r="B587">
        <v>3500036684</v>
      </c>
      <c r="C587">
        <v>40</v>
      </c>
      <c r="D587" t="s">
        <v>2645</v>
      </c>
      <c r="E587" t="s">
        <v>68</v>
      </c>
      <c r="F587" t="s">
        <v>2646</v>
      </c>
    </row>
    <row r="588" spans="2:6" x14ac:dyDescent="0.35">
      <c r="B588">
        <v>3500036684</v>
      </c>
      <c r="C588">
        <v>30</v>
      </c>
      <c r="D588" t="s">
        <v>2647</v>
      </c>
      <c r="E588" t="s">
        <v>68</v>
      </c>
      <c r="F588" t="s">
        <v>2648</v>
      </c>
    </row>
    <row r="589" spans="2:6" x14ac:dyDescent="0.35">
      <c r="B589">
        <v>3500036684</v>
      </c>
      <c r="C589">
        <v>20</v>
      </c>
      <c r="D589" t="s">
        <v>2649</v>
      </c>
      <c r="E589" t="s">
        <v>68</v>
      </c>
      <c r="F589" t="s">
        <v>2650</v>
      </c>
    </row>
    <row r="590" spans="2:6" x14ac:dyDescent="0.35">
      <c r="B590">
        <v>3500036684</v>
      </c>
      <c r="C590">
        <v>10</v>
      </c>
      <c r="D590" t="s">
        <v>42</v>
      </c>
      <c r="E590" t="s">
        <v>68</v>
      </c>
      <c r="F590" t="s">
        <v>2651</v>
      </c>
    </row>
    <row r="591" spans="2:6" x14ac:dyDescent="0.35">
      <c r="B591">
        <v>3500036679</v>
      </c>
      <c r="C591">
        <v>10</v>
      </c>
      <c r="D591" t="s">
        <v>2652</v>
      </c>
      <c r="E591" t="s">
        <v>68</v>
      </c>
      <c r="F591" t="s">
        <v>2653</v>
      </c>
    </row>
    <row r="592" spans="2:6" x14ac:dyDescent="0.35">
      <c r="B592">
        <v>3500036678</v>
      </c>
      <c r="C592">
        <v>10</v>
      </c>
      <c r="D592" t="s">
        <v>2654</v>
      </c>
      <c r="E592" t="s">
        <v>68</v>
      </c>
      <c r="F592" t="s">
        <v>2655</v>
      </c>
    </row>
    <row r="593" spans="2:6" x14ac:dyDescent="0.35">
      <c r="B593">
        <v>3500036677</v>
      </c>
      <c r="C593">
        <v>60</v>
      </c>
      <c r="D593" t="s">
        <v>2656</v>
      </c>
      <c r="E593" t="s">
        <v>68</v>
      </c>
      <c r="F593" t="s">
        <v>2657</v>
      </c>
    </row>
    <row r="594" spans="2:6" x14ac:dyDescent="0.35">
      <c r="B594">
        <v>3500036677</v>
      </c>
      <c r="C594">
        <v>50</v>
      </c>
      <c r="D594" t="s">
        <v>2656</v>
      </c>
      <c r="E594" t="s">
        <v>68</v>
      </c>
      <c r="F594" t="s">
        <v>2657</v>
      </c>
    </row>
    <row r="595" spans="2:6" x14ac:dyDescent="0.35">
      <c r="B595">
        <v>3500036677</v>
      </c>
      <c r="C595">
        <v>40</v>
      </c>
      <c r="D595" t="s">
        <v>2656</v>
      </c>
      <c r="E595" t="s">
        <v>68</v>
      </c>
      <c r="F595" t="s">
        <v>2657</v>
      </c>
    </row>
    <row r="596" spans="2:6" x14ac:dyDescent="0.35">
      <c r="B596">
        <v>3500036677</v>
      </c>
      <c r="C596">
        <v>30</v>
      </c>
      <c r="D596" t="s">
        <v>2656</v>
      </c>
      <c r="E596" t="s">
        <v>68</v>
      </c>
      <c r="F596" t="s">
        <v>2657</v>
      </c>
    </row>
    <row r="597" spans="2:6" x14ac:dyDescent="0.35">
      <c r="B597">
        <v>3500036677</v>
      </c>
      <c r="C597">
        <v>20</v>
      </c>
      <c r="D597" t="s">
        <v>2656</v>
      </c>
      <c r="E597" t="s">
        <v>68</v>
      </c>
      <c r="F597" t="s">
        <v>2657</v>
      </c>
    </row>
    <row r="598" spans="2:6" x14ac:dyDescent="0.35">
      <c r="B598">
        <v>3500036677</v>
      </c>
      <c r="C598">
        <v>10</v>
      </c>
      <c r="D598" t="s">
        <v>2656</v>
      </c>
      <c r="E598" t="s">
        <v>68</v>
      </c>
      <c r="F598" t="s">
        <v>2657</v>
      </c>
    </row>
    <row r="599" spans="2:6" x14ac:dyDescent="0.35">
      <c r="B599">
        <v>3500036676</v>
      </c>
      <c r="C599">
        <v>10</v>
      </c>
      <c r="D599" t="s">
        <v>2658</v>
      </c>
      <c r="E599" t="s">
        <v>68</v>
      </c>
      <c r="F599" t="s">
        <v>2659</v>
      </c>
    </row>
    <row r="600" spans="2:6" x14ac:dyDescent="0.35">
      <c r="B600">
        <v>3500036675</v>
      </c>
      <c r="C600">
        <v>10</v>
      </c>
      <c r="D600" t="s">
        <v>2660</v>
      </c>
      <c r="E600" t="s">
        <v>68</v>
      </c>
      <c r="F600" t="s">
        <v>2661</v>
      </c>
    </row>
    <row r="601" spans="2:6" x14ac:dyDescent="0.35">
      <c r="B601">
        <v>3500036672</v>
      </c>
      <c r="C601">
        <v>80</v>
      </c>
      <c r="D601" t="s">
        <v>2625</v>
      </c>
      <c r="E601" t="s">
        <v>68</v>
      </c>
      <c r="F601" t="s">
        <v>2662</v>
      </c>
    </row>
    <row r="602" spans="2:6" x14ac:dyDescent="0.35">
      <c r="B602">
        <v>3500036672</v>
      </c>
      <c r="C602">
        <v>70</v>
      </c>
      <c r="D602" t="s">
        <v>2580</v>
      </c>
      <c r="E602" t="s">
        <v>68</v>
      </c>
      <c r="F602" t="s">
        <v>2663</v>
      </c>
    </row>
    <row r="603" spans="2:6" x14ac:dyDescent="0.35">
      <c r="B603">
        <v>3500036672</v>
      </c>
      <c r="C603">
        <v>60</v>
      </c>
      <c r="D603" t="s">
        <v>2664</v>
      </c>
      <c r="E603" t="s">
        <v>68</v>
      </c>
      <c r="F603" t="s">
        <v>2665</v>
      </c>
    </row>
    <row r="604" spans="2:6" x14ac:dyDescent="0.35">
      <c r="B604">
        <v>3500036672</v>
      </c>
      <c r="C604">
        <v>50</v>
      </c>
      <c r="D604" t="s">
        <v>2666</v>
      </c>
      <c r="E604" t="s">
        <v>68</v>
      </c>
      <c r="F604" t="s">
        <v>2667</v>
      </c>
    </row>
    <row r="605" spans="2:6" x14ac:dyDescent="0.35">
      <c r="B605">
        <v>3500036672</v>
      </c>
      <c r="C605">
        <v>40</v>
      </c>
      <c r="D605" t="s">
        <v>2668</v>
      </c>
      <c r="E605" t="s">
        <v>68</v>
      </c>
      <c r="F605" t="s">
        <v>2669</v>
      </c>
    </row>
    <row r="606" spans="2:6" x14ac:dyDescent="0.35">
      <c r="B606">
        <v>3500036672</v>
      </c>
      <c r="C606">
        <v>30</v>
      </c>
      <c r="D606" t="s">
        <v>2670</v>
      </c>
      <c r="E606" t="s">
        <v>68</v>
      </c>
      <c r="F606" t="s">
        <v>2671</v>
      </c>
    </row>
    <row r="607" spans="2:6" x14ac:dyDescent="0.35">
      <c r="B607">
        <v>3500036672</v>
      </c>
      <c r="C607">
        <v>20</v>
      </c>
      <c r="D607" t="s">
        <v>2672</v>
      </c>
      <c r="E607" t="s">
        <v>68</v>
      </c>
      <c r="F607" t="s">
        <v>2673</v>
      </c>
    </row>
    <row r="608" spans="2:6" x14ac:dyDescent="0.35">
      <c r="B608">
        <v>3500036672</v>
      </c>
      <c r="C608">
        <v>10</v>
      </c>
      <c r="D608" t="s">
        <v>2674</v>
      </c>
      <c r="E608" t="s">
        <v>68</v>
      </c>
      <c r="F608" t="s">
        <v>2675</v>
      </c>
    </row>
    <row r="609" spans="2:6" x14ac:dyDescent="0.35">
      <c r="B609">
        <v>3500036665</v>
      </c>
      <c r="C609">
        <v>60</v>
      </c>
      <c r="D609" t="s">
        <v>2625</v>
      </c>
      <c r="E609" t="s">
        <v>68</v>
      </c>
      <c r="F609" t="s">
        <v>2676</v>
      </c>
    </row>
    <row r="610" spans="2:6" x14ac:dyDescent="0.35">
      <c r="B610">
        <v>3500036665</v>
      </c>
      <c r="C610">
        <v>50</v>
      </c>
      <c r="D610" t="s">
        <v>2677</v>
      </c>
      <c r="E610" t="s">
        <v>68</v>
      </c>
      <c r="F610" t="s">
        <v>2678</v>
      </c>
    </row>
    <row r="611" spans="2:6" x14ac:dyDescent="0.35">
      <c r="B611">
        <v>3500036665</v>
      </c>
      <c r="C611">
        <v>40</v>
      </c>
      <c r="D611" t="s">
        <v>2679</v>
      </c>
      <c r="E611" t="s">
        <v>68</v>
      </c>
      <c r="F611" t="s">
        <v>2680</v>
      </c>
    </row>
    <row r="612" spans="2:6" x14ac:dyDescent="0.35">
      <c r="B612">
        <v>3500036665</v>
      </c>
      <c r="C612">
        <v>30</v>
      </c>
      <c r="D612" t="s">
        <v>2681</v>
      </c>
      <c r="E612" t="s">
        <v>68</v>
      </c>
      <c r="F612" t="s">
        <v>2682</v>
      </c>
    </row>
    <row r="613" spans="2:6" x14ac:dyDescent="0.35">
      <c r="B613">
        <v>3500036665</v>
      </c>
      <c r="C613">
        <v>20</v>
      </c>
      <c r="D613" t="s">
        <v>2683</v>
      </c>
      <c r="E613" t="s">
        <v>68</v>
      </c>
      <c r="F613" t="s">
        <v>2684</v>
      </c>
    </row>
    <row r="614" spans="2:6" x14ac:dyDescent="0.35">
      <c r="B614">
        <v>3500036665</v>
      </c>
      <c r="C614">
        <v>10</v>
      </c>
      <c r="D614" t="s">
        <v>2599</v>
      </c>
      <c r="E614" t="s">
        <v>68</v>
      </c>
      <c r="F614" t="s">
        <v>2685</v>
      </c>
    </row>
    <row r="615" spans="2:6" x14ac:dyDescent="0.35">
      <c r="B615">
        <v>3500036664</v>
      </c>
      <c r="C615">
        <v>40</v>
      </c>
      <c r="D615" t="s">
        <v>2686</v>
      </c>
      <c r="E615" t="s">
        <v>68</v>
      </c>
      <c r="F615" t="s">
        <v>2687</v>
      </c>
    </row>
    <row r="616" spans="2:6" x14ac:dyDescent="0.35">
      <c r="B616">
        <v>3500036664</v>
      </c>
      <c r="C616">
        <v>30</v>
      </c>
      <c r="D616" t="s">
        <v>2688</v>
      </c>
      <c r="E616" t="s">
        <v>68</v>
      </c>
      <c r="F616" t="s">
        <v>2689</v>
      </c>
    </row>
    <row r="617" spans="2:6" x14ac:dyDescent="0.35">
      <c r="B617">
        <v>3500036664</v>
      </c>
      <c r="C617">
        <v>20</v>
      </c>
      <c r="D617" t="s">
        <v>2690</v>
      </c>
      <c r="E617" t="s">
        <v>68</v>
      </c>
      <c r="F617" t="s">
        <v>2691</v>
      </c>
    </row>
    <row r="618" spans="2:6" x14ac:dyDescent="0.35">
      <c r="B618">
        <v>3500036664</v>
      </c>
      <c r="C618">
        <v>10</v>
      </c>
      <c r="D618" t="s">
        <v>2543</v>
      </c>
      <c r="E618" t="s">
        <v>68</v>
      </c>
      <c r="F618" t="s">
        <v>2692</v>
      </c>
    </row>
    <row r="619" spans="2:6" x14ac:dyDescent="0.35">
      <c r="B619">
        <v>3500036663</v>
      </c>
      <c r="C619">
        <v>90</v>
      </c>
      <c r="D619" t="s">
        <v>2625</v>
      </c>
      <c r="E619" t="s">
        <v>68</v>
      </c>
      <c r="F619" t="s">
        <v>2693</v>
      </c>
    </row>
    <row r="620" spans="2:6" x14ac:dyDescent="0.35">
      <c r="B620">
        <v>3500036663</v>
      </c>
      <c r="C620">
        <v>80</v>
      </c>
      <c r="D620" t="s">
        <v>2694</v>
      </c>
      <c r="E620" t="s">
        <v>68</v>
      </c>
      <c r="F620" t="s">
        <v>2695</v>
      </c>
    </row>
    <row r="621" spans="2:6" x14ac:dyDescent="0.35">
      <c r="B621">
        <v>3500036663</v>
      </c>
      <c r="C621">
        <v>70</v>
      </c>
      <c r="D621" t="s">
        <v>2696</v>
      </c>
      <c r="E621" t="s">
        <v>68</v>
      </c>
      <c r="F621" t="s">
        <v>2697</v>
      </c>
    </row>
    <row r="622" spans="2:6" x14ac:dyDescent="0.35">
      <c r="B622">
        <v>3500036663</v>
      </c>
      <c r="C622">
        <v>60</v>
      </c>
      <c r="D622" t="s">
        <v>2698</v>
      </c>
      <c r="E622" t="s">
        <v>68</v>
      </c>
      <c r="F622" t="s">
        <v>2699</v>
      </c>
    </row>
    <row r="623" spans="2:6" x14ac:dyDescent="0.35">
      <c r="B623">
        <v>3500036663</v>
      </c>
      <c r="C623">
        <v>50</v>
      </c>
      <c r="D623" t="s">
        <v>2700</v>
      </c>
      <c r="E623" t="s">
        <v>68</v>
      </c>
      <c r="F623" t="s">
        <v>2701</v>
      </c>
    </row>
    <row r="624" spans="2:6" x14ac:dyDescent="0.35">
      <c r="B624">
        <v>3500036663</v>
      </c>
      <c r="C624">
        <v>40</v>
      </c>
      <c r="D624" t="s">
        <v>2702</v>
      </c>
      <c r="E624" t="s">
        <v>68</v>
      </c>
      <c r="F624" t="s">
        <v>2703</v>
      </c>
    </row>
    <row r="625" spans="2:6" x14ac:dyDescent="0.35">
      <c r="B625">
        <v>3500036663</v>
      </c>
      <c r="C625">
        <v>30</v>
      </c>
      <c r="D625" t="s">
        <v>2704</v>
      </c>
      <c r="E625" t="s">
        <v>68</v>
      </c>
      <c r="F625" t="s">
        <v>2705</v>
      </c>
    </row>
    <row r="626" spans="2:6" x14ac:dyDescent="0.35">
      <c r="B626">
        <v>3500036663</v>
      </c>
      <c r="C626">
        <v>20</v>
      </c>
      <c r="D626" t="s">
        <v>2704</v>
      </c>
      <c r="E626" t="s">
        <v>68</v>
      </c>
      <c r="F626" t="s">
        <v>2705</v>
      </c>
    </row>
    <row r="627" spans="2:6" x14ac:dyDescent="0.35">
      <c r="B627">
        <v>3500036663</v>
      </c>
      <c r="C627">
        <v>10</v>
      </c>
      <c r="D627" t="s">
        <v>2706</v>
      </c>
      <c r="E627" t="s">
        <v>68</v>
      </c>
      <c r="F627" t="s">
        <v>2707</v>
      </c>
    </row>
    <row r="628" spans="2:6" x14ac:dyDescent="0.35">
      <c r="B628">
        <v>3500036662</v>
      </c>
      <c r="C628">
        <v>10</v>
      </c>
      <c r="D628" t="s">
        <v>300</v>
      </c>
      <c r="E628" t="s">
        <v>68</v>
      </c>
      <c r="F628" t="s">
        <v>2708</v>
      </c>
    </row>
    <row r="629" spans="2:6" x14ac:dyDescent="0.35">
      <c r="B629">
        <v>3500036661</v>
      </c>
      <c r="C629">
        <v>40</v>
      </c>
      <c r="D629" t="s">
        <v>2709</v>
      </c>
      <c r="E629" t="s">
        <v>68</v>
      </c>
      <c r="F629" t="s">
        <v>2710</v>
      </c>
    </row>
    <row r="630" spans="2:6" x14ac:dyDescent="0.35">
      <c r="B630">
        <v>3500036661</v>
      </c>
      <c r="C630">
        <v>30</v>
      </c>
      <c r="D630" t="s">
        <v>2711</v>
      </c>
      <c r="E630" t="s">
        <v>68</v>
      </c>
      <c r="F630" t="s">
        <v>2712</v>
      </c>
    </row>
    <row r="631" spans="2:6" x14ac:dyDescent="0.35">
      <c r="B631">
        <v>3500036661</v>
      </c>
      <c r="C631">
        <v>20</v>
      </c>
      <c r="D631" t="s">
        <v>2537</v>
      </c>
      <c r="E631" t="s">
        <v>68</v>
      </c>
      <c r="F631" t="s">
        <v>2713</v>
      </c>
    </row>
    <row r="632" spans="2:6" x14ac:dyDescent="0.35">
      <c r="B632">
        <v>3500036661</v>
      </c>
      <c r="C632">
        <v>10</v>
      </c>
      <c r="D632" t="s">
        <v>2714</v>
      </c>
      <c r="E632" t="s">
        <v>68</v>
      </c>
      <c r="F632" t="s">
        <v>2715</v>
      </c>
    </row>
    <row r="633" spans="2:6" x14ac:dyDescent="0.35">
      <c r="B633">
        <v>3500036660</v>
      </c>
      <c r="C633">
        <v>40</v>
      </c>
      <c r="D633" t="s">
        <v>298</v>
      </c>
      <c r="E633" t="s">
        <v>68</v>
      </c>
      <c r="F633" t="s">
        <v>2716</v>
      </c>
    </row>
    <row r="634" spans="2:6" x14ac:dyDescent="0.35">
      <c r="B634">
        <v>3500036660</v>
      </c>
      <c r="C634">
        <v>30</v>
      </c>
      <c r="D634" t="s">
        <v>296</v>
      </c>
      <c r="E634" t="s">
        <v>68</v>
      </c>
      <c r="F634" t="s">
        <v>2717</v>
      </c>
    </row>
    <row r="635" spans="2:6" x14ac:dyDescent="0.35">
      <c r="B635">
        <v>3500036660</v>
      </c>
      <c r="C635">
        <v>20</v>
      </c>
      <c r="D635" t="s">
        <v>291</v>
      </c>
      <c r="E635" t="s">
        <v>68</v>
      </c>
      <c r="F635" t="s">
        <v>2718</v>
      </c>
    </row>
    <row r="636" spans="2:6" x14ac:dyDescent="0.35">
      <c r="B636">
        <v>3500036660</v>
      </c>
      <c r="C636">
        <v>10</v>
      </c>
      <c r="D636" t="s">
        <v>297</v>
      </c>
      <c r="E636" t="s">
        <v>68</v>
      </c>
      <c r="F636" t="s">
        <v>2719</v>
      </c>
    </row>
    <row r="637" spans="2:6" x14ac:dyDescent="0.35">
      <c r="B637">
        <v>3500036659</v>
      </c>
      <c r="C637">
        <v>10</v>
      </c>
      <c r="D637" t="s">
        <v>297</v>
      </c>
      <c r="E637" t="s">
        <v>68</v>
      </c>
      <c r="F637" t="s">
        <v>2720</v>
      </c>
    </row>
    <row r="638" spans="2:6" x14ac:dyDescent="0.35">
      <c r="B638">
        <v>3500036658</v>
      </c>
      <c r="C638">
        <v>40</v>
      </c>
      <c r="D638" t="s">
        <v>2721</v>
      </c>
      <c r="E638" t="s">
        <v>68</v>
      </c>
      <c r="F638" t="s">
        <v>2722</v>
      </c>
    </row>
    <row r="639" spans="2:6" x14ac:dyDescent="0.35">
      <c r="B639">
        <v>3500036658</v>
      </c>
      <c r="C639">
        <v>30</v>
      </c>
      <c r="D639" t="s">
        <v>2677</v>
      </c>
      <c r="E639" t="s">
        <v>68</v>
      </c>
      <c r="F639" t="s">
        <v>2723</v>
      </c>
    </row>
    <row r="640" spans="2:6" x14ac:dyDescent="0.35">
      <c r="B640">
        <v>3500036658</v>
      </c>
      <c r="C640">
        <v>20</v>
      </c>
      <c r="D640" t="s">
        <v>2537</v>
      </c>
      <c r="E640" t="s">
        <v>68</v>
      </c>
      <c r="F640" t="s">
        <v>2724</v>
      </c>
    </row>
    <row r="641" spans="2:6" x14ac:dyDescent="0.35">
      <c r="B641">
        <v>3500036658</v>
      </c>
      <c r="C641">
        <v>10</v>
      </c>
      <c r="D641" t="s">
        <v>2725</v>
      </c>
      <c r="E641" t="s">
        <v>68</v>
      </c>
      <c r="F641" t="s">
        <v>2726</v>
      </c>
    </row>
    <row r="642" spans="2:6" x14ac:dyDescent="0.35">
      <c r="B642">
        <v>3500036657</v>
      </c>
      <c r="C642">
        <v>10</v>
      </c>
      <c r="D642" t="s">
        <v>2727</v>
      </c>
      <c r="E642" t="s">
        <v>68</v>
      </c>
      <c r="F642" t="s">
        <v>2728</v>
      </c>
    </row>
    <row r="643" spans="2:6" x14ac:dyDescent="0.35">
      <c r="B643">
        <v>3500036656</v>
      </c>
      <c r="C643">
        <v>70</v>
      </c>
      <c r="D643" t="s">
        <v>2729</v>
      </c>
      <c r="E643" t="s">
        <v>68</v>
      </c>
      <c r="F643" t="s">
        <v>2730</v>
      </c>
    </row>
    <row r="644" spans="2:6" x14ac:dyDescent="0.35">
      <c r="B644">
        <v>3500036656</v>
      </c>
      <c r="C644">
        <v>60</v>
      </c>
      <c r="D644" t="s">
        <v>2731</v>
      </c>
      <c r="E644" t="s">
        <v>68</v>
      </c>
      <c r="F644" t="s">
        <v>2732</v>
      </c>
    </row>
    <row r="645" spans="2:6" x14ac:dyDescent="0.35">
      <c r="B645">
        <v>3500036656</v>
      </c>
      <c r="C645">
        <v>50</v>
      </c>
      <c r="D645" t="s">
        <v>2733</v>
      </c>
      <c r="E645" t="s">
        <v>68</v>
      </c>
      <c r="F645" t="s">
        <v>2734</v>
      </c>
    </row>
    <row r="646" spans="2:6" x14ac:dyDescent="0.35">
      <c r="B646">
        <v>3500036656</v>
      </c>
      <c r="C646">
        <v>40</v>
      </c>
      <c r="D646" t="s">
        <v>2735</v>
      </c>
      <c r="E646" t="s">
        <v>68</v>
      </c>
      <c r="F646" t="s">
        <v>2736</v>
      </c>
    </row>
    <row r="647" spans="2:6" x14ac:dyDescent="0.35">
      <c r="B647">
        <v>3500036656</v>
      </c>
      <c r="C647">
        <v>30</v>
      </c>
      <c r="D647" t="s">
        <v>2737</v>
      </c>
      <c r="E647" t="s">
        <v>68</v>
      </c>
      <c r="F647" t="s">
        <v>2738</v>
      </c>
    </row>
    <row r="648" spans="2:6" x14ac:dyDescent="0.35">
      <c r="B648">
        <v>3500036656</v>
      </c>
      <c r="C648">
        <v>20</v>
      </c>
      <c r="D648" t="s">
        <v>2739</v>
      </c>
      <c r="E648" t="s">
        <v>68</v>
      </c>
      <c r="F648" t="s">
        <v>2740</v>
      </c>
    </row>
    <row r="649" spans="2:6" x14ac:dyDescent="0.35">
      <c r="B649">
        <v>3500036656</v>
      </c>
      <c r="C649">
        <v>10</v>
      </c>
      <c r="D649" t="s">
        <v>2741</v>
      </c>
      <c r="E649" t="s">
        <v>68</v>
      </c>
      <c r="F649" t="s">
        <v>2742</v>
      </c>
    </row>
    <row r="650" spans="2:6" x14ac:dyDescent="0.35">
      <c r="B650">
        <v>3500036655</v>
      </c>
      <c r="C650">
        <v>10</v>
      </c>
      <c r="D650" t="s">
        <v>2743</v>
      </c>
      <c r="E650" t="s">
        <v>68</v>
      </c>
      <c r="F650" t="s">
        <v>2744</v>
      </c>
    </row>
    <row r="651" spans="2:6" x14ac:dyDescent="0.35">
      <c r="B651">
        <v>3500036654</v>
      </c>
      <c r="C651">
        <v>10</v>
      </c>
      <c r="D651" t="s">
        <v>2745</v>
      </c>
      <c r="E651" t="s">
        <v>68</v>
      </c>
      <c r="F651" t="s">
        <v>2746</v>
      </c>
    </row>
    <row r="652" spans="2:6" x14ac:dyDescent="0.35">
      <c r="B652">
        <v>3500036640</v>
      </c>
      <c r="C652">
        <v>90</v>
      </c>
      <c r="D652" t="s">
        <v>2747</v>
      </c>
      <c r="E652" t="s">
        <v>68</v>
      </c>
      <c r="F652" t="s">
        <v>2748</v>
      </c>
    </row>
    <row r="653" spans="2:6" x14ac:dyDescent="0.35">
      <c r="B653">
        <v>3500036640</v>
      </c>
      <c r="C653">
        <v>80</v>
      </c>
      <c r="D653" t="s">
        <v>2690</v>
      </c>
      <c r="E653" t="s">
        <v>68</v>
      </c>
      <c r="F653" t="s">
        <v>2749</v>
      </c>
    </row>
    <row r="654" spans="2:6" x14ac:dyDescent="0.35">
      <c r="B654">
        <v>3500036640</v>
      </c>
      <c r="C654">
        <v>70</v>
      </c>
      <c r="D654" t="s">
        <v>2750</v>
      </c>
      <c r="E654" t="s">
        <v>68</v>
      </c>
      <c r="F654" t="s">
        <v>2751</v>
      </c>
    </row>
    <row r="655" spans="2:6" x14ac:dyDescent="0.35">
      <c r="B655">
        <v>3500036640</v>
      </c>
      <c r="C655">
        <v>60</v>
      </c>
      <c r="D655" t="s">
        <v>2752</v>
      </c>
      <c r="E655" t="s">
        <v>68</v>
      </c>
      <c r="F655" t="s">
        <v>2753</v>
      </c>
    </row>
    <row r="656" spans="2:6" x14ac:dyDescent="0.35">
      <c r="B656">
        <v>3500036640</v>
      </c>
      <c r="C656">
        <v>50</v>
      </c>
      <c r="D656" t="s">
        <v>2670</v>
      </c>
      <c r="E656" t="s">
        <v>68</v>
      </c>
      <c r="F656" t="s">
        <v>2754</v>
      </c>
    </row>
    <row r="657" spans="2:6" x14ac:dyDescent="0.35">
      <c r="B657">
        <v>3500036640</v>
      </c>
      <c r="C657">
        <v>40</v>
      </c>
      <c r="D657" t="s">
        <v>2755</v>
      </c>
      <c r="E657" t="s">
        <v>68</v>
      </c>
      <c r="F657" t="s">
        <v>2756</v>
      </c>
    </row>
    <row r="658" spans="2:6" x14ac:dyDescent="0.35">
      <c r="B658">
        <v>3500036640</v>
      </c>
      <c r="C658">
        <v>30</v>
      </c>
      <c r="D658" t="s">
        <v>2757</v>
      </c>
      <c r="E658" t="s">
        <v>68</v>
      </c>
      <c r="F658" t="s">
        <v>2758</v>
      </c>
    </row>
    <row r="659" spans="2:6" x14ac:dyDescent="0.35">
      <c r="B659">
        <v>3500036640</v>
      </c>
      <c r="C659">
        <v>20</v>
      </c>
      <c r="D659" t="s">
        <v>2672</v>
      </c>
      <c r="E659" t="s">
        <v>68</v>
      </c>
      <c r="F659" t="s">
        <v>2759</v>
      </c>
    </row>
    <row r="660" spans="2:6" x14ac:dyDescent="0.35">
      <c r="B660">
        <v>3500036640</v>
      </c>
      <c r="C660">
        <v>120</v>
      </c>
      <c r="D660" t="s">
        <v>2625</v>
      </c>
      <c r="E660" t="s">
        <v>68</v>
      </c>
      <c r="F660" t="s">
        <v>2760</v>
      </c>
    </row>
    <row r="661" spans="2:6" x14ac:dyDescent="0.35">
      <c r="B661">
        <v>3500036640</v>
      </c>
      <c r="C661">
        <v>110</v>
      </c>
      <c r="D661" t="s">
        <v>2577</v>
      </c>
      <c r="E661" t="s">
        <v>68</v>
      </c>
      <c r="F661" t="s">
        <v>2761</v>
      </c>
    </row>
    <row r="662" spans="2:6" x14ac:dyDescent="0.35">
      <c r="B662">
        <v>3500036640</v>
      </c>
      <c r="C662">
        <v>100</v>
      </c>
      <c r="D662" t="s">
        <v>2580</v>
      </c>
      <c r="E662" t="s">
        <v>68</v>
      </c>
      <c r="F662" t="s">
        <v>2762</v>
      </c>
    </row>
    <row r="663" spans="2:6" x14ac:dyDescent="0.35">
      <c r="B663">
        <v>3500036640</v>
      </c>
      <c r="C663">
        <v>10</v>
      </c>
      <c r="D663" t="s">
        <v>2763</v>
      </c>
      <c r="E663" t="s">
        <v>68</v>
      </c>
      <c r="F663" t="s">
        <v>2764</v>
      </c>
    </row>
    <row r="664" spans="2:6" x14ac:dyDescent="0.35">
      <c r="B664">
        <v>3500036637</v>
      </c>
      <c r="C664">
        <v>20</v>
      </c>
      <c r="D664" t="s">
        <v>2765</v>
      </c>
      <c r="E664" t="s">
        <v>68</v>
      </c>
      <c r="F664" t="s">
        <v>2766</v>
      </c>
    </row>
    <row r="665" spans="2:6" x14ac:dyDescent="0.35">
      <c r="B665">
        <v>3500036637</v>
      </c>
      <c r="C665">
        <v>10</v>
      </c>
      <c r="D665" t="s">
        <v>2767</v>
      </c>
      <c r="E665" t="s">
        <v>68</v>
      </c>
      <c r="F665" t="s">
        <v>2768</v>
      </c>
    </row>
    <row r="666" spans="2:6" x14ac:dyDescent="0.35">
      <c r="B666">
        <v>3500036636</v>
      </c>
      <c r="C666">
        <v>20</v>
      </c>
      <c r="D666" t="s">
        <v>2769</v>
      </c>
      <c r="E666" t="s">
        <v>68</v>
      </c>
      <c r="F666" t="s">
        <v>2770</v>
      </c>
    </row>
    <row r="667" spans="2:6" x14ac:dyDescent="0.35">
      <c r="B667">
        <v>3500036636</v>
      </c>
      <c r="C667">
        <v>10</v>
      </c>
      <c r="D667" t="s">
        <v>2771</v>
      </c>
      <c r="E667" t="s">
        <v>68</v>
      </c>
      <c r="F667" t="s">
        <v>2772</v>
      </c>
    </row>
    <row r="668" spans="2:6" x14ac:dyDescent="0.35">
      <c r="B668">
        <v>3500036635</v>
      </c>
      <c r="C668">
        <v>30</v>
      </c>
      <c r="D668" t="s">
        <v>2773</v>
      </c>
      <c r="E668" t="s">
        <v>68</v>
      </c>
      <c r="F668" t="s">
        <v>2774</v>
      </c>
    </row>
    <row r="669" spans="2:6" x14ac:dyDescent="0.35">
      <c r="B669">
        <v>3500036635</v>
      </c>
      <c r="C669">
        <v>20</v>
      </c>
      <c r="D669" t="s">
        <v>2775</v>
      </c>
      <c r="E669" t="s">
        <v>68</v>
      </c>
      <c r="F669" t="s">
        <v>2776</v>
      </c>
    </row>
    <row r="670" spans="2:6" x14ac:dyDescent="0.35">
      <c r="B670">
        <v>3500036635</v>
      </c>
      <c r="C670">
        <v>10</v>
      </c>
      <c r="D670" t="s">
        <v>2775</v>
      </c>
      <c r="E670" t="s">
        <v>68</v>
      </c>
      <c r="F670" t="s">
        <v>2776</v>
      </c>
    </row>
    <row r="671" spans="2:6" x14ac:dyDescent="0.35">
      <c r="B671">
        <v>3500036624</v>
      </c>
      <c r="C671">
        <v>40</v>
      </c>
      <c r="D671" t="s">
        <v>2777</v>
      </c>
      <c r="E671" t="s">
        <v>68</v>
      </c>
      <c r="F671" t="s">
        <v>2778</v>
      </c>
    </row>
    <row r="672" spans="2:6" x14ac:dyDescent="0.35">
      <c r="B672">
        <v>3500036624</v>
      </c>
      <c r="C672">
        <v>30</v>
      </c>
      <c r="D672" t="s">
        <v>2779</v>
      </c>
      <c r="E672" t="s">
        <v>68</v>
      </c>
      <c r="F672" t="s">
        <v>2780</v>
      </c>
    </row>
    <row r="673" spans="2:6" x14ac:dyDescent="0.35">
      <c r="B673">
        <v>3500036624</v>
      </c>
      <c r="C673">
        <v>20</v>
      </c>
      <c r="D673" t="s">
        <v>2781</v>
      </c>
      <c r="E673" t="s">
        <v>68</v>
      </c>
      <c r="F673" t="s">
        <v>2782</v>
      </c>
    </row>
    <row r="674" spans="2:6" x14ac:dyDescent="0.35">
      <c r="B674">
        <v>3500036624</v>
      </c>
      <c r="C674">
        <v>10</v>
      </c>
      <c r="D674" t="s">
        <v>2706</v>
      </c>
      <c r="E674" t="s">
        <v>68</v>
      </c>
      <c r="F674" t="s">
        <v>2783</v>
      </c>
    </row>
    <row r="675" spans="2:6" x14ac:dyDescent="0.35">
      <c r="B675">
        <v>3500036614</v>
      </c>
      <c r="C675">
        <v>10</v>
      </c>
      <c r="D675" t="s">
        <v>2784</v>
      </c>
      <c r="E675" t="s">
        <v>68</v>
      </c>
      <c r="F675" t="s">
        <v>2785</v>
      </c>
    </row>
    <row r="676" spans="2:6" x14ac:dyDescent="0.35">
      <c r="B676">
        <v>3500036609</v>
      </c>
      <c r="C676">
        <v>60</v>
      </c>
      <c r="D676" t="s">
        <v>2786</v>
      </c>
      <c r="E676" t="s">
        <v>68</v>
      </c>
      <c r="F676" t="s">
        <v>2787</v>
      </c>
    </row>
    <row r="677" spans="2:6" x14ac:dyDescent="0.35">
      <c r="B677">
        <v>3500036609</v>
      </c>
      <c r="C677">
        <v>50</v>
      </c>
      <c r="D677" t="s">
        <v>2788</v>
      </c>
      <c r="E677" t="s">
        <v>68</v>
      </c>
      <c r="F677" t="s">
        <v>2789</v>
      </c>
    </row>
    <row r="678" spans="2:6" x14ac:dyDescent="0.35">
      <c r="B678">
        <v>3500036609</v>
      </c>
      <c r="C678">
        <v>40</v>
      </c>
      <c r="D678" t="s">
        <v>2790</v>
      </c>
      <c r="E678" t="s">
        <v>68</v>
      </c>
      <c r="F678" t="s">
        <v>2791</v>
      </c>
    </row>
    <row r="679" spans="2:6" x14ac:dyDescent="0.35">
      <c r="B679">
        <v>3500036609</v>
      </c>
      <c r="C679">
        <v>30</v>
      </c>
      <c r="D679" t="s">
        <v>2792</v>
      </c>
      <c r="E679" t="s">
        <v>68</v>
      </c>
      <c r="F679" t="s">
        <v>2793</v>
      </c>
    </row>
    <row r="680" spans="2:6" x14ac:dyDescent="0.35">
      <c r="B680">
        <v>3500036609</v>
      </c>
      <c r="C680">
        <v>20</v>
      </c>
      <c r="D680" t="s">
        <v>2794</v>
      </c>
      <c r="E680" t="s">
        <v>68</v>
      </c>
      <c r="F680" t="s">
        <v>2795</v>
      </c>
    </row>
    <row r="681" spans="2:6" x14ac:dyDescent="0.35">
      <c r="B681">
        <v>3500036609</v>
      </c>
      <c r="C681">
        <v>10</v>
      </c>
      <c r="D681" t="s">
        <v>2796</v>
      </c>
      <c r="E681" t="s">
        <v>68</v>
      </c>
      <c r="F681" t="s">
        <v>2797</v>
      </c>
    </row>
    <row r="682" spans="2:6" x14ac:dyDescent="0.35">
      <c r="B682">
        <v>3500036608</v>
      </c>
      <c r="C682">
        <v>40</v>
      </c>
      <c r="D682" t="s">
        <v>2798</v>
      </c>
      <c r="E682" t="s">
        <v>68</v>
      </c>
      <c r="F682" t="s">
        <v>2799</v>
      </c>
    </row>
    <row r="683" spans="2:6" x14ac:dyDescent="0.35">
      <c r="B683">
        <v>3500036608</v>
      </c>
      <c r="C683">
        <v>30</v>
      </c>
      <c r="D683" t="s">
        <v>2647</v>
      </c>
      <c r="E683" t="s">
        <v>68</v>
      </c>
      <c r="F683" t="s">
        <v>2800</v>
      </c>
    </row>
    <row r="684" spans="2:6" x14ac:dyDescent="0.35">
      <c r="B684">
        <v>3500036608</v>
      </c>
      <c r="C684">
        <v>20</v>
      </c>
      <c r="D684" t="s">
        <v>41</v>
      </c>
      <c r="E684" t="s">
        <v>68</v>
      </c>
      <c r="F684" t="s">
        <v>2801</v>
      </c>
    </row>
    <row r="685" spans="2:6" x14ac:dyDescent="0.35">
      <c r="B685">
        <v>3500036608</v>
      </c>
      <c r="C685">
        <v>10</v>
      </c>
      <c r="D685" t="s">
        <v>42</v>
      </c>
      <c r="E685" t="s">
        <v>68</v>
      </c>
      <c r="F685" t="s">
        <v>2802</v>
      </c>
    </row>
    <row r="686" spans="2:6" x14ac:dyDescent="0.35">
      <c r="B686">
        <v>3500036604</v>
      </c>
      <c r="C686">
        <v>10</v>
      </c>
      <c r="D686" t="s">
        <v>18</v>
      </c>
      <c r="E686" t="s">
        <v>68</v>
      </c>
      <c r="F686" t="s">
        <v>2803</v>
      </c>
    </row>
    <row r="687" spans="2:6" x14ac:dyDescent="0.35">
      <c r="B687">
        <v>3500036591</v>
      </c>
      <c r="C687">
        <v>90</v>
      </c>
      <c r="D687" t="s">
        <v>2543</v>
      </c>
      <c r="E687" t="s">
        <v>68</v>
      </c>
      <c r="F687" t="s">
        <v>2804</v>
      </c>
    </row>
    <row r="688" spans="2:6" x14ac:dyDescent="0.35">
      <c r="B688">
        <v>3500036591</v>
      </c>
      <c r="C688">
        <v>80</v>
      </c>
      <c r="D688" t="s">
        <v>2805</v>
      </c>
      <c r="E688" t="s">
        <v>68</v>
      </c>
      <c r="F688" t="s">
        <v>2806</v>
      </c>
    </row>
    <row r="689" spans="2:6" x14ac:dyDescent="0.35">
      <c r="B689">
        <v>3500036591</v>
      </c>
      <c r="C689">
        <v>70</v>
      </c>
      <c r="D689" t="s">
        <v>2527</v>
      </c>
      <c r="E689" t="s">
        <v>68</v>
      </c>
      <c r="F689" t="s">
        <v>2807</v>
      </c>
    </row>
    <row r="690" spans="2:6" x14ac:dyDescent="0.35">
      <c r="B690">
        <v>3500036591</v>
      </c>
      <c r="C690">
        <v>60</v>
      </c>
      <c r="D690" t="s">
        <v>2580</v>
      </c>
      <c r="E690" t="s">
        <v>68</v>
      </c>
      <c r="F690" t="s">
        <v>2808</v>
      </c>
    </row>
    <row r="691" spans="2:6" x14ac:dyDescent="0.35">
      <c r="B691">
        <v>3500036591</v>
      </c>
      <c r="C691">
        <v>50</v>
      </c>
      <c r="D691" t="s">
        <v>2809</v>
      </c>
      <c r="E691" t="s">
        <v>68</v>
      </c>
      <c r="F691" t="s">
        <v>2810</v>
      </c>
    </row>
    <row r="692" spans="2:6" x14ac:dyDescent="0.35">
      <c r="B692">
        <v>3500036591</v>
      </c>
      <c r="C692">
        <v>40</v>
      </c>
      <c r="D692" t="s">
        <v>2551</v>
      </c>
      <c r="E692" t="s">
        <v>68</v>
      </c>
      <c r="F692" t="s">
        <v>2811</v>
      </c>
    </row>
    <row r="693" spans="2:6" x14ac:dyDescent="0.35">
      <c r="B693">
        <v>3500036591</v>
      </c>
      <c r="C693">
        <v>30</v>
      </c>
      <c r="D693" t="s">
        <v>2535</v>
      </c>
      <c r="E693" t="s">
        <v>68</v>
      </c>
      <c r="F693" t="s">
        <v>2812</v>
      </c>
    </row>
    <row r="694" spans="2:6" x14ac:dyDescent="0.35">
      <c r="B694">
        <v>3500036591</v>
      </c>
      <c r="C694">
        <v>20</v>
      </c>
      <c r="D694" t="s">
        <v>2571</v>
      </c>
      <c r="E694" t="s">
        <v>68</v>
      </c>
      <c r="F694" t="s">
        <v>2813</v>
      </c>
    </row>
    <row r="695" spans="2:6" x14ac:dyDescent="0.35">
      <c r="B695">
        <v>3500036591</v>
      </c>
      <c r="C695">
        <v>130</v>
      </c>
      <c r="D695" t="s">
        <v>2563</v>
      </c>
      <c r="E695" t="s">
        <v>68</v>
      </c>
      <c r="F695" t="s">
        <v>2814</v>
      </c>
    </row>
    <row r="696" spans="2:6" x14ac:dyDescent="0.35">
      <c r="B696">
        <v>3500036591</v>
      </c>
      <c r="C696">
        <v>120</v>
      </c>
      <c r="D696" t="s">
        <v>2625</v>
      </c>
      <c r="E696" t="s">
        <v>68</v>
      </c>
      <c r="F696" t="s">
        <v>2815</v>
      </c>
    </row>
    <row r="697" spans="2:6" x14ac:dyDescent="0.35">
      <c r="B697">
        <v>3500036591</v>
      </c>
      <c r="C697">
        <v>110</v>
      </c>
      <c r="D697" t="s">
        <v>2531</v>
      </c>
      <c r="E697" t="s">
        <v>68</v>
      </c>
      <c r="F697" t="s">
        <v>2816</v>
      </c>
    </row>
    <row r="698" spans="2:6" x14ac:dyDescent="0.35">
      <c r="B698">
        <v>3500036591</v>
      </c>
      <c r="C698">
        <v>100</v>
      </c>
      <c r="D698" t="s">
        <v>2817</v>
      </c>
      <c r="E698" t="s">
        <v>68</v>
      </c>
      <c r="F698" t="s">
        <v>2818</v>
      </c>
    </row>
    <row r="699" spans="2:6" x14ac:dyDescent="0.35">
      <c r="B699">
        <v>3500036591</v>
      </c>
      <c r="C699">
        <v>10</v>
      </c>
      <c r="D699" t="s">
        <v>2819</v>
      </c>
      <c r="E699" t="s">
        <v>68</v>
      </c>
      <c r="F699" t="s">
        <v>2820</v>
      </c>
    </row>
    <row r="700" spans="2:6" x14ac:dyDescent="0.35">
      <c r="B700">
        <v>3500036584</v>
      </c>
      <c r="C700">
        <v>10</v>
      </c>
      <c r="D700" t="s">
        <v>2821</v>
      </c>
      <c r="E700" t="s">
        <v>68</v>
      </c>
      <c r="F700" t="s">
        <v>2822</v>
      </c>
    </row>
    <row r="701" spans="2:6" x14ac:dyDescent="0.35">
      <c r="B701">
        <v>3500036583</v>
      </c>
      <c r="C701">
        <v>10</v>
      </c>
      <c r="D701" t="s">
        <v>2823</v>
      </c>
      <c r="E701" t="s">
        <v>68</v>
      </c>
      <c r="F701" t="s">
        <v>2824</v>
      </c>
    </row>
    <row r="702" spans="2:6" x14ac:dyDescent="0.35">
      <c r="B702">
        <v>3500036582</v>
      </c>
      <c r="C702">
        <v>40</v>
      </c>
      <c r="D702" t="s">
        <v>2825</v>
      </c>
      <c r="E702" t="s">
        <v>68</v>
      </c>
      <c r="F702" t="s">
        <v>2826</v>
      </c>
    </row>
    <row r="703" spans="2:6" x14ac:dyDescent="0.35">
      <c r="B703">
        <v>3500036582</v>
      </c>
      <c r="C703">
        <v>30</v>
      </c>
      <c r="D703" t="s">
        <v>2825</v>
      </c>
      <c r="E703" t="s">
        <v>68</v>
      </c>
      <c r="F703" t="s">
        <v>2826</v>
      </c>
    </row>
    <row r="704" spans="2:6" x14ac:dyDescent="0.35">
      <c r="B704">
        <v>3500036582</v>
      </c>
      <c r="C704">
        <v>20</v>
      </c>
      <c r="D704" t="s">
        <v>2825</v>
      </c>
      <c r="E704" t="s">
        <v>68</v>
      </c>
      <c r="F704" t="s">
        <v>2826</v>
      </c>
    </row>
    <row r="705" spans="2:6" x14ac:dyDescent="0.35">
      <c r="B705">
        <v>3500036582</v>
      </c>
      <c r="C705">
        <v>10</v>
      </c>
      <c r="D705" t="s">
        <v>2825</v>
      </c>
      <c r="E705" t="s">
        <v>68</v>
      </c>
      <c r="F705" t="s">
        <v>2826</v>
      </c>
    </row>
    <row r="706" spans="2:6" x14ac:dyDescent="0.35">
      <c r="B706">
        <v>3500036576</v>
      </c>
      <c r="C706">
        <v>30</v>
      </c>
      <c r="D706" t="s">
        <v>2827</v>
      </c>
      <c r="E706" t="s">
        <v>68</v>
      </c>
      <c r="F706" t="s">
        <v>2828</v>
      </c>
    </row>
    <row r="707" spans="2:6" x14ac:dyDescent="0.35">
      <c r="B707">
        <v>3500036576</v>
      </c>
      <c r="C707">
        <v>20</v>
      </c>
      <c r="D707" t="s">
        <v>2829</v>
      </c>
      <c r="E707" t="s">
        <v>68</v>
      </c>
      <c r="F707" t="s">
        <v>2830</v>
      </c>
    </row>
    <row r="708" spans="2:6" x14ac:dyDescent="0.35">
      <c r="B708">
        <v>3500036576</v>
      </c>
      <c r="C708">
        <v>10</v>
      </c>
      <c r="D708" t="s">
        <v>2831</v>
      </c>
      <c r="E708" t="s">
        <v>68</v>
      </c>
      <c r="F708" t="s">
        <v>2832</v>
      </c>
    </row>
    <row r="709" spans="2:6" x14ac:dyDescent="0.35">
      <c r="B709">
        <v>3500036575</v>
      </c>
      <c r="C709">
        <v>10</v>
      </c>
      <c r="D709" t="s">
        <v>2833</v>
      </c>
      <c r="E709" t="s">
        <v>68</v>
      </c>
      <c r="F709" t="s">
        <v>2834</v>
      </c>
    </row>
    <row r="710" spans="2:6" x14ac:dyDescent="0.35">
      <c r="B710">
        <v>3500036574</v>
      </c>
      <c r="C710">
        <v>10</v>
      </c>
      <c r="D710" t="s">
        <v>2835</v>
      </c>
      <c r="E710" t="s">
        <v>68</v>
      </c>
      <c r="F710" t="s">
        <v>2836</v>
      </c>
    </row>
    <row r="711" spans="2:6" x14ac:dyDescent="0.35">
      <c r="B711">
        <v>3500036573</v>
      </c>
      <c r="C711">
        <v>10</v>
      </c>
      <c r="D711" t="s">
        <v>2835</v>
      </c>
      <c r="E711" t="s">
        <v>68</v>
      </c>
      <c r="F711" t="s">
        <v>2837</v>
      </c>
    </row>
    <row r="712" spans="2:6" x14ac:dyDescent="0.35">
      <c r="B712">
        <v>3500036572</v>
      </c>
      <c r="C712">
        <v>10</v>
      </c>
      <c r="D712" t="s">
        <v>2475</v>
      </c>
      <c r="E712" t="s">
        <v>68</v>
      </c>
      <c r="F712" t="s">
        <v>2838</v>
      </c>
    </row>
    <row r="713" spans="2:6" x14ac:dyDescent="0.35">
      <c r="B713">
        <v>3500036571</v>
      </c>
      <c r="C713">
        <v>10</v>
      </c>
      <c r="D713" t="s">
        <v>2475</v>
      </c>
      <c r="E713" t="s">
        <v>68</v>
      </c>
      <c r="F713" t="s">
        <v>2839</v>
      </c>
    </row>
    <row r="714" spans="2:6" x14ac:dyDescent="0.35">
      <c r="B714">
        <v>3500036570</v>
      </c>
      <c r="C714">
        <v>20</v>
      </c>
      <c r="D714" t="s">
        <v>2840</v>
      </c>
      <c r="E714" t="s">
        <v>68</v>
      </c>
      <c r="F714" t="s">
        <v>2841</v>
      </c>
    </row>
    <row r="715" spans="2:6" x14ac:dyDescent="0.35">
      <c r="B715">
        <v>3500036570</v>
      </c>
      <c r="C715">
        <v>10</v>
      </c>
      <c r="D715" t="s">
        <v>2840</v>
      </c>
      <c r="E715" t="s">
        <v>68</v>
      </c>
      <c r="F715" t="s">
        <v>2841</v>
      </c>
    </row>
    <row r="716" spans="2:6" x14ac:dyDescent="0.35">
      <c r="B716">
        <v>3500036566</v>
      </c>
      <c r="C716">
        <v>50</v>
      </c>
      <c r="D716" t="s">
        <v>2694</v>
      </c>
      <c r="E716" t="s">
        <v>68</v>
      </c>
      <c r="F716" t="s">
        <v>2842</v>
      </c>
    </row>
    <row r="717" spans="2:6" x14ac:dyDescent="0.35">
      <c r="B717">
        <v>3500036566</v>
      </c>
      <c r="C717">
        <v>40</v>
      </c>
      <c r="D717" t="s">
        <v>2843</v>
      </c>
      <c r="E717" t="s">
        <v>68</v>
      </c>
      <c r="F717" t="s">
        <v>2844</v>
      </c>
    </row>
    <row r="718" spans="2:6" x14ac:dyDescent="0.35">
      <c r="B718">
        <v>3500036566</v>
      </c>
      <c r="C718">
        <v>30</v>
      </c>
      <c r="D718" t="s">
        <v>2845</v>
      </c>
      <c r="E718" t="s">
        <v>68</v>
      </c>
      <c r="F718" t="s">
        <v>2846</v>
      </c>
    </row>
    <row r="719" spans="2:6" x14ac:dyDescent="0.35">
      <c r="B719">
        <v>3500036566</v>
      </c>
      <c r="C719">
        <v>20</v>
      </c>
      <c r="D719" t="s">
        <v>2847</v>
      </c>
      <c r="E719" t="s">
        <v>68</v>
      </c>
      <c r="F719" t="s">
        <v>2848</v>
      </c>
    </row>
    <row r="720" spans="2:6" x14ac:dyDescent="0.35">
      <c r="B720">
        <v>3500036566</v>
      </c>
      <c r="C720">
        <v>10</v>
      </c>
      <c r="D720" t="s">
        <v>2849</v>
      </c>
      <c r="E720" t="s">
        <v>68</v>
      </c>
      <c r="F720" t="s">
        <v>2850</v>
      </c>
    </row>
    <row r="721" spans="2:6" x14ac:dyDescent="0.35">
      <c r="B721">
        <v>3500036564</v>
      </c>
      <c r="C721">
        <v>90</v>
      </c>
      <c r="D721" t="s">
        <v>2580</v>
      </c>
      <c r="E721" t="s">
        <v>68</v>
      </c>
      <c r="F721" t="s">
        <v>2851</v>
      </c>
    </row>
    <row r="722" spans="2:6" x14ac:dyDescent="0.35">
      <c r="B722">
        <v>3500036564</v>
      </c>
      <c r="C722">
        <v>80</v>
      </c>
      <c r="D722" t="s">
        <v>2852</v>
      </c>
      <c r="E722" t="s">
        <v>68</v>
      </c>
      <c r="F722" t="s">
        <v>2853</v>
      </c>
    </row>
    <row r="723" spans="2:6" x14ac:dyDescent="0.35">
      <c r="B723">
        <v>3500036564</v>
      </c>
      <c r="C723">
        <v>70</v>
      </c>
      <c r="D723" t="s">
        <v>2625</v>
      </c>
      <c r="E723" t="s">
        <v>68</v>
      </c>
      <c r="F723" t="s">
        <v>2854</v>
      </c>
    </row>
    <row r="724" spans="2:6" x14ac:dyDescent="0.35">
      <c r="B724">
        <v>3500036564</v>
      </c>
      <c r="C724">
        <v>60</v>
      </c>
      <c r="D724" t="s">
        <v>2601</v>
      </c>
      <c r="E724" t="s">
        <v>68</v>
      </c>
      <c r="F724" t="s">
        <v>2855</v>
      </c>
    </row>
    <row r="725" spans="2:6" x14ac:dyDescent="0.35">
      <c r="B725">
        <v>3500036564</v>
      </c>
      <c r="C725">
        <v>50</v>
      </c>
      <c r="D725" t="s">
        <v>2856</v>
      </c>
      <c r="E725" t="s">
        <v>68</v>
      </c>
      <c r="F725" t="s">
        <v>2857</v>
      </c>
    </row>
    <row r="726" spans="2:6" x14ac:dyDescent="0.35">
      <c r="B726">
        <v>3500036564</v>
      </c>
      <c r="C726">
        <v>40</v>
      </c>
      <c r="D726" t="s">
        <v>2858</v>
      </c>
      <c r="E726" t="s">
        <v>68</v>
      </c>
      <c r="F726" t="s">
        <v>2859</v>
      </c>
    </row>
    <row r="727" spans="2:6" x14ac:dyDescent="0.35">
      <c r="B727">
        <v>3500036564</v>
      </c>
      <c r="C727">
        <v>30</v>
      </c>
      <c r="D727" t="s">
        <v>2860</v>
      </c>
      <c r="E727" t="s">
        <v>68</v>
      </c>
      <c r="F727" t="s">
        <v>2861</v>
      </c>
    </row>
    <row r="728" spans="2:6" x14ac:dyDescent="0.35">
      <c r="B728">
        <v>3500036564</v>
      </c>
      <c r="C728">
        <v>20</v>
      </c>
      <c r="D728" t="s">
        <v>2862</v>
      </c>
      <c r="E728" t="s">
        <v>68</v>
      </c>
      <c r="F728" t="s">
        <v>2863</v>
      </c>
    </row>
    <row r="729" spans="2:6" x14ac:dyDescent="0.35">
      <c r="B729">
        <v>3500036564</v>
      </c>
      <c r="C729">
        <v>10</v>
      </c>
      <c r="D729" t="s">
        <v>2864</v>
      </c>
      <c r="E729" t="s">
        <v>68</v>
      </c>
      <c r="F729" t="s">
        <v>2865</v>
      </c>
    </row>
    <row r="730" spans="2:6" x14ac:dyDescent="0.35">
      <c r="B730">
        <v>3500036563</v>
      </c>
      <c r="C730">
        <v>90</v>
      </c>
      <c r="D730" t="s">
        <v>2580</v>
      </c>
      <c r="E730" t="s">
        <v>68</v>
      </c>
      <c r="F730" t="s">
        <v>2866</v>
      </c>
    </row>
    <row r="731" spans="2:6" x14ac:dyDescent="0.35">
      <c r="B731">
        <v>3500036563</v>
      </c>
      <c r="C731">
        <v>80</v>
      </c>
      <c r="D731" t="s">
        <v>2856</v>
      </c>
      <c r="E731" t="s">
        <v>68</v>
      </c>
      <c r="F731" t="s">
        <v>2867</v>
      </c>
    </row>
    <row r="732" spans="2:6" x14ac:dyDescent="0.35">
      <c r="B732">
        <v>3500036563</v>
      </c>
      <c r="C732">
        <v>70</v>
      </c>
      <c r="D732" t="s">
        <v>2852</v>
      </c>
      <c r="E732" t="s">
        <v>68</v>
      </c>
      <c r="F732" t="s">
        <v>2868</v>
      </c>
    </row>
    <row r="733" spans="2:6" x14ac:dyDescent="0.35">
      <c r="B733">
        <v>3500036563</v>
      </c>
      <c r="C733">
        <v>60</v>
      </c>
      <c r="D733" t="s">
        <v>2625</v>
      </c>
      <c r="E733" t="s">
        <v>68</v>
      </c>
      <c r="F733" t="s">
        <v>2869</v>
      </c>
    </row>
    <row r="734" spans="2:6" x14ac:dyDescent="0.35">
      <c r="B734">
        <v>3500036563</v>
      </c>
      <c r="C734">
        <v>50</v>
      </c>
      <c r="D734" t="s">
        <v>2601</v>
      </c>
      <c r="E734" t="s">
        <v>68</v>
      </c>
      <c r="F734" t="s">
        <v>2870</v>
      </c>
    </row>
    <row r="735" spans="2:6" x14ac:dyDescent="0.35">
      <c r="B735">
        <v>3500036563</v>
      </c>
      <c r="C735">
        <v>40</v>
      </c>
      <c r="D735" t="s">
        <v>2871</v>
      </c>
      <c r="E735" t="s">
        <v>68</v>
      </c>
      <c r="F735" t="s">
        <v>2872</v>
      </c>
    </row>
    <row r="736" spans="2:6" x14ac:dyDescent="0.35">
      <c r="B736">
        <v>3500036563</v>
      </c>
      <c r="C736">
        <v>30</v>
      </c>
      <c r="D736" t="s">
        <v>2545</v>
      </c>
      <c r="E736" t="s">
        <v>68</v>
      </c>
      <c r="F736" t="s">
        <v>2873</v>
      </c>
    </row>
    <row r="737" spans="2:6" x14ac:dyDescent="0.35">
      <c r="B737">
        <v>3500036563</v>
      </c>
      <c r="C737">
        <v>20</v>
      </c>
      <c r="D737" t="s">
        <v>2862</v>
      </c>
      <c r="E737" t="s">
        <v>68</v>
      </c>
      <c r="F737" t="s">
        <v>2874</v>
      </c>
    </row>
    <row r="738" spans="2:6" x14ac:dyDescent="0.35">
      <c r="B738">
        <v>3500036563</v>
      </c>
      <c r="C738">
        <v>10</v>
      </c>
      <c r="D738" t="s">
        <v>2573</v>
      </c>
      <c r="E738" t="s">
        <v>68</v>
      </c>
      <c r="F738" t="s">
        <v>2875</v>
      </c>
    </row>
    <row r="739" spans="2:6" x14ac:dyDescent="0.35">
      <c r="B739">
        <v>3500036562</v>
      </c>
      <c r="C739">
        <v>10</v>
      </c>
      <c r="D739" t="s">
        <v>2876</v>
      </c>
      <c r="E739" t="s">
        <v>68</v>
      </c>
      <c r="F739" t="s">
        <v>2877</v>
      </c>
    </row>
    <row r="740" spans="2:6" x14ac:dyDescent="0.35">
      <c r="B740">
        <v>3500036561</v>
      </c>
      <c r="C740">
        <v>40</v>
      </c>
      <c r="D740" t="s">
        <v>2878</v>
      </c>
      <c r="E740" t="s">
        <v>68</v>
      </c>
      <c r="F740" t="s">
        <v>2879</v>
      </c>
    </row>
    <row r="741" spans="2:6" x14ac:dyDescent="0.35">
      <c r="B741">
        <v>3500036561</v>
      </c>
      <c r="C741">
        <v>30</v>
      </c>
      <c r="D741" t="s">
        <v>2880</v>
      </c>
      <c r="E741" t="s">
        <v>68</v>
      </c>
      <c r="F741" t="s">
        <v>2881</v>
      </c>
    </row>
    <row r="742" spans="2:6" x14ac:dyDescent="0.35">
      <c r="B742">
        <v>3500036561</v>
      </c>
      <c r="C742">
        <v>20</v>
      </c>
      <c r="D742" t="s">
        <v>2882</v>
      </c>
      <c r="E742" t="s">
        <v>68</v>
      </c>
      <c r="F742" t="s">
        <v>2883</v>
      </c>
    </row>
    <row r="743" spans="2:6" x14ac:dyDescent="0.35">
      <c r="B743">
        <v>3500036561</v>
      </c>
      <c r="C743">
        <v>10</v>
      </c>
      <c r="D743" t="s">
        <v>2884</v>
      </c>
      <c r="E743" t="s">
        <v>68</v>
      </c>
      <c r="F743" t="s">
        <v>2885</v>
      </c>
    </row>
    <row r="744" spans="2:6" x14ac:dyDescent="0.35">
      <c r="B744">
        <v>3500036543</v>
      </c>
      <c r="C744">
        <v>10</v>
      </c>
      <c r="D744" t="s">
        <v>2886</v>
      </c>
      <c r="E744" t="s">
        <v>2887</v>
      </c>
      <c r="F744" t="s">
        <v>2888</v>
      </c>
    </row>
    <row r="745" spans="2:6" x14ac:dyDescent="0.35">
      <c r="B745">
        <v>3500036513</v>
      </c>
      <c r="C745">
        <v>10</v>
      </c>
      <c r="D745" t="s">
        <v>2889</v>
      </c>
      <c r="E745" t="s">
        <v>2887</v>
      </c>
      <c r="F745" t="s">
        <v>2890</v>
      </c>
    </row>
    <row r="746" spans="2:6" x14ac:dyDescent="0.35">
      <c r="B746">
        <v>3500036512</v>
      </c>
      <c r="C746">
        <v>70</v>
      </c>
      <c r="D746" t="s">
        <v>2891</v>
      </c>
      <c r="E746" t="s">
        <v>2887</v>
      </c>
      <c r="F746" t="s">
        <v>2892</v>
      </c>
    </row>
    <row r="747" spans="2:6" x14ac:dyDescent="0.35">
      <c r="B747">
        <v>3500036512</v>
      </c>
      <c r="C747">
        <v>60</v>
      </c>
      <c r="D747" t="s">
        <v>2893</v>
      </c>
      <c r="E747" t="s">
        <v>2887</v>
      </c>
      <c r="F747" t="s">
        <v>2894</v>
      </c>
    </row>
    <row r="748" spans="2:6" x14ac:dyDescent="0.35">
      <c r="B748">
        <v>3500036512</v>
      </c>
      <c r="C748">
        <v>50</v>
      </c>
      <c r="D748" t="s">
        <v>2580</v>
      </c>
      <c r="E748" t="s">
        <v>2887</v>
      </c>
      <c r="F748" t="s">
        <v>2895</v>
      </c>
    </row>
    <row r="749" spans="2:6" x14ac:dyDescent="0.35">
      <c r="B749">
        <v>3500036512</v>
      </c>
      <c r="C749">
        <v>40</v>
      </c>
      <c r="D749" t="s">
        <v>2896</v>
      </c>
      <c r="E749" t="s">
        <v>2887</v>
      </c>
      <c r="F749" t="s">
        <v>2897</v>
      </c>
    </row>
    <row r="750" spans="2:6" x14ac:dyDescent="0.35">
      <c r="B750">
        <v>3500036512</v>
      </c>
      <c r="C750">
        <v>30</v>
      </c>
      <c r="D750" t="s">
        <v>2898</v>
      </c>
      <c r="E750" t="s">
        <v>2887</v>
      </c>
      <c r="F750" t="s">
        <v>2899</v>
      </c>
    </row>
    <row r="751" spans="2:6" x14ac:dyDescent="0.35">
      <c r="B751">
        <v>3500036512</v>
      </c>
      <c r="C751">
        <v>20</v>
      </c>
      <c r="D751" t="s">
        <v>2900</v>
      </c>
      <c r="E751" t="s">
        <v>2887</v>
      </c>
      <c r="F751" t="s">
        <v>2901</v>
      </c>
    </row>
    <row r="752" spans="2:6" x14ac:dyDescent="0.35">
      <c r="B752">
        <v>3500036512</v>
      </c>
      <c r="C752">
        <v>10</v>
      </c>
      <c r="D752" t="s">
        <v>2575</v>
      </c>
      <c r="E752" t="s">
        <v>2887</v>
      </c>
      <c r="F752" t="s">
        <v>2902</v>
      </c>
    </row>
    <row r="753" spans="2:6" x14ac:dyDescent="0.35">
      <c r="B753">
        <v>3500036477</v>
      </c>
      <c r="C753">
        <v>10</v>
      </c>
      <c r="D753" t="s">
        <v>2903</v>
      </c>
      <c r="E753" t="s">
        <v>2887</v>
      </c>
      <c r="F753" t="s">
        <v>2904</v>
      </c>
    </row>
    <row r="754" spans="2:6" x14ac:dyDescent="0.35">
      <c r="B754">
        <v>3500036476</v>
      </c>
      <c r="C754">
        <v>10</v>
      </c>
      <c r="D754" t="s">
        <v>2905</v>
      </c>
      <c r="E754" t="s">
        <v>2906</v>
      </c>
      <c r="F754" t="s">
        <v>2907</v>
      </c>
    </row>
    <row r="755" spans="2:6" x14ac:dyDescent="0.35">
      <c r="B755">
        <v>3500036472</v>
      </c>
      <c r="C755">
        <v>40</v>
      </c>
      <c r="D755" t="s">
        <v>298</v>
      </c>
      <c r="E755" t="s">
        <v>2887</v>
      </c>
      <c r="F755" t="s">
        <v>2908</v>
      </c>
    </row>
    <row r="756" spans="2:6" x14ac:dyDescent="0.35">
      <c r="B756">
        <v>3500036472</v>
      </c>
      <c r="C756">
        <v>30</v>
      </c>
      <c r="D756" t="s">
        <v>43</v>
      </c>
      <c r="E756" t="s">
        <v>2887</v>
      </c>
      <c r="F756" t="s">
        <v>2909</v>
      </c>
    </row>
    <row r="757" spans="2:6" x14ac:dyDescent="0.35">
      <c r="B757">
        <v>3500036472</v>
      </c>
      <c r="C757">
        <v>20</v>
      </c>
      <c r="D757" t="s">
        <v>42</v>
      </c>
      <c r="E757" t="s">
        <v>2887</v>
      </c>
      <c r="F757" t="s">
        <v>2910</v>
      </c>
    </row>
    <row r="758" spans="2:6" x14ac:dyDescent="0.35">
      <c r="B758">
        <v>3500036472</v>
      </c>
      <c r="C758">
        <v>10</v>
      </c>
      <c r="D758" t="s">
        <v>41</v>
      </c>
      <c r="E758" t="s">
        <v>2887</v>
      </c>
      <c r="F758" t="s">
        <v>2911</v>
      </c>
    </row>
    <row r="759" spans="2:6" x14ac:dyDescent="0.35">
      <c r="B759">
        <v>3500036469</v>
      </c>
      <c r="C759">
        <v>10</v>
      </c>
      <c r="D759" t="s">
        <v>2912</v>
      </c>
      <c r="E759" t="s">
        <v>68</v>
      </c>
      <c r="F759" t="s">
        <v>2913</v>
      </c>
    </row>
    <row r="760" spans="2:6" x14ac:dyDescent="0.35">
      <c r="B760">
        <v>3500036468</v>
      </c>
      <c r="C760">
        <v>20</v>
      </c>
      <c r="D760" t="s">
        <v>2914</v>
      </c>
      <c r="E760" t="s">
        <v>2887</v>
      </c>
      <c r="F760" t="s">
        <v>2915</v>
      </c>
    </row>
    <row r="761" spans="2:6" x14ac:dyDescent="0.35">
      <c r="B761">
        <v>3500036468</v>
      </c>
      <c r="C761">
        <v>10</v>
      </c>
      <c r="D761" t="s">
        <v>2914</v>
      </c>
      <c r="E761" t="s">
        <v>2887</v>
      </c>
      <c r="F761" t="s">
        <v>2915</v>
      </c>
    </row>
    <row r="762" spans="2:6" x14ac:dyDescent="0.35">
      <c r="B762">
        <v>3500036466</v>
      </c>
      <c r="C762">
        <v>10</v>
      </c>
      <c r="D762" t="s">
        <v>2916</v>
      </c>
      <c r="E762" t="s">
        <v>2887</v>
      </c>
      <c r="F762" t="s">
        <v>2917</v>
      </c>
    </row>
    <row r="763" spans="2:6" x14ac:dyDescent="0.35">
      <c r="B763">
        <v>3500036465</v>
      </c>
      <c r="C763">
        <v>10</v>
      </c>
      <c r="D763" t="s">
        <v>2918</v>
      </c>
      <c r="E763" t="s">
        <v>2919</v>
      </c>
      <c r="F763" t="s">
        <v>2920</v>
      </c>
    </row>
    <row r="764" spans="2:6" x14ac:dyDescent="0.35">
      <c r="B764">
        <v>3500036463</v>
      </c>
      <c r="C764">
        <v>10</v>
      </c>
      <c r="D764" t="s">
        <v>2921</v>
      </c>
      <c r="E764" t="s">
        <v>2922</v>
      </c>
      <c r="F764" t="s">
        <v>2923</v>
      </c>
    </row>
    <row r="765" spans="2:6" x14ac:dyDescent="0.35">
      <c r="B765">
        <v>3500036462</v>
      </c>
      <c r="C765">
        <v>10</v>
      </c>
      <c r="D765" t="s">
        <v>2924</v>
      </c>
      <c r="E765" t="s">
        <v>68</v>
      </c>
      <c r="F765" t="s">
        <v>2925</v>
      </c>
    </row>
    <row r="766" spans="2:6" x14ac:dyDescent="0.35">
      <c r="B766">
        <v>3500036460</v>
      </c>
      <c r="C766">
        <v>10</v>
      </c>
      <c r="D766" t="s">
        <v>2475</v>
      </c>
      <c r="E766" t="s">
        <v>2887</v>
      </c>
      <c r="F766" t="s">
        <v>2926</v>
      </c>
    </row>
    <row r="767" spans="2:6" x14ac:dyDescent="0.35">
      <c r="B767">
        <v>3500036396</v>
      </c>
      <c r="C767">
        <v>50</v>
      </c>
      <c r="D767" t="s">
        <v>2927</v>
      </c>
      <c r="E767" t="s">
        <v>2887</v>
      </c>
      <c r="F767" t="s">
        <v>2928</v>
      </c>
    </row>
    <row r="768" spans="2:6" x14ac:dyDescent="0.35">
      <c r="B768">
        <v>3500036396</v>
      </c>
      <c r="C768">
        <v>40</v>
      </c>
      <c r="D768" t="s">
        <v>2929</v>
      </c>
      <c r="E768" t="s">
        <v>2887</v>
      </c>
      <c r="F768" t="s">
        <v>2930</v>
      </c>
    </row>
    <row r="769" spans="2:6" x14ac:dyDescent="0.35">
      <c r="B769">
        <v>3500036396</v>
      </c>
      <c r="C769">
        <v>30</v>
      </c>
      <c r="D769" t="s">
        <v>2931</v>
      </c>
      <c r="E769" t="s">
        <v>2887</v>
      </c>
      <c r="F769" t="s">
        <v>2932</v>
      </c>
    </row>
    <row r="770" spans="2:6" x14ac:dyDescent="0.35">
      <c r="B770">
        <v>3500036396</v>
      </c>
      <c r="C770">
        <v>20</v>
      </c>
      <c r="D770" t="s">
        <v>2527</v>
      </c>
      <c r="E770" t="s">
        <v>2887</v>
      </c>
      <c r="F770" t="s">
        <v>2933</v>
      </c>
    </row>
    <row r="771" spans="2:6" x14ac:dyDescent="0.35">
      <c r="B771">
        <v>3500036396</v>
      </c>
      <c r="C771">
        <v>10</v>
      </c>
      <c r="D771" t="s">
        <v>2607</v>
      </c>
      <c r="E771" t="s">
        <v>2887</v>
      </c>
      <c r="F771" t="s">
        <v>2934</v>
      </c>
    </row>
    <row r="772" spans="2:6" x14ac:dyDescent="0.35">
      <c r="B772">
        <v>3500036395</v>
      </c>
      <c r="C772">
        <v>10</v>
      </c>
      <c r="D772" t="s">
        <v>17</v>
      </c>
      <c r="E772" t="s">
        <v>2887</v>
      </c>
      <c r="F772" t="s">
        <v>2935</v>
      </c>
    </row>
    <row r="773" spans="2:6" x14ac:dyDescent="0.35">
      <c r="B773">
        <v>3500036394</v>
      </c>
      <c r="C773">
        <v>10</v>
      </c>
      <c r="D773" t="s">
        <v>287</v>
      </c>
      <c r="E773" t="s">
        <v>2887</v>
      </c>
      <c r="F773" t="s">
        <v>2936</v>
      </c>
    </row>
    <row r="774" spans="2:6" x14ac:dyDescent="0.35">
      <c r="B774">
        <v>3500036393</v>
      </c>
      <c r="C774">
        <v>10</v>
      </c>
      <c r="D774" t="s">
        <v>2607</v>
      </c>
      <c r="E774" t="s">
        <v>2887</v>
      </c>
      <c r="F774" t="s">
        <v>2937</v>
      </c>
    </row>
    <row r="775" spans="2:6" x14ac:dyDescent="0.35">
      <c r="B775">
        <v>3500036391</v>
      </c>
      <c r="C775">
        <v>30</v>
      </c>
      <c r="D775" t="s">
        <v>2938</v>
      </c>
      <c r="E775" t="s">
        <v>2887</v>
      </c>
      <c r="F775" t="s">
        <v>2939</v>
      </c>
    </row>
    <row r="776" spans="2:6" x14ac:dyDescent="0.35">
      <c r="B776">
        <v>3500036391</v>
      </c>
      <c r="C776">
        <v>20</v>
      </c>
      <c r="D776" t="s">
        <v>2940</v>
      </c>
      <c r="E776" t="s">
        <v>2887</v>
      </c>
      <c r="F776" t="s">
        <v>2941</v>
      </c>
    </row>
    <row r="777" spans="2:6" x14ac:dyDescent="0.35">
      <c r="B777">
        <v>3500036391</v>
      </c>
      <c r="C777">
        <v>10</v>
      </c>
      <c r="D777" t="s">
        <v>2942</v>
      </c>
      <c r="E777" t="s">
        <v>2887</v>
      </c>
      <c r="F777" t="s">
        <v>2943</v>
      </c>
    </row>
    <row r="778" spans="2:6" x14ac:dyDescent="0.35">
      <c r="B778">
        <v>3500036390</v>
      </c>
      <c r="C778">
        <v>10</v>
      </c>
      <c r="D778" t="s">
        <v>2944</v>
      </c>
      <c r="E778" t="s">
        <v>2887</v>
      </c>
      <c r="F778" t="s">
        <v>2945</v>
      </c>
    </row>
    <row r="779" spans="2:6" x14ac:dyDescent="0.35">
      <c r="B779">
        <v>3500036389</v>
      </c>
      <c r="C779">
        <v>10</v>
      </c>
      <c r="D779" t="s">
        <v>2946</v>
      </c>
      <c r="E779" t="s">
        <v>2887</v>
      </c>
      <c r="F779" t="s">
        <v>2947</v>
      </c>
    </row>
    <row r="780" spans="2:6" x14ac:dyDescent="0.35">
      <c r="B780">
        <v>3500036388</v>
      </c>
      <c r="C780">
        <v>20</v>
      </c>
      <c r="D780" t="s">
        <v>2948</v>
      </c>
      <c r="E780" t="s">
        <v>2887</v>
      </c>
      <c r="F780" t="s">
        <v>2949</v>
      </c>
    </row>
    <row r="781" spans="2:6" x14ac:dyDescent="0.35">
      <c r="B781">
        <v>3500036388</v>
      </c>
      <c r="C781">
        <v>10</v>
      </c>
      <c r="D781" t="s">
        <v>2950</v>
      </c>
      <c r="E781" t="s">
        <v>2887</v>
      </c>
      <c r="F781" t="s">
        <v>2951</v>
      </c>
    </row>
    <row r="782" spans="2:6" x14ac:dyDescent="0.35">
      <c r="B782">
        <v>3500036387</v>
      </c>
      <c r="C782">
        <v>30</v>
      </c>
      <c r="D782" t="s">
        <v>2952</v>
      </c>
      <c r="E782" t="s">
        <v>2887</v>
      </c>
      <c r="F782" t="s">
        <v>2953</v>
      </c>
    </row>
    <row r="783" spans="2:6" x14ac:dyDescent="0.35">
      <c r="B783">
        <v>3500036387</v>
      </c>
      <c r="C783">
        <v>20</v>
      </c>
      <c r="D783" t="s">
        <v>2954</v>
      </c>
      <c r="E783" t="s">
        <v>2887</v>
      </c>
      <c r="F783" t="s">
        <v>2955</v>
      </c>
    </row>
    <row r="784" spans="2:6" x14ac:dyDescent="0.35">
      <c r="B784">
        <v>3500036387</v>
      </c>
      <c r="C784">
        <v>10</v>
      </c>
      <c r="D784" t="s">
        <v>2956</v>
      </c>
      <c r="E784" t="s">
        <v>2887</v>
      </c>
      <c r="F784" t="s">
        <v>2957</v>
      </c>
    </row>
    <row r="785" spans="2:6" x14ac:dyDescent="0.35">
      <c r="B785">
        <v>3500036386</v>
      </c>
      <c r="C785">
        <v>10</v>
      </c>
      <c r="D785" t="s">
        <v>2958</v>
      </c>
      <c r="E785" t="s">
        <v>2887</v>
      </c>
      <c r="F785" t="s">
        <v>2959</v>
      </c>
    </row>
    <row r="786" spans="2:6" x14ac:dyDescent="0.35">
      <c r="B786">
        <v>3500036385</v>
      </c>
      <c r="C786">
        <v>20</v>
      </c>
      <c r="D786" t="s">
        <v>2960</v>
      </c>
      <c r="E786" t="s">
        <v>2887</v>
      </c>
      <c r="F786" t="s">
        <v>2961</v>
      </c>
    </row>
    <row r="787" spans="2:6" x14ac:dyDescent="0.35">
      <c r="B787">
        <v>3500036385</v>
      </c>
      <c r="C787">
        <v>10</v>
      </c>
      <c r="D787" t="s">
        <v>2962</v>
      </c>
      <c r="E787" t="s">
        <v>2887</v>
      </c>
      <c r="F787" t="s">
        <v>2963</v>
      </c>
    </row>
    <row r="788" spans="2:6" x14ac:dyDescent="0.35">
      <c r="B788">
        <v>3500036382</v>
      </c>
      <c r="C788">
        <v>70</v>
      </c>
      <c r="D788" t="s">
        <v>2964</v>
      </c>
      <c r="E788" t="s">
        <v>2887</v>
      </c>
      <c r="F788" t="s">
        <v>2965</v>
      </c>
    </row>
    <row r="789" spans="2:6" x14ac:dyDescent="0.35">
      <c r="B789">
        <v>3500036382</v>
      </c>
      <c r="C789">
        <v>60</v>
      </c>
      <c r="D789" t="s">
        <v>2966</v>
      </c>
      <c r="E789" t="s">
        <v>2887</v>
      </c>
      <c r="F789" t="s">
        <v>2967</v>
      </c>
    </row>
    <row r="790" spans="2:6" x14ac:dyDescent="0.35">
      <c r="B790">
        <v>3500036382</v>
      </c>
      <c r="C790">
        <v>50</v>
      </c>
      <c r="D790" t="s">
        <v>2968</v>
      </c>
      <c r="E790" t="s">
        <v>2887</v>
      </c>
      <c r="F790" t="s">
        <v>2969</v>
      </c>
    </row>
    <row r="791" spans="2:6" x14ac:dyDescent="0.35">
      <c r="B791">
        <v>3500036382</v>
      </c>
      <c r="C791">
        <v>40</v>
      </c>
      <c r="D791" t="s">
        <v>2970</v>
      </c>
      <c r="E791" t="s">
        <v>2887</v>
      </c>
      <c r="F791" t="s">
        <v>2971</v>
      </c>
    </row>
    <row r="792" spans="2:6" x14ac:dyDescent="0.35">
      <c r="B792">
        <v>3500036382</v>
      </c>
      <c r="C792">
        <v>30</v>
      </c>
      <c r="D792" t="s">
        <v>2972</v>
      </c>
      <c r="E792" t="s">
        <v>2887</v>
      </c>
      <c r="F792" t="s">
        <v>2973</v>
      </c>
    </row>
    <row r="793" spans="2:6" x14ac:dyDescent="0.35">
      <c r="B793">
        <v>3500036382</v>
      </c>
      <c r="C793">
        <v>20</v>
      </c>
      <c r="D793" t="s">
        <v>2974</v>
      </c>
      <c r="E793" t="s">
        <v>2887</v>
      </c>
      <c r="F793" t="s">
        <v>2975</v>
      </c>
    </row>
    <row r="794" spans="2:6" x14ac:dyDescent="0.35">
      <c r="B794">
        <v>3500036382</v>
      </c>
      <c r="C794">
        <v>10</v>
      </c>
      <c r="D794" t="s">
        <v>2976</v>
      </c>
      <c r="E794" t="s">
        <v>2887</v>
      </c>
      <c r="F794" t="s">
        <v>2977</v>
      </c>
    </row>
    <row r="795" spans="2:6" x14ac:dyDescent="0.35">
      <c r="B795">
        <v>3500036379</v>
      </c>
      <c r="C795">
        <v>20</v>
      </c>
      <c r="D795" t="s">
        <v>2475</v>
      </c>
      <c r="E795" t="s">
        <v>2887</v>
      </c>
      <c r="F795" t="s">
        <v>2978</v>
      </c>
    </row>
    <row r="796" spans="2:6" x14ac:dyDescent="0.35">
      <c r="B796">
        <v>3500036379</v>
      </c>
      <c r="C796">
        <v>10</v>
      </c>
      <c r="D796" t="s">
        <v>2475</v>
      </c>
      <c r="E796" t="s">
        <v>2887</v>
      </c>
      <c r="F796" t="s">
        <v>2978</v>
      </c>
    </row>
    <row r="797" spans="2:6" x14ac:dyDescent="0.35">
      <c r="B797">
        <v>3500036378</v>
      </c>
      <c r="C797">
        <v>10</v>
      </c>
      <c r="D797" t="s">
        <v>2475</v>
      </c>
      <c r="E797" t="s">
        <v>2887</v>
      </c>
      <c r="F797" t="s">
        <v>2979</v>
      </c>
    </row>
    <row r="798" spans="2:6" x14ac:dyDescent="0.35">
      <c r="B798">
        <v>3500036377</v>
      </c>
      <c r="C798">
        <v>10</v>
      </c>
      <c r="D798" t="s">
        <v>2980</v>
      </c>
      <c r="E798" t="s">
        <v>2887</v>
      </c>
      <c r="F798" t="s">
        <v>2981</v>
      </c>
    </row>
    <row r="799" spans="2:6" x14ac:dyDescent="0.35">
      <c r="B799">
        <v>3500036373</v>
      </c>
      <c r="C799">
        <v>10</v>
      </c>
      <c r="D799" t="s">
        <v>2982</v>
      </c>
      <c r="E799" t="s">
        <v>2887</v>
      </c>
      <c r="F799" t="s">
        <v>2983</v>
      </c>
    </row>
    <row r="800" spans="2:6" x14ac:dyDescent="0.35">
      <c r="B800">
        <v>3500036371</v>
      </c>
      <c r="C800">
        <v>10</v>
      </c>
      <c r="D800" t="s">
        <v>2984</v>
      </c>
      <c r="E800" t="s">
        <v>2985</v>
      </c>
      <c r="F800" t="s">
        <v>2986</v>
      </c>
    </row>
    <row r="801" spans="2:6" x14ac:dyDescent="0.35">
      <c r="B801">
        <v>3500036363</v>
      </c>
      <c r="C801">
        <v>30</v>
      </c>
      <c r="D801" t="s">
        <v>2194</v>
      </c>
      <c r="E801" t="s">
        <v>2987</v>
      </c>
      <c r="F801" t="s">
        <v>2988</v>
      </c>
    </row>
    <row r="802" spans="2:6" x14ac:dyDescent="0.35">
      <c r="B802">
        <v>3500036363</v>
      </c>
      <c r="C802">
        <v>20</v>
      </c>
      <c r="D802" t="s">
        <v>2192</v>
      </c>
      <c r="E802" t="s">
        <v>2987</v>
      </c>
      <c r="F802" t="s">
        <v>2989</v>
      </c>
    </row>
    <row r="803" spans="2:6" x14ac:dyDescent="0.35">
      <c r="B803">
        <v>3500036363</v>
      </c>
      <c r="C803">
        <v>10</v>
      </c>
      <c r="D803" t="s">
        <v>2189</v>
      </c>
      <c r="E803" t="s">
        <v>2987</v>
      </c>
      <c r="F803" t="s">
        <v>2990</v>
      </c>
    </row>
    <row r="804" spans="2:6" x14ac:dyDescent="0.35">
      <c r="B804">
        <v>3500036358</v>
      </c>
      <c r="C804">
        <v>10</v>
      </c>
      <c r="D804" t="s">
        <v>1217</v>
      </c>
      <c r="E804" t="s">
        <v>2887</v>
      </c>
      <c r="F804" t="s">
        <v>2991</v>
      </c>
    </row>
    <row r="805" spans="2:6" x14ac:dyDescent="0.35">
      <c r="B805">
        <v>3500036357</v>
      </c>
      <c r="C805">
        <v>20</v>
      </c>
      <c r="D805" t="s">
        <v>2992</v>
      </c>
      <c r="E805" t="s">
        <v>2887</v>
      </c>
      <c r="F805" t="s">
        <v>2993</v>
      </c>
    </row>
    <row r="806" spans="2:6" x14ac:dyDescent="0.35">
      <c r="B806">
        <v>3500036357</v>
      </c>
      <c r="C806">
        <v>10</v>
      </c>
      <c r="D806" t="s">
        <v>297</v>
      </c>
      <c r="E806" t="s">
        <v>2887</v>
      </c>
      <c r="F806" t="s">
        <v>2994</v>
      </c>
    </row>
    <row r="807" spans="2:6" x14ac:dyDescent="0.35">
      <c r="B807">
        <v>3500036356</v>
      </c>
      <c r="C807">
        <v>30</v>
      </c>
      <c r="D807" t="s">
        <v>2995</v>
      </c>
      <c r="E807" t="s">
        <v>2887</v>
      </c>
      <c r="F807" t="s">
        <v>2996</v>
      </c>
    </row>
    <row r="808" spans="2:6" x14ac:dyDescent="0.35">
      <c r="B808">
        <v>3500036356</v>
      </c>
      <c r="C808">
        <v>20</v>
      </c>
      <c r="D808" t="s">
        <v>2997</v>
      </c>
      <c r="E808" t="s">
        <v>2887</v>
      </c>
      <c r="F808" t="s">
        <v>2998</v>
      </c>
    </row>
    <row r="809" spans="2:6" x14ac:dyDescent="0.35">
      <c r="B809">
        <v>3500036356</v>
      </c>
      <c r="C809">
        <v>10</v>
      </c>
      <c r="D809" t="s">
        <v>2999</v>
      </c>
      <c r="E809" t="s">
        <v>2887</v>
      </c>
      <c r="F809" t="s">
        <v>3000</v>
      </c>
    </row>
    <row r="810" spans="2:6" x14ac:dyDescent="0.35">
      <c r="B810">
        <v>3500036354</v>
      </c>
      <c r="C810">
        <v>30</v>
      </c>
      <c r="D810" t="s">
        <v>296</v>
      </c>
      <c r="E810" t="s">
        <v>2887</v>
      </c>
      <c r="F810" t="s">
        <v>3001</v>
      </c>
    </row>
    <row r="811" spans="2:6" x14ac:dyDescent="0.35">
      <c r="B811">
        <v>3500036354</v>
      </c>
      <c r="C811">
        <v>20</v>
      </c>
      <c r="D811" t="s">
        <v>297</v>
      </c>
      <c r="E811" t="s">
        <v>2887</v>
      </c>
      <c r="F811" t="s">
        <v>3002</v>
      </c>
    </row>
    <row r="812" spans="2:6" x14ac:dyDescent="0.35">
      <c r="B812">
        <v>3500036354</v>
      </c>
      <c r="C812">
        <v>10</v>
      </c>
      <c r="D812" t="s">
        <v>291</v>
      </c>
      <c r="E812" t="s">
        <v>2887</v>
      </c>
      <c r="F812" t="s">
        <v>3003</v>
      </c>
    </row>
    <row r="813" spans="2:6" x14ac:dyDescent="0.35">
      <c r="B813">
        <v>3500036353</v>
      </c>
      <c r="C813">
        <v>10</v>
      </c>
      <c r="D813" t="s">
        <v>2952</v>
      </c>
      <c r="E813" t="s">
        <v>2887</v>
      </c>
      <c r="F813" t="s">
        <v>3004</v>
      </c>
    </row>
    <row r="814" spans="2:6" x14ac:dyDescent="0.35">
      <c r="B814">
        <v>3500036352</v>
      </c>
      <c r="C814">
        <v>50</v>
      </c>
      <c r="D814" t="s">
        <v>2688</v>
      </c>
      <c r="E814" t="s">
        <v>2887</v>
      </c>
      <c r="F814" t="s">
        <v>3005</v>
      </c>
    </row>
    <row r="815" spans="2:6" x14ac:dyDescent="0.35">
      <c r="B815">
        <v>3500036352</v>
      </c>
      <c r="C815">
        <v>40</v>
      </c>
      <c r="D815" t="s">
        <v>2860</v>
      </c>
      <c r="E815" t="s">
        <v>2887</v>
      </c>
      <c r="F815" t="s">
        <v>3006</v>
      </c>
    </row>
    <row r="816" spans="2:6" x14ac:dyDescent="0.35">
      <c r="B816">
        <v>3500036352</v>
      </c>
      <c r="C816">
        <v>30</v>
      </c>
      <c r="D816" t="s">
        <v>3007</v>
      </c>
      <c r="E816" t="s">
        <v>2887</v>
      </c>
      <c r="F816" t="s">
        <v>3008</v>
      </c>
    </row>
    <row r="817" spans="2:6" x14ac:dyDescent="0.35">
      <c r="B817">
        <v>3500036352</v>
      </c>
      <c r="C817">
        <v>20</v>
      </c>
      <c r="D817" t="s">
        <v>2547</v>
      </c>
      <c r="E817" t="s">
        <v>2887</v>
      </c>
      <c r="F817" t="s">
        <v>3009</v>
      </c>
    </row>
    <row r="818" spans="2:6" x14ac:dyDescent="0.35">
      <c r="B818">
        <v>3500036352</v>
      </c>
      <c r="C818">
        <v>10</v>
      </c>
      <c r="D818" t="s">
        <v>2618</v>
      </c>
      <c r="E818" t="s">
        <v>2887</v>
      </c>
      <c r="F818" t="s">
        <v>3010</v>
      </c>
    </row>
    <row r="819" spans="2:6" x14ac:dyDescent="0.35">
      <c r="B819">
        <v>3500036349</v>
      </c>
      <c r="C819">
        <v>10</v>
      </c>
      <c r="D819" t="s">
        <v>3011</v>
      </c>
      <c r="E819" t="s">
        <v>2887</v>
      </c>
      <c r="F819" t="s">
        <v>3012</v>
      </c>
    </row>
    <row r="820" spans="2:6" x14ac:dyDescent="0.35">
      <c r="B820">
        <v>3500036333</v>
      </c>
      <c r="C820">
        <v>80</v>
      </c>
      <c r="D820" t="s">
        <v>3013</v>
      </c>
      <c r="E820" t="s">
        <v>2887</v>
      </c>
      <c r="F820" t="s">
        <v>3014</v>
      </c>
    </row>
    <row r="821" spans="2:6" x14ac:dyDescent="0.35">
      <c r="B821">
        <v>3500036333</v>
      </c>
      <c r="C821">
        <v>70</v>
      </c>
      <c r="D821" t="s">
        <v>3015</v>
      </c>
      <c r="E821" t="s">
        <v>2887</v>
      </c>
      <c r="F821" t="s">
        <v>3016</v>
      </c>
    </row>
    <row r="822" spans="2:6" x14ac:dyDescent="0.35">
      <c r="B822">
        <v>3500036333</v>
      </c>
      <c r="C822">
        <v>60</v>
      </c>
      <c r="D822" t="s">
        <v>3017</v>
      </c>
      <c r="E822" t="s">
        <v>2887</v>
      </c>
      <c r="F822" t="s">
        <v>3018</v>
      </c>
    </row>
    <row r="823" spans="2:6" x14ac:dyDescent="0.35">
      <c r="B823">
        <v>3500036333</v>
      </c>
      <c r="C823">
        <v>50</v>
      </c>
      <c r="D823" t="s">
        <v>3019</v>
      </c>
      <c r="E823" t="s">
        <v>2887</v>
      </c>
      <c r="F823" t="s">
        <v>3020</v>
      </c>
    </row>
    <row r="824" spans="2:6" x14ac:dyDescent="0.35">
      <c r="B824">
        <v>3500036333</v>
      </c>
      <c r="C824">
        <v>40</v>
      </c>
      <c r="D824" t="s">
        <v>3021</v>
      </c>
      <c r="E824" t="s">
        <v>2887</v>
      </c>
      <c r="F824" t="s">
        <v>3022</v>
      </c>
    </row>
    <row r="825" spans="2:6" x14ac:dyDescent="0.35">
      <c r="B825">
        <v>3500036333</v>
      </c>
      <c r="C825">
        <v>30</v>
      </c>
      <c r="D825" t="s">
        <v>3023</v>
      </c>
      <c r="E825" t="s">
        <v>2887</v>
      </c>
      <c r="F825" t="s">
        <v>3024</v>
      </c>
    </row>
    <row r="826" spans="2:6" x14ac:dyDescent="0.35">
      <c r="B826">
        <v>3500036333</v>
      </c>
      <c r="C826">
        <v>20</v>
      </c>
      <c r="D826" t="s">
        <v>3025</v>
      </c>
      <c r="E826" t="s">
        <v>2887</v>
      </c>
      <c r="F826" t="s">
        <v>3026</v>
      </c>
    </row>
    <row r="827" spans="2:6" x14ac:dyDescent="0.35">
      <c r="B827">
        <v>3500036333</v>
      </c>
      <c r="C827">
        <v>10</v>
      </c>
      <c r="D827" t="s">
        <v>3027</v>
      </c>
      <c r="E827" t="s">
        <v>2887</v>
      </c>
      <c r="F827" t="s">
        <v>3028</v>
      </c>
    </row>
    <row r="828" spans="2:6" x14ac:dyDescent="0.35">
      <c r="B828">
        <v>3500036331</v>
      </c>
      <c r="C828">
        <v>10</v>
      </c>
      <c r="D828" t="s">
        <v>3029</v>
      </c>
      <c r="E828" t="s">
        <v>2887</v>
      </c>
      <c r="F828" t="s">
        <v>3030</v>
      </c>
    </row>
    <row r="829" spans="2:6" x14ac:dyDescent="0.35">
      <c r="B829">
        <v>3500036330</v>
      </c>
      <c r="C829">
        <v>10</v>
      </c>
      <c r="D829" t="s">
        <v>3031</v>
      </c>
      <c r="E829" t="s">
        <v>3032</v>
      </c>
      <c r="F829" t="s">
        <v>3033</v>
      </c>
    </row>
    <row r="830" spans="2:6" x14ac:dyDescent="0.35">
      <c r="B830">
        <v>3500036329</v>
      </c>
      <c r="C830">
        <v>10</v>
      </c>
      <c r="D830" t="s">
        <v>3034</v>
      </c>
      <c r="E830" t="s">
        <v>2887</v>
      </c>
      <c r="F830" t="s">
        <v>3035</v>
      </c>
    </row>
    <row r="831" spans="2:6" x14ac:dyDescent="0.35">
      <c r="B831">
        <v>3500036328</v>
      </c>
      <c r="C831">
        <v>10</v>
      </c>
      <c r="D831" t="s">
        <v>3036</v>
      </c>
      <c r="E831" t="s">
        <v>2887</v>
      </c>
      <c r="F831" t="s">
        <v>3037</v>
      </c>
    </row>
    <row r="832" spans="2:6" x14ac:dyDescent="0.35">
      <c r="B832">
        <v>3500036327</v>
      </c>
      <c r="C832">
        <v>10</v>
      </c>
      <c r="D832" t="s">
        <v>3038</v>
      </c>
      <c r="E832" t="s">
        <v>2887</v>
      </c>
      <c r="F832" t="s">
        <v>3039</v>
      </c>
    </row>
    <row r="833" spans="2:6" x14ac:dyDescent="0.35">
      <c r="B833">
        <v>3500036326</v>
      </c>
      <c r="C833">
        <v>10</v>
      </c>
      <c r="D833" t="s">
        <v>3040</v>
      </c>
      <c r="E833" t="s">
        <v>2887</v>
      </c>
      <c r="F833" t="s">
        <v>3041</v>
      </c>
    </row>
    <row r="834" spans="2:6" x14ac:dyDescent="0.35">
      <c r="B834">
        <v>3500036325</v>
      </c>
      <c r="C834">
        <v>10</v>
      </c>
      <c r="D834" t="s">
        <v>3042</v>
      </c>
      <c r="E834" t="s">
        <v>2887</v>
      </c>
      <c r="F834" t="s">
        <v>3043</v>
      </c>
    </row>
    <row r="835" spans="2:6" x14ac:dyDescent="0.35">
      <c r="B835">
        <v>3500036324</v>
      </c>
      <c r="C835">
        <v>10</v>
      </c>
      <c r="D835" t="s">
        <v>3044</v>
      </c>
      <c r="E835" t="s">
        <v>68</v>
      </c>
      <c r="F835" t="s">
        <v>3045</v>
      </c>
    </row>
    <row r="836" spans="2:6" x14ac:dyDescent="0.35">
      <c r="B836">
        <v>3500036323</v>
      </c>
      <c r="C836">
        <v>10</v>
      </c>
      <c r="D836" t="s">
        <v>3046</v>
      </c>
      <c r="E836" t="s">
        <v>68</v>
      </c>
      <c r="F836" t="s">
        <v>3047</v>
      </c>
    </row>
    <row r="837" spans="2:6" x14ac:dyDescent="0.35">
      <c r="B837">
        <v>3500036322</v>
      </c>
      <c r="C837">
        <v>10</v>
      </c>
      <c r="D837" t="s">
        <v>3048</v>
      </c>
      <c r="E837" t="s">
        <v>2887</v>
      </c>
      <c r="F837" t="s">
        <v>3049</v>
      </c>
    </row>
    <row r="838" spans="2:6" x14ac:dyDescent="0.35">
      <c r="B838">
        <v>3500036321</v>
      </c>
      <c r="C838">
        <v>20</v>
      </c>
      <c r="D838" t="s">
        <v>3050</v>
      </c>
      <c r="E838" t="s">
        <v>68</v>
      </c>
      <c r="F838" t="s">
        <v>3051</v>
      </c>
    </row>
    <row r="839" spans="2:6" x14ac:dyDescent="0.35">
      <c r="B839">
        <v>3500036321</v>
      </c>
      <c r="C839">
        <v>10</v>
      </c>
      <c r="D839" t="s">
        <v>3052</v>
      </c>
      <c r="E839" t="s">
        <v>68</v>
      </c>
      <c r="F839" t="s">
        <v>3053</v>
      </c>
    </row>
    <row r="840" spans="2:6" x14ac:dyDescent="0.35">
      <c r="B840">
        <v>3500036320</v>
      </c>
      <c r="C840">
        <v>20</v>
      </c>
      <c r="D840" t="s">
        <v>3054</v>
      </c>
      <c r="E840" t="s">
        <v>2887</v>
      </c>
      <c r="F840" t="s">
        <v>3055</v>
      </c>
    </row>
    <row r="841" spans="2:6" x14ac:dyDescent="0.35">
      <c r="B841">
        <v>3500036320</v>
      </c>
      <c r="C841">
        <v>10</v>
      </c>
      <c r="D841" t="s">
        <v>3056</v>
      </c>
      <c r="E841" t="s">
        <v>2887</v>
      </c>
      <c r="F841" t="s">
        <v>3057</v>
      </c>
    </row>
    <row r="842" spans="2:6" x14ac:dyDescent="0.35">
      <c r="B842">
        <v>3500036319</v>
      </c>
      <c r="C842">
        <v>20</v>
      </c>
      <c r="D842" t="s">
        <v>3058</v>
      </c>
      <c r="E842" t="s">
        <v>3059</v>
      </c>
      <c r="F842" t="s">
        <v>3060</v>
      </c>
    </row>
    <row r="843" spans="2:6" x14ac:dyDescent="0.35">
      <c r="B843">
        <v>3500036319</v>
      </c>
      <c r="C843">
        <v>10</v>
      </c>
      <c r="D843" t="s">
        <v>3061</v>
      </c>
      <c r="E843" t="s">
        <v>3059</v>
      </c>
      <c r="F843" t="s">
        <v>3062</v>
      </c>
    </row>
    <row r="844" spans="2:6" x14ac:dyDescent="0.35">
      <c r="B844">
        <v>3500036312</v>
      </c>
      <c r="C844">
        <v>10</v>
      </c>
      <c r="D844" t="s">
        <v>3063</v>
      </c>
      <c r="E844" t="s">
        <v>2922</v>
      </c>
      <c r="F844" t="s">
        <v>3064</v>
      </c>
    </row>
    <row r="845" spans="2:6" x14ac:dyDescent="0.35">
      <c r="B845">
        <v>3500036310</v>
      </c>
      <c r="C845">
        <v>10</v>
      </c>
      <c r="D845" t="s">
        <v>3065</v>
      </c>
      <c r="E845" t="s">
        <v>2887</v>
      </c>
      <c r="F845" t="s">
        <v>3066</v>
      </c>
    </row>
    <row r="846" spans="2:6" x14ac:dyDescent="0.35">
      <c r="B846">
        <v>3500036306</v>
      </c>
      <c r="C846">
        <v>40</v>
      </c>
      <c r="D846" t="s">
        <v>3067</v>
      </c>
      <c r="E846" t="s">
        <v>68</v>
      </c>
      <c r="F846" t="s">
        <v>3068</v>
      </c>
    </row>
    <row r="847" spans="2:6" x14ac:dyDescent="0.35">
      <c r="B847">
        <v>3500036306</v>
      </c>
      <c r="C847">
        <v>30</v>
      </c>
      <c r="D847" t="s">
        <v>3069</v>
      </c>
      <c r="E847" t="s">
        <v>2887</v>
      </c>
      <c r="F847" t="s">
        <v>3070</v>
      </c>
    </row>
    <row r="848" spans="2:6" x14ac:dyDescent="0.35">
      <c r="B848">
        <v>3500036306</v>
      </c>
      <c r="C848">
        <v>20</v>
      </c>
      <c r="D848" t="s">
        <v>3071</v>
      </c>
      <c r="E848" t="s">
        <v>2887</v>
      </c>
      <c r="F848" t="s">
        <v>3072</v>
      </c>
    </row>
    <row r="849" spans="2:6" x14ac:dyDescent="0.35">
      <c r="B849">
        <v>3500036306</v>
      </c>
      <c r="C849">
        <v>10</v>
      </c>
      <c r="D849" t="s">
        <v>3073</v>
      </c>
      <c r="E849" t="s">
        <v>2887</v>
      </c>
      <c r="F849" t="s">
        <v>3074</v>
      </c>
    </row>
    <row r="850" spans="2:6" x14ac:dyDescent="0.35">
      <c r="B850">
        <v>3500036305</v>
      </c>
      <c r="C850">
        <v>80</v>
      </c>
      <c r="D850" t="s">
        <v>3075</v>
      </c>
      <c r="E850" t="s">
        <v>3076</v>
      </c>
      <c r="F850" t="s">
        <v>3077</v>
      </c>
    </row>
    <row r="851" spans="2:6" x14ac:dyDescent="0.35">
      <c r="B851">
        <v>3500036305</v>
      </c>
      <c r="C851">
        <v>70</v>
      </c>
      <c r="D851" t="s">
        <v>3078</v>
      </c>
      <c r="E851" t="s">
        <v>3076</v>
      </c>
      <c r="F851" t="s">
        <v>3079</v>
      </c>
    </row>
    <row r="852" spans="2:6" x14ac:dyDescent="0.35">
      <c r="B852">
        <v>3500036305</v>
      </c>
      <c r="C852">
        <v>60</v>
      </c>
      <c r="D852" t="s">
        <v>3080</v>
      </c>
      <c r="E852" t="s">
        <v>3076</v>
      </c>
      <c r="F852" t="s">
        <v>3081</v>
      </c>
    </row>
    <row r="853" spans="2:6" x14ac:dyDescent="0.35">
      <c r="B853">
        <v>3500036305</v>
      </c>
      <c r="C853">
        <v>50</v>
      </c>
      <c r="D853" t="s">
        <v>3082</v>
      </c>
      <c r="E853" t="s">
        <v>3076</v>
      </c>
      <c r="F853" t="s">
        <v>3083</v>
      </c>
    </row>
    <row r="854" spans="2:6" x14ac:dyDescent="0.35">
      <c r="B854">
        <v>3500036305</v>
      </c>
      <c r="C854">
        <v>40</v>
      </c>
      <c r="D854" t="s">
        <v>3084</v>
      </c>
      <c r="E854" t="s">
        <v>3076</v>
      </c>
      <c r="F854" t="s">
        <v>3085</v>
      </c>
    </row>
    <row r="855" spans="2:6" x14ac:dyDescent="0.35">
      <c r="B855">
        <v>3500036305</v>
      </c>
      <c r="C855">
        <v>30</v>
      </c>
      <c r="D855" t="s">
        <v>3086</v>
      </c>
      <c r="E855" t="s">
        <v>3076</v>
      </c>
      <c r="F855" t="s">
        <v>3087</v>
      </c>
    </row>
    <row r="856" spans="2:6" x14ac:dyDescent="0.35">
      <c r="B856">
        <v>3500036305</v>
      </c>
      <c r="C856">
        <v>20</v>
      </c>
      <c r="D856" t="s">
        <v>3088</v>
      </c>
      <c r="E856" t="s">
        <v>3076</v>
      </c>
      <c r="F856" t="s">
        <v>3089</v>
      </c>
    </row>
    <row r="857" spans="2:6" x14ac:dyDescent="0.35">
      <c r="B857">
        <v>3500036305</v>
      </c>
      <c r="C857">
        <v>10</v>
      </c>
      <c r="D857" t="s">
        <v>3090</v>
      </c>
      <c r="E857" t="s">
        <v>3076</v>
      </c>
      <c r="F857" t="s">
        <v>3091</v>
      </c>
    </row>
    <row r="858" spans="2:6" x14ac:dyDescent="0.35">
      <c r="B858">
        <v>3500036273</v>
      </c>
      <c r="C858">
        <v>10</v>
      </c>
      <c r="D858" t="s">
        <v>3092</v>
      </c>
      <c r="E858" t="s">
        <v>2887</v>
      </c>
      <c r="F858" t="s">
        <v>3093</v>
      </c>
    </row>
    <row r="859" spans="2:6" x14ac:dyDescent="0.35">
      <c r="B859">
        <v>3500036265</v>
      </c>
      <c r="C859">
        <v>40</v>
      </c>
      <c r="D859" t="s">
        <v>2580</v>
      </c>
      <c r="E859" t="s">
        <v>3094</v>
      </c>
      <c r="F859" t="s">
        <v>3095</v>
      </c>
    </row>
    <row r="860" spans="2:6" x14ac:dyDescent="0.35">
      <c r="B860">
        <v>3500036265</v>
      </c>
      <c r="C860">
        <v>30</v>
      </c>
      <c r="D860" t="s">
        <v>3096</v>
      </c>
      <c r="E860" t="s">
        <v>3094</v>
      </c>
      <c r="F860" t="s">
        <v>3097</v>
      </c>
    </row>
    <row r="861" spans="2:6" x14ac:dyDescent="0.35">
      <c r="B861">
        <v>3500036265</v>
      </c>
      <c r="C861">
        <v>20</v>
      </c>
      <c r="D861" t="s">
        <v>2567</v>
      </c>
      <c r="E861" t="s">
        <v>3094</v>
      </c>
      <c r="F861" t="s">
        <v>3098</v>
      </c>
    </row>
    <row r="862" spans="2:6" x14ac:dyDescent="0.35">
      <c r="B862">
        <v>3500036265</v>
      </c>
      <c r="C862">
        <v>10</v>
      </c>
      <c r="D862" t="s">
        <v>3099</v>
      </c>
      <c r="E862" t="s">
        <v>3094</v>
      </c>
      <c r="F862" t="s">
        <v>3100</v>
      </c>
    </row>
    <row r="863" spans="2:6" x14ac:dyDescent="0.35">
      <c r="B863">
        <v>3500036262</v>
      </c>
      <c r="C863">
        <v>70</v>
      </c>
      <c r="D863" t="s">
        <v>3101</v>
      </c>
      <c r="E863" t="s">
        <v>3094</v>
      </c>
      <c r="F863" t="s">
        <v>3102</v>
      </c>
    </row>
    <row r="864" spans="2:6" x14ac:dyDescent="0.35">
      <c r="B864">
        <v>3500036262</v>
      </c>
      <c r="C864">
        <v>60</v>
      </c>
      <c r="D864" t="s">
        <v>3103</v>
      </c>
      <c r="E864" t="s">
        <v>3094</v>
      </c>
      <c r="F864" t="s">
        <v>3104</v>
      </c>
    </row>
    <row r="865" spans="2:6" x14ac:dyDescent="0.35">
      <c r="B865">
        <v>3500036262</v>
      </c>
      <c r="C865">
        <v>50</v>
      </c>
      <c r="D865" t="s">
        <v>3105</v>
      </c>
      <c r="E865" t="s">
        <v>3094</v>
      </c>
      <c r="F865" t="s">
        <v>3106</v>
      </c>
    </row>
    <row r="866" spans="2:6" x14ac:dyDescent="0.35">
      <c r="B866">
        <v>3500036262</v>
      </c>
      <c r="C866">
        <v>40</v>
      </c>
      <c r="D866" t="s">
        <v>2580</v>
      </c>
      <c r="E866" t="s">
        <v>3094</v>
      </c>
      <c r="F866" t="s">
        <v>3107</v>
      </c>
    </row>
    <row r="867" spans="2:6" x14ac:dyDescent="0.35">
      <c r="B867">
        <v>3500036262</v>
      </c>
      <c r="C867">
        <v>30</v>
      </c>
      <c r="D867" t="s">
        <v>3108</v>
      </c>
      <c r="E867" t="s">
        <v>3094</v>
      </c>
      <c r="F867" t="s">
        <v>3109</v>
      </c>
    </row>
    <row r="868" spans="2:6" x14ac:dyDescent="0.35">
      <c r="B868">
        <v>3500036262</v>
      </c>
      <c r="C868">
        <v>20</v>
      </c>
      <c r="D868" t="s">
        <v>2698</v>
      </c>
      <c r="E868" t="s">
        <v>3094</v>
      </c>
      <c r="F868" t="s">
        <v>3110</v>
      </c>
    </row>
    <row r="869" spans="2:6" x14ac:dyDescent="0.35">
      <c r="B869">
        <v>3500036262</v>
      </c>
      <c r="C869">
        <v>10</v>
      </c>
      <c r="D869" t="s">
        <v>3111</v>
      </c>
      <c r="E869" t="s">
        <v>3094</v>
      </c>
      <c r="F869" t="s">
        <v>3112</v>
      </c>
    </row>
    <row r="870" spans="2:6" x14ac:dyDescent="0.35">
      <c r="B870">
        <v>3500036256</v>
      </c>
      <c r="C870">
        <v>20</v>
      </c>
      <c r="D870" t="s">
        <v>3113</v>
      </c>
      <c r="E870" t="s">
        <v>2922</v>
      </c>
      <c r="F870" t="s">
        <v>3114</v>
      </c>
    </row>
    <row r="871" spans="2:6" x14ac:dyDescent="0.35">
      <c r="B871">
        <v>3500036256</v>
      </c>
      <c r="C871">
        <v>10</v>
      </c>
      <c r="D871" t="s">
        <v>3115</v>
      </c>
      <c r="E871" t="s">
        <v>2922</v>
      </c>
      <c r="F871" t="s">
        <v>3116</v>
      </c>
    </row>
    <row r="872" spans="2:6" x14ac:dyDescent="0.35">
      <c r="B872">
        <v>3500036255</v>
      </c>
      <c r="C872">
        <v>90</v>
      </c>
      <c r="D872" t="s">
        <v>2580</v>
      </c>
      <c r="E872" t="s">
        <v>2887</v>
      </c>
      <c r="F872" t="s">
        <v>3117</v>
      </c>
    </row>
    <row r="873" spans="2:6" x14ac:dyDescent="0.35">
      <c r="B873">
        <v>3500036255</v>
      </c>
      <c r="C873">
        <v>80</v>
      </c>
      <c r="D873" t="s">
        <v>2747</v>
      </c>
      <c r="E873" t="s">
        <v>2887</v>
      </c>
      <c r="F873" t="s">
        <v>3118</v>
      </c>
    </row>
    <row r="874" spans="2:6" x14ac:dyDescent="0.35">
      <c r="B874">
        <v>3500036255</v>
      </c>
      <c r="C874">
        <v>70</v>
      </c>
      <c r="D874" t="s">
        <v>3119</v>
      </c>
      <c r="E874" t="s">
        <v>2887</v>
      </c>
      <c r="F874" t="s">
        <v>3120</v>
      </c>
    </row>
    <row r="875" spans="2:6" x14ac:dyDescent="0.35">
      <c r="B875">
        <v>3500036255</v>
      </c>
      <c r="C875">
        <v>60</v>
      </c>
      <c r="D875" t="s">
        <v>2590</v>
      </c>
      <c r="E875" t="s">
        <v>2887</v>
      </c>
      <c r="F875" t="s">
        <v>3121</v>
      </c>
    </row>
    <row r="876" spans="2:6" x14ac:dyDescent="0.35">
      <c r="B876">
        <v>3500036255</v>
      </c>
      <c r="C876">
        <v>50</v>
      </c>
      <c r="D876" t="s">
        <v>2679</v>
      </c>
      <c r="E876" t="s">
        <v>2887</v>
      </c>
      <c r="F876" t="s">
        <v>3122</v>
      </c>
    </row>
    <row r="877" spans="2:6" x14ac:dyDescent="0.35">
      <c r="B877">
        <v>3500036255</v>
      </c>
      <c r="C877">
        <v>40</v>
      </c>
      <c r="D877" t="s">
        <v>2679</v>
      </c>
      <c r="E877" t="s">
        <v>2887</v>
      </c>
      <c r="F877" t="s">
        <v>3122</v>
      </c>
    </row>
    <row r="878" spans="2:6" x14ac:dyDescent="0.35">
      <c r="B878">
        <v>3500036255</v>
      </c>
      <c r="C878">
        <v>30</v>
      </c>
      <c r="D878" t="s">
        <v>3123</v>
      </c>
      <c r="E878" t="s">
        <v>2887</v>
      </c>
      <c r="F878" t="s">
        <v>3124</v>
      </c>
    </row>
    <row r="879" spans="2:6" x14ac:dyDescent="0.35">
      <c r="B879">
        <v>3500036255</v>
      </c>
      <c r="C879">
        <v>20</v>
      </c>
      <c r="D879" t="s">
        <v>2849</v>
      </c>
      <c r="E879" t="s">
        <v>2887</v>
      </c>
      <c r="F879" t="s">
        <v>3125</v>
      </c>
    </row>
    <row r="880" spans="2:6" x14ac:dyDescent="0.35">
      <c r="B880">
        <v>3500036255</v>
      </c>
      <c r="C880">
        <v>110</v>
      </c>
      <c r="D880" t="s">
        <v>2625</v>
      </c>
      <c r="E880" t="s">
        <v>2887</v>
      </c>
      <c r="F880" t="s">
        <v>3126</v>
      </c>
    </row>
    <row r="881" spans="2:6" x14ac:dyDescent="0.35">
      <c r="B881">
        <v>3500036255</v>
      </c>
      <c r="C881">
        <v>100</v>
      </c>
      <c r="D881" t="s">
        <v>2577</v>
      </c>
      <c r="E881" t="s">
        <v>2887</v>
      </c>
      <c r="F881" t="s">
        <v>3127</v>
      </c>
    </row>
    <row r="882" spans="2:6" x14ac:dyDescent="0.35">
      <c r="B882">
        <v>3500036255</v>
      </c>
      <c r="C882">
        <v>10</v>
      </c>
      <c r="D882" t="s">
        <v>2587</v>
      </c>
      <c r="E882" t="s">
        <v>2887</v>
      </c>
      <c r="F882" t="s">
        <v>3128</v>
      </c>
    </row>
    <row r="883" spans="2:6" x14ac:dyDescent="0.35">
      <c r="B883">
        <v>3500036252</v>
      </c>
      <c r="C883">
        <v>10</v>
      </c>
      <c r="D883" t="s">
        <v>3129</v>
      </c>
      <c r="E883" t="s">
        <v>3130</v>
      </c>
      <c r="F883" t="s">
        <v>3131</v>
      </c>
    </row>
    <row r="884" spans="2:6" x14ac:dyDescent="0.35">
      <c r="B884">
        <v>3500036250</v>
      </c>
      <c r="C884">
        <v>10</v>
      </c>
      <c r="D884" t="s">
        <v>3132</v>
      </c>
      <c r="E884" t="s">
        <v>2887</v>
      </c>
      <c r="F884" t="s">
        <v>3133</v>
      </c>
    </row>
    <row r="885" spans="2:6" x14ac:dyDescent="0.35">
      <c r="B885">
        <v>3500036249</v>
      </c>
      <c r="C885">
        <v>10</v>
      </c>
      <c r="D885" t="s">
        <v>3134</v>
      </c>
      <c r="E885" t="s">
        <v>2887</v>
      </c>
      <c r="F885" t="s">
        <v>3135</v>
      </c>
    </row>
    <row r="886" spans="2:6" x14ac:dyDescent="0.35">
      <c r="B886">
        <v>3500036248</v>
      </c>
      <c r="C886">
        <v>10</v>
      </c>
      <c r="D886" t="s">
        <v>1217</v>
      </c>
      <c r="E886" t="s">
        <v>2887</v>
      </c>
      <c r="F886" t="s">
        <v>3136</v>
      </c>
    </row>
    <row r="887" spans="2:6" x14ac:dyDescent="0.35">
      <c r="B887">
        <v>3500036247</v>
      </c>
      <c r="C887">
        <v>10</v>
      </c>
      <c r="D887" t="s">
        <v>3137</v>
      </c>
      <c r="E887" t="s">
        <v>2922</v>
      </c>
      <c r="F887" t="s">
        <v>3138</v>
      </c>
    </row>
    <row r="888" spans="2:6" x14ac:dyDescent="0.35">
      <c r="B888">
        <v>3500036246</v>
      </c>
      <c r="C888">
        <v>10</v>
      </c>
      <c r="D888" t="s">
        <v>3139</v>
      </c>
      <c r="E888" t="s">
        <v>2906</v>
      </c>
      <c r="F888" t="s">
        <v>3140</v>
      </c>
    </row>
    <row r="889" spans="2:6" x14ac:dyDescent="0.35">
      <c r="B889">
        <v>3500036237</v>
      </c>
      <c r="C889">
        <v>90</v>
      </c>
      <c r="D889" t="s">
        <v>3141</v>
      </c>
      <c r="E889" t="s">
        <v>2922</v>
      </c>
      <c r="F889" t="s">
        <v>3142</v>
      </c>
    </row>
    <row r="890" spans="2:6" x14ac:dyDescent="0.35">
      <c r="B890">
        <v>3500036237</v>
      </c>
      <c r="C890">
        <v>80</v>
      </c>
      <c r="D890" t="s">
        <v>3143</v>
      </c>
      <c r="E890" t="s">
        <v>2922</v>
      </c>
      <c r="F890" t="s">
        <v>3144</v>
      </c>
    </row>
    <row r="891" spans="2:6" x14ac:dyDescent="0.35">
      <c r="B891">
        <v>3500036237</v>
      </c>
      <c r="C891">
        <v>70</v>
      </c>
      <c r="D891" t="s">
        <v>3145</v>
      </c>
      <c r="E891" t="s">
        <v>2922</v>
      </c>
      <c r="F891" t="s">
        <v>3146</v>
      </c>
    </row>
    <row r="892" spans="2:6" x14ac:dyDescent="0.35">
      <c r="B892">
        <v>3500036237</v>
      </c>
      <c r="C892">
        <v>60</v>
      </c>
      <c r="D892" t="s">
        <v>2553</v>
      </c>
      <c r="E892" t="s">
        <v>2922</v>
      </c>
      <c r="F892" t="s">
        <v>3147</v>
      </c>
    </row>
    <row r="893" spans="2:6" x14ac:dyDescent="0.35">
      <c r="B893">
        <v>3500036237</v>
      </c>
      <c r="C893">
        <v>50</v>
      </c>
      <c r="D893" t="s">
        <v>2537</v>
      </c>
      <c r="E893" t="s">
        <v>2922</v>
      </c>
      <c r="F893" t="s">
        <v>3148</v>
      </c>
    </row>
    <row r="894" spans="2:6" x14ac:dyDescent="0.35">
      <c r="B894">
        <v>3500036237</v>
      </c>
      <c r="C894">
        <v>40</v>
      </c>
      <c r="D894" t="s">
        <v>3149</v>
      </c>
      <c r="E894" t="s">
        <v>2922</v>
      </c>
      <c r="F894" t="s">
        <v>3150</v>
      </c>
    </row>
    <row r="895" spans="2:6" x14ac:dyDescent="0.35">
      <c r="B895">
        <v>3500036237</v>
      </c>
      <c r="C895">
        <v>30</v>
      </c>
      <c r="D895" t="s">
        <v>2805</v>
      </c>
      <c r="E895" t="s">
        <v>2922</v>
      </c>
      <c r="F895" t="s">
        <v>3151</v>
      </c>
    </row>
    <row r="896" spans="2:6" x14ac:dyDescent="0.35">
      <c r="B896">
        <v>3500036237</v>
      </c>
      <c r="C896">
        <v>220</v>
      </c>
      <c r="D896" t="s">
        <v>2531</v>
      </c>
      <c r="E896" t="s">
        <v>2922</v>
      </c>
      <c r="F896" t="s">
        <v>3152</v>
      </c>
    </row>
    <row r="897" spans="2:6" x14ac:dyDescent="0.35">
      <c r="B897">
        <v>3500036237</v>
      </c>
      <c r="C897">
        <v>210</v>
      </c>
      <c r="D897" t="s">
        <v>2625</v>
      </c>
      <c r="E897" t="s">
        <v>2922</v>
      </c>
      <c r="F897" t="s">
        <v>3153</v>
      </c>
    </row>
    <row r="898" spans="2:6" x14ac:dyDescent="0.35">
      <c r="B898">
        <v>3500036237</v>
      </c>
      <c r="C898">
        <v>200</v>
      </c>
      <c r="D898" t="s">
        <v>2577</v>
      </c>
      <c r="E898" t="s">
        <v>2922</v>
      </c>
      <c r="F898" t="s">
        <v>3154</v>
      </c>
    </row>
    <row r="899" spans="2:6" x14ac:dyDescent="0.35">
      <c r="B899">
        <v>3500036237</v>
      </c>
      <c r="C899">
        <v>20</v>
      </c>
      <c r="D899" t="s">
        <v>2543</v>
      </c>
      <c r="E899" t="s">
        <v>2922</v>
      </c>
      <c r="F899" t="s">
        <v>3155</v>
      </c>
    </row>
    <row r="900" spans="2:6" x14ac:dyDescent="0.35">
      <c r="B900">
        <v>3500036237</v>
      </c>
      <c r="C900">
        <v>190</v>
      </c>
      <c r="D900" t="s">
        <v>2577</v>
      </c>
      <c r="E900" t="s">
        <v>2922</v>
      </c>
      <c r="F900" t="s">
        <v>3154</v>
      </c>
    </row>
    <row r="901" spans="2:6" x14ac:dyDescent="0.35">
      <c r="B901">
        <v>3500036237</v>
      </c>
      <c r="C901">
        <v>180</v>
      </c>
      <c r="D901" t="s">
        <v>2580</v>
      </c>
      <c r="E901" t="s">
        <v>2922</v>
      </c>
      <c r="F901" t="s">
        <v>3156</v>
      </c>
    </row>
    <row r="902" spans="2:6" x14ac:dyDescent="0.35">
      <c r="B902">
        <v>3500036237</v>
      </c>
      <c r="C902">
        <v>170</v>
      </c>
      <c r="D902" t="s">
        <v>2535</v>
      </c>
      <c r="E902" t="s">
        <v>2922</v>
      </c>
      <c r="F902" t="s">
        <v>3157</v>
      </c>
    </row>
    <row r="903" spans="2:6" x14ac:dyDescent="0.35">
      <c r="B903">
        <v>3500036237</v>
      </c>
      <c r="C903">
        <v>160</v>
      </c>
      <c r="D903" t="s">
        <v>3158</v>
      </c>
      <c r="E903" t="s">
        <v>2922</v>
      </c>
      <c r="F903" t="s">
        <v>3159</v>
      </c>
    </row>
    <row r="904" spans="2:6" x14ac:dyDescent="0.35">
      <c r="B904">
        <v>3500036237</v>
      </c>
      <c r="C904">
        <v>150</v>
      </c>
      <c r="D904" t="s">
        <v>3160</v>
      </c>
      <c r="E904" t="s">
        <v>2922</v>
      </c>
      <c r="F904" t="s">
        <v>3161</v>
      </c>
    </row>
    <row r="905" spans="2:6" x14ac:dyDescent="0.35">
      <c r="B905">
        <v>3500036237</v>
      </c>
      <c r="C905">
        <v>140</v>
      </c>
      <c r="D905" t="s">
        <v>2721</v>
      </c>
      <c r="E905" t="s">
        <v>2922</v>
      </c>
      <c r="F905" t="s">
        <v>3162</v>
      </c>
    </row>
    <row r="906" spans="2:6" x14ac:dyDescent="0.35">
      <c r="B906">
        <v>3500036237</v>
      </c>
      <c r="C906">
        <v>130</v>
      </c>
      <c r="D906" t="s">
        <v>2559</v>
      </c>
      <c r="E906" t="s">
        <v>2922</v>
      </c>
      <c r="F906" t="s">
        <v>3163</v>
      </c>
    </row>
    <row r="907" spans="2:6" x14ac:dyDescent="0.35">
      <c r="B907">
        <v>3500036237</v>
      </c>
      <c r="C907">
        <v>120</v>
      </c>
      <c r="D907" t="s">
        <v>2845</v>
      </c>
      <c r="E907" t="s">
        <v>2922</v>
      </c>
      <c r="F907" t="s">
        <v>3164</v>
      </c>
    </row>
    <row r="908" spans="2:6" x14ac:dyDescent="0.35">
      <c r="B908">
        <v>3500036237</v>
      </c>
      <c r="C908">
        <v>110</v>
      </c>
      <c r="D908" t="s">
        <v>3099</v>
      </c>
      <c r="E908" t="s">
        <v>2922</v>
      </c>
      <c r="F908" t="s">
        <v>3165</v>
      </c>
    </row>
    <row r="909" spans="2:6" x14ac:dyDescent="0.35">
      <c r="B909">
        <v>3500036237</v>
      </c>
      <c r="C909">
        <v>100</v>
      </c>
      <c r="D909" t="s">
        <v>2561</v>
      </c>
      <c r="E909" t="s">
        <v>2922</v>
      </c>
      <c r="F909" t="s">
        <v>3166</v>
      </c>
    </row>
    <row r="910" spans="2:6" x14ac:dyDescent="0.35">
      <c r="B910">
        <v>3500036237</v>
      </c>
      <c r="C910">
        <v>10</v>
      </c>
      <c r="D910" t="s">
        <v>2587</v>
      </c>
      <c r="E910" t="s">
        <v>2922</v>
      </c>
      <c r="F910" t="s">
        <v>3167</v>
      </c>
    </row>
    <row r="911" spans="2:6" x14ac:dyDescent="0.35">
      <c r="B911">
        <v>3500036167</v>
      </c>
      <c r="C911">
        <v>50</v>
      </c>
      <c r="D911" t="s">
        <v>3168</v>
      </c>
      <c r="E911" t="s">
        <v>68</v>
      </c>
      <c r="F911" t="s">
        <v>3169</v>
      </c>
    </row>
    <row r="912" spans="2:6" x14ac:dyDescent="0.35">
      <c r="B912">
        <v>3500036167</v>
      </c>
      <c r="C912">
        <v>40</v>
      </c>
      <c r="D912" t="s">
        <v>3170</v>
      </c>
      <c r="E912" t="s">
        <v>68</v>
      </c>
      <c r="F912" t="s">
        <v>3171</v>
      </c>
    </row>
    <row r="913" spans="2:6" x14ac:dyDescent="0.35">
      <c r="B913">
        <v>3500036167</v>
      </c>
      <c r="C913">
        <v>30</v>
      </c>
      <c r="D913" t="s">
        <v>3170</v>
      </c>
      <c r="E913" t="s">
        <v>68</v>
      </c>
      <c r="F913" t="s">
        <v>3171</v>
      </c>
    </row>
    <row r="914" spans="2:6" x14ac:dyDescent="0.35">
      <c r="B914">
        <v>3500036167</v>
      </c>
      <c r="C914">
        <v>20</v>
      </c>
      <c r="D914" t="s">
        <v>3170</v>
      </c>
      <c r="E914" t="s">
        <v>68</v>
      </c>
      <c r="F914" t="s">
        <v>3171</v>
      </c>
    </row>
    <row r="915" spans="2:6" x14ac:dyDescent="0.35">
      <c r="B915">
        <v>3500036167</v>
      </c>
      <c r="C915">
        <v>10</v>
      </c>
      <c r="D915" t="s">
        <v>3170</v>
      </c>
      <c r="E915" t="s">
        <v>68</v>
      </c>
      <c r="F915" t="s">
        <v>3171</v>
      </c>
    </row>
    <row r="916" spans="2:6" x14ac:dyDescent="0.35">
      <c r="B916">
        <v>3500036165</v>
      </c>
      <c r="C916">
        <v>10</v>
      </c>
      <c r="D916" t="s">
        <v>3172</v>
      </c>
      <c r="E916" t="s">
        <v>2887</v>
      </c>
      <c r="F916" t="s">
        <v>3173</v>
      </c>
    </row>
    <row r="917" spans="2:6" x14ac:dyDescent="0.35">
      <c r="B917">
        <v>3500036148</v>
      </c>
      <c r="C917">
        <v>40</v>
      </c>
      <c r="D917" t="s">
        <v>3174</v>
      </c>
      <c r="E917" t="s">
        <v>3130</v>
      </c>
      <c r="F917" t="s">
        <v>3175</v>
      </c>
    </row>
    <row r="918" spans="2:6" x14ac:dyDescent="0.35">
      <c r="B918">
        <v>3500036148</v>
      </c>
      <c r="C918">
        <v>30</v>
      </c>
      <c r="D918" t="s">
        <v>3176</v>
      </c>
      <c r="E918" t="s">
        <v>3130</v>
      </c>
      <c r="F918" t="s">
        <v>3177</v>
      </c>
    </row>
    <row r="919" spans="2:6" x14ac:dyDescent="0.35">
      <c r="B919">
        <v>3500036148</v>
      </c>
      <c r="C919">
        <v>20</v>
      </c>
      <c r="D919" t="s">
        <v>3178</v>
      </c>
      <c r="E919" t="s">
        <v>3130</v>
      </c>
      <c r="F919" t="s">
        <v>3179</v>
      </c>
    </row>
    <row r="920" spans="2:6" x14ac:dyDescent="0.35">
      <c r="B920">
        <v>3500036148</v>
      </c>
      <c r="C920">
        <v>10</v>
      </c>
      <c r="D920" t="s">
        <v>3180</v>
      </c>
      <c r="E920" t="s">
        <v>3130</v>
      </c>
      <c r="F920" t="s">
        <v>3181</v>
      </c>
    </row>
    <row r="921" spans="2:6" x14ac:dyDescent="0.35">
      <c r="B921">
        <v>3500036146</v>
      </c>
      <c r="C921">
        <v>90</v>
      </c>
      <c r="D921" t="s">
        <v>3182</v>
      </c>
      <c r="E921" t="s">
        <v>3130</v>
      </c>
      <c r="F921" t="s">
        <v>3183</v>
      </c>
    </row>
    <row r="922" spans="2:6" x14ac:dyDescent="0.35">
      <c r="B922">
        <v>3500036146</v>
      </c>
      <c r="C922">
        <v>80</v>
      </c>
      <c r="D922" t="s">
        <v>3174</v>
      </c>
      <c r="E922" t="s">
        <v>3130</v>
      </c>
      <c r="F922" t="s">
        <v>3184</v>
      </c>
    </row>
    <row r="923" spans="2:6" x14ac:dyDescent="0.35">
      <c r="B923">
        <v>3500036146</v>
      </c>
      <c r="C923">
        <v>70</v>
      </c>
      <c r="D923" t="s">
        <v>3176</v>
      </c>
      <c r="E923" t="s">
        <v>3130</v>
      </c>
      <c r="F923" t="s">
        <v>3185</v>
      </c>
    </row>
    <row r="924" spans="2:6" x14ac:dyDescent="0.35">
      <c r="B924">
        <v>3500036146</v>
      </c>
      <c r="C924">
        <v>60</v>
      </c>
      <c r="D924" t="s">
        <v>3186</v>
      </c>
      <c r="E924" t="s">
        <v>3130</v>
      </c>
      <c r="F924" t="s">
        <v>3187</v>
      </c>
    </row>
    <row r="925" spans="2:6" x14ac:dyDescent="0.35">
      <c r="B925">
        <v>3500036146</v>
      </c>
      <c r="C925">
        <v>50</v>
      </c>
      <c r="D925" t="s">
        <v>3178</v>
      </c>
      <c r="E925" t="s">
        <v>3130</v>
      </c>
      <c r="F925" t="s">
        <v>3188</v>
      </c>
    </row>
    <row r="926" spans="2:6" x14ac:dyDescent="0.35">
      <c r="B926">
        <v>3500036146</v>
      </c>
      <c r="C926">
        <v>40</v>
      </c>
      <c r="D926" t="s">
        <v>3189</v>
      </c>
      <c r="E926" t="s">
        <v>3130</v>
      </c>
      <c r="F926" t="s">
        <v>3190</v>
      </c>
    </row>
    <row r="927" spans="2:6" x14ac:dyDescent="0.35">
      <c r="B927">
        <v>3500036146</v>
      </c>
      <c r="C927">
        <v>30</v>
      </c>
      <c r="D927" t="s">
        <v>3191</v>
      </c>
      <c r="E927" t="s">
        <v>3130</v>
      </c>
      <c r="F927" t="s">
        <v>3192</v>
      </c>
    </row>
    <row r="928" spans="2:6" x14ac:dyDescent="0.35">
      <c r="B928">
        <v>3500036146</v>
      </c>
      <c r="C928">
        <v>20</v>
      </c>
      <c r="D928" t="s">
        <v>3193</v>
      </c>
      <c r="E928" t="s">
        <v>3130</v>
      </c>
      <c r="F928" t="s">
        <v>3194</v>
      </c>
    </row>
    <row r="929" spans="2:6" x14ac:dyDescent="0.35">
      <c r="B929">
        <v>3500036146</v>
      </c>
      <c r="C929">
        <v>10</v>
      </c>
      <c r="D929" t="s">
        <v>1372</v>
      </c>
      <c r="E929" t="s">
        <v>3130</v>
      </c>
      <c r="F929" t="s">
        <v>3195</v>
      </c>
    </row>
    <row r="930" spans="2:6" x14ac:dyDescent="0.35">
      <c r="B930">
        <v>3500036089</v>
      </c>
      <c r="C930">
        <v>10</v>
      </c>
      <c r="D930" t="s">
        <v>3196</v>
      </c>
      <c r="E930" t="s">
        <v>3197</v>
      </c>
      <c r="F930" t="s">
        <v>3198</v>
      </c>
    </row>
    <row r="931" spans="2:6" x14ac:dyDescent="0.35">
      <c r="B931">
        <v>3500036071</v>
      </c>
      <c r="C931">
        <v>10</v>
      </c>
      <c r="D931" t="s">
        <v>3199</v>
      </c>
      <c r="E931" t="s">
        <v>3200</v>
      </c>
      <c r="F931" t="s">
        <v>3201</v>
      </c>
    </row>
    <row r="932" spans="2:6" x14ac:dyDescent="0.35">
      <c r="B932">
        <v>3500036070</v>
      </c>
      <c r="C932">
        <v>10</v>
      </c>
      <c r="D932" t="s">
        <v>3202</v>
      </c>
      <c r="E932" t="s">
        <v>3200</v>
      </c>
      <c r="F932" t="s">
        <v>3203</v>
      </c>
    </row>
    <row r="933" spans="2:6" x14ac:dyDescent="0.35">
      <c r="B933">
        <v>3500036069</v>
      </c>
      <c r="C933">
        <v>10</v>
      </c>
      <c r="D933" t="s">
        <v>3204</v>
      </c>
      <c r="E933" t="s">
        <v>3200</v>
      </c>
      <c r="F933" t="s">
        <v>3205</v>
      </c>
    </row>
    <row r="934" spans="2:6" x14ac:dyDescent="0.35">
      <c r="B934">
        <v>3500036068</v>
      </c>
      <c r="C934">
        <v>10</v>
      </c>
      <c r="D934" t="s">
        <v>3206</v>
      </c>
      <c r="E934" t="s">
        <v>3200</v>
      </c>
      <c r="F934" t="s">
        <v>3207</v>
      </c>
    </row>
    <row r="935" spans="2:6" x14ac:dyDescent="0.35">
      <c r="B935">
        <v>3500036067</v>
      </c>
      <c r="C935">
        <v>10</v>
      </c>
      <c r="D935" t="s">
        <v>3208</v>
      </c>
      <c r="E935" t="s">
        <v>3200</v>
      </c>
      <c r="F935" t="s">
        <v>3209</v>
      </c>
    </row>
    <row r="936" spans="2:6" x14ac:dyDescent="0.35">
      <c r="B936">
        <v>3500036043</v>
      </c>
      <c r="C936">
        <v>10</v>
      </c>
      <c r="D936" t="s">
        <v>2475</v>
      </c>
      <c r="E936" t="s">
        <v>3200</v>
      </c>
      <c r="F936" t="s">
        <v>3210</v>
      </c>
    </row>
    <row r="937" spans="2:6" x14ac:dyDescent="0.35">
      <c r="B937">
        <v>3500036009</v>
      </c>
      <c r="C937">
        <v>10</v>
      </c>
      <c r="D937" t="s">
        <v>3211</v>
      </c>
      <c r="E937" t="s">
        <v>3212</v>
      </c>
      <c r="F937" t="s">
        <v>3213</v>
      </c>
    </row>
    <row r="938" spans="2:6" x14ac:dyDescent="0.35">
      <c r="B938">
        <v>3500036008</v>
      </c>
      <c r="C938">
        <v>40</v>
      </c>
      <c r="D938" t="s">
        <v>3214</v>
      </c>
      <c r="E938" t="s">
        <v>3094</v>
      </c>
      <c r="F938" t="s">
        <v>3215</v>
      </c>
    </row>
    <row r="939" spans="2:6" x14ac:dyDescent="0.35">
      <c r="B939">
        <v>3500036008</v>
      </c>
      <c r="C939">
        <v>30</v>
      </c>
      <c r="D939" t="s">
        <v>3216</v>
      </c>
      <c r="E939" t="s">
        <v>3094</v>
      </c>
      <c r="F939" t="s">
        <v>3217</v>
      </c>
    </row>
    <row r="940" spans="2:6" x14ac:dyDescent="0.35">
      <c r="B940">
        <v>3500036008</v>
      </c>
      <c r="C940">
        <v>20</v>
      </c>
      <c r="D940" t="s">
        <v>3218</v>
      </c>
      <c r="E940" t="s">
        <v>3094</v>
      </c>
      <c r="F940" t="s">
        <v>3219</v>
      </c>
    </row>
    <row r="941" spans="2:6" x14ac:dyDescent="0.35">
      <c r="B941">
        <v>3500036008</v>
      </c>
      <c r="C941">
        <v>10</v>
      </c>
      <c r="D941" t="s">
        <v>3220</v>
      </c>
      <c r="E941" t="s">
        <v>3094</v>
      </c>
      <c r="F941" t="s">
        <v>3221</v>
      </c>
    </row>
    <row r="942" spans="2:6" x14ac:dyDescent="0.35">
      <c r="B942">
        <v>3500035957</v>
      </c>
      <c r="C942">
        <v>10</v>
      </c>
      <c r="D942" t="s">
        <v>3222</v>
      </c>
      <c r="E942" t="s">
        <v>68</v>
      </c>
      <c r="F942" t="s">
        <v>3223</v>
      </c>
    </row>
    <row r="943" spans="2:6" x14ac:dyDescent="0.35">
      <c r="B943">
        <v>3500035952</v>
      </c>
      <c r="C943">
        <v>20</v>
      </c>
      <c r="D943" t="s">
        <v>2475</v>
      </c>
      <c r="E943" t="s">
        <v>68</v>
      </c>
      <c r="F943" t="s">
        <v>3224</v>
      </c>
    </row>
    <row r="944" spans="2:6" x14ac:dyDescent="0.35">
      <c r="B944">
        <v>3500035952</v>
      </c>
      <c r="C944">
        <v>10</v>
      </c>
      <c r="D944" t="s">
        <v>2506</v>
      </c>
      <c r="E944" t="s">
        <v>68</v>
      </c>
      <c r="F944" t="s">
        <v>3225</v>
      </c>
    </row>
    <row r="945" spans="2:6" x14ac:dyDescent="0.35">
      <c r="B945">
        <v>3500035951</v>
      </c>
      <c r="C945">
        <v>10</v>
      </c>
      <c r="D945" t="s">
        <v>2475</v>
      </c>
      <c r="E945" t="s">
        <v>68</v>
      </c>
      <c r="F945" t="s">
        <v>3226</v>
      </c>
    </row>
    <row r="946" spans="2:6" x14ac:dyDescent="0.35">
      <c r="B946">
        <v>3500035947</v>
      </c>
      <c r="C946">
        <v>10</v>
      </c>
      <c r="D946" t="s">
        <v>3227</v>
      </c>
      <c r="E946" t="s">
        <v>3228</v>
      </c>
      <c r="F946" t="s">
        <v>3229</v>
      </c>
    </row>
    <row r="947" spans="2:6" x14ac:dyDescent="0.35">
      <c r="B947">
        <v>3500035941</v>
      </c>
      <c r="C947">
        <v>20</v>
      </c>
      <c r="D947" t="s">
        <v>3230</v>
      </c>
      <c r="E947" t="s">
        <v>3231</v>
      </c>
      <c r="F947" t="s">
        <v>3232</v>
      </c>
    </row>
    <row r="948" spans="2:6" x14ac:dyDescent="0.35">
      <c r="B948">
        <v>3500035941</v>
      </c>
      <c r="C948">
        <v>10</v>
      </c>
      <c r="D948" t="s">
        <v>3233</v>
      </c>
      <c r="E948" t="s">
        <v>3231</v>
      </c>
      <c r="F948" t="s">
        <v>3234</v>
      </c>
    </row>
    <row r="949" spans="2:6" x14ac:dyDescent="0.35">
      <c r="B949">
        <v>3500035940</v>
      </c>
      <c r="C949">
        <v>90</v>
      </c>
      <c r="D949" t="s">
        <v>3235</v>
      </c>
      <c r="E949" t="s">
        <v>3200</v>
      </c>
      <c r="F949" t="s">
        <v>3236</v>
      </c>
    </row>
    <row r="950" spans="2:6" x14ac:dyDescent="0.35">
      <c r="B950">
        <v>3500035940</v>
      </c>
      <c r="C950">
        <v>80</v>
      </c>
      <c r="D950" t="s">
        <v>3237</v>
      </c>
      <c r="E950" t="s">
        <v>3200</v>
      </c>
      <c r="F950" t="s">
        <v>3238</v>
      </c>
    </row>
    <row r="951" spans="2:6" x14ac:dyDescent="0.35">
      <c r="B951">
        <v>3500035940</v>
      </c>
      <c r="C951">
        <v>70</v>
      </c>
      <c r="D951" t="s">
        <v>3239</v>
      </c>
      <c r="E951" t="s">
        <v>3200</v>
      </c>
      <c r="F951" t="s">
        <v>3240</v>
      </c>
    </row>
    <row r="952" spans="2:6" x14ac:dyDescent="0.35">
      <c r="B952">
        <v>3500035940</v>
      </c>
      <c r="C952">
        <v>60</v>
      </c>
      <c r="D952" t="s">
        <v>3241</v>
      </c>
      <c r="E952" t="s">
        <v>3200</v>
      </c>
      <c r="F952" t="s">
        <v>3242</v>
      </c>
    </row>
    <row r="953" spans="2:6" x14ac:dyDescent="0.35">
      <c r="B953">
        <v>3500035940</v>
      </c>
      <c r="C953">
        <v>50</v>
      </c>
      <c r="D953" t="s">
        <v>3243</v>
      </c>
      <c r="E953" t="s">
        <v>3200</v>
      </c>
      <c r="F953" t="s">
        <v>3244</v>
      </c>
    </row>
    <row r="954" spans="2:6" x14ac:dyDescent="0.35">
      <c r="B954">
        <v>3500035940</v>
      </c>
      <c r="C954">
        <v>40</v>
      </c>
      <c r="D954" t="s">
        <v>3245</v>
      </c>
      <c r="E954" t="s">
        <v>3200</v>
      </c>
      <c r="F954" t="s">
        <v>3246</v>
      </c>
    </row>
    <row r="955" spans="2:6" x14ac:dyDescent="0.35">
      <c r="B955">
        <v>3500035940</v>
      </c>
      <c r="C955">
        <v>30</v>
      </c>
      <c r="D955" t="s">
        <v>3247</v>
      </c>
      <c r="E955" t="s">
        <v>3200</v>
      </c>
      <c r="F955" t="s">
        <v>3248</v>
      </c>
    </row>
    <row r="956" spans="2:6" x14ac:dyDescent="0.35">
      <c r="B956">
        <v>3500035940</v>
      </c>
      <c r="C956">
        <v>20</v>
      </c>
      <c r="D956" t="s">
        <v>3249</v>
      </c>
      <c r="E956" t="s">
        <v>3200</v>
      </c>
      <c r="F956" t="s">
        <v>3250</v>
      </c>
    </row>
    <row r="957" spans="2:6" x14ac:dyDescent="0.35">
      <c r="B957">
        <v>3500035940</v>
      </c>
      <c r="C957">
        <v>160</v>
      </c>
      <c r="D957" t="s">
        <v>3251</v>
      </c>
      <c r="E957" t="s">
        <v>3200</v>
      </c>
      <c r="F957" t="s">
        <v>3252</v>
      </c>
    </row>
    <row r="958" spans="2:6" x14ac:dyDescent="0.35">
      <c r="B958">
        <v>3500035940</v>
      </c>
      <c r="C958">
        <v>150</v>
      </c>
      <c r="D958" t="s">
        <v>3253</v>
      </c>
      <c r="E958" t="s">
        <v>3200</v>
      </c>
      <c r="F958" t="s">
        <v>3254</v>
      </c>
    </row>
    <row r="959" spans="2:6" x14ac:dyDescent="0.35">
      <c r="B959">
        <v>3500035940</v>
      </c>
      <c r="C959">
        <v>140</v>
      </c>
      <c r="D959" t="s">
        <v>3255</v>
      </c>
      <c r="E959" t="s">
        <v>3200</v>
      </c>
      <c r="F959" t="s">
        <v>3256</v>
      </c>
    </row>
    <row r="960" spans="2:6" x14ac:dyDescent="0.35">
      <c r="B960">
        <v>3500035940</v>
      </c>
      <c r="C960">
        <v>130</v>
      </c>
      <c r="D960" t="s">
        <v>3257</v>
      </c>
      <c r="E960" t="s">
        <v>3200</v>
      </c>
      <c r="F960" t="s">
        <v>3258</v>
      </c>
    </row>
    <row r="961" spans="2:6" x14ac:dyDescent="0.35">
      <c r="B961">
        <v>3500035940</v>
      </c>
      <c r="C961">
        <v>120</v>
      </c>
      <c r="D961" t="s">
        <v>3259</v>
      </c>
      <c r="E961" t="s">
        <v>3200</v>
      </c>
      <c r="F961" t="s">
        <v>3260</v>
      </c>
    </row>
    <row r="962" spans="2:6" x14ac:dyDescent="0.35">
      <c r="B962">
        <v>3500035940</v>
      </c>
      <c r="C962">
        <v>110</v>
      </c>
      <c r="D962" t="s">
        <v>3261</v>
      </c>
      <c r="E962" t="s">
        <v>3200</v>
      </c>
      <c r="F962" t="s">
        <v>3262</v>
      </c>
    </row>
    <row r="963" spans="2:6" x14ac:dyDescent="0.35">
      <c r="B963">
        <v>3500035940</v>
      </c>
      <c r="C963">
        <v>100</v>
      </c>
      <c r="D963" t="s">
        <v>3263</v>
      </c>
      <c r="E963" t="s">
        <v>3200</v>
      </c>
      <c r="F963" t="s">
        <v>3264</v>
      </c>
    </row>
    <row r="964" spans="2:6" x14ac:dyDescent="0.35">
      <c r="B964">
        <v>3500035940</v>
      </c>
      <c r="C964">
        <v>10</v>
      </c>
      <c r="D964" t="s">
        <v>3265</v>
      </c>
      <c r="E964" t="s">
        <v>3200</v>
      </c>
      <c r="F964" t="s">
        <v>3266</v>
      </c>
    </row>
    <row r="965" spans="2:6" x14ac:dyDescent="0.35">
      <c r="B965">
        <v>3500035938</v>
      </c>
      <c r="C965">
        <v>90</v>
      </c>
      <c r="D965" t="s">
        <v>3267</v>
      </c>
      <c r="E965" t="s">
        <v>3200</v>
      </c>
      <c r="F965" t="s">
        <v>3268</v>
      </c>
    </row>
    <row r="966" spans="2:6" x14ac:dyDescent="0.35">
      <c r="B966">
        <v>3500035938</v>
      </c>
      <c r="C966">
        <v>80</v>
      </c>
      <c r="D966" t="s">
        <v>3269</v>
      </c>
      <c r="E966" t="s">
        <v>3200</v>
      </c>
      <c r="F966" t="s">
        <v>3270</v>
      </c>
    </row>
    <row r="967" spans="2:6" x14ac:dyDescent="0.35">
      <c r="B967">
        <v>3500035938</v>
      </c>
      <c r="C967">
        <v>70</v>
      </c>
      <c r="D967" t="s">
        <v>3271</v>
      </c>
      <c r="E967" t="s">
        <v>3200</v>
      </c>
      <c r="F967" t="s">
        <v>3272</v>
      </c>
    </row>
    <row r="968" spans="2:6" x14ac:dyDescent="0.35">
      <c r="B968">
        <v>3500035938</v>
      </c>
      <c r="C968">
        <v>60</v>
      </c>
      <c r="D968" t="s">
        <v>3273</v>
      </c>
      <c r="E968" t="s">
        <v>3200</v>
      </c>
      <c r="F968" t="s">
        <v>3274</v>
      </c>
    </row>
    <row r="969" spans="2:6" x14ac:dyDescent="0.35">
      <c r="B969">
        <v>3500035938</v>
      </c>
      <c r="C969">
        <v>50</v>
      </c>
      <c r="D969" t="s">
        <v>3275</v>
      </c>
      <c r="E969" t="s">
        <v>3200</v>
      </c>
      <c r="F969" t="s">
        <v>3276</v>
      </c>
    </row>
    <row r="970" spans="2:6" x14ac:dyDescent="0.35">
      <c r="B970">
        <v>3500035938</v>
      </c>
      <c r="C970">
        <v>40</v>
      </c>
      <c r="D970" t="s">
        <v>3277</v>
      </c>
      <c r="E970" t="s">
        <v>3200</v>
      </c>
      <c r="F970" t="s">
        <v>3278</v>
      </c>
    </row>
    <row r="971" spans="2:6" x14ac:dyDescent="0.35">
      <c r="B971">
        <v>3500035938</v>
      </c>
      <c r="C971">
        <v>30</v>
      </c>
      <c r="D971" t="s">
        <v>3279</v>
      </c>
      <c r="E971" t="s">
        <v>3200</v>
      </c>
      <c r="F971" t="s">
        <v>3280</v>
      </c>
    </row>
    <row r="972" spans="2:6" x14ac:dyDescent="0.35">
      <c r="B972">
        <v>3500035938</v>
      </c>
      <c r="C972">
        <v>20</v>
      </c>
      <c r="D972" t="s">
        <v>3281</v>
      </c>
      <c r="E972" t="s">
        <v>3200</v>
      </c>
      <c r="F972" t="s">
        <v>3282</v>
      </c>
    </row>
    <row r="973" spans="2:6" x14ac:dyDescent="0.35">
      <c r="B973">
        <v>3500035938</v>
      </c>
      <c r="C973">
        <v>110</v>
      </c>
      <c r="D973" t="s">
        <v>3283</v>
      </c>
      <c r="E973" t="s">
        <v>3200</v>
      </c>
      <c r="F973" t="s">
        <v>3284</v>
      </c>
    </row>
    <row r="974" spans="2:6" x14ac:dyDescent="0.35">
      <c r="B974">
        <v>3500035938</v>
      </c>
      <c r="C974">
        <v>100</v>
      </c>
      <c r="D974" t="s">
        <v>3285</v>
      </c>
      <c r="E974" t="s">
        <v>3200</v>
      </c>
      <c r="F974" t="s">
        <v>3286</v>
      </c>
    </row>
    <row r="975" spans="2:6" x14ac:dyDescent="0.35">
      <c r="B975">
        <v>3500035938</v>
      </c>
      <c r="C975">
        <v>10</v>
      </c>
      <c r="D975" t="s">
        <v>3287</v>
      </c>
      <c r="E975" t="s">
        <v>3200</v>
      </c>
      <c r="F975" t="s">
        <v>3288</v>
      </c>
    </row>
    <row r="976" spans="2:6" x14ac:dyDescent="0.35">
      <c r="B976">
        <v>3500035934</v>
      </c>
      <c r="C976">
        <v>20</v>
      </c>
      <c r="D976" t="s">
        <v>1386</v>
      </c>
      <c r="E976" t="s">
        <v>3200</v>
      </c>
      <c r="F976" t="s">
        <v>3289</v>
      </c>
    </row>
    <row r="977" spans="2:6" x14ac:dyDescent="0.35">
      <c r="B977">
        <v>3500035934</v>
      </c>
      <c r="C977">
        <v>10</v>
      </c>
      <c r="D977" t="s">
        <v>1889</v>
      </c>
      <c r="E977" t="s">
        <v>3200</v>
      </c>
      <c r="F977" t="s">
        <v>3290</v>
      </c>
    </row>
    <row r="978" spans="2:6" x14ac:dyDescent="0.35">
      <c r="B978">
        <v>3500035933</v>
      </c>
      <c r="C978">
        <v>10</v>
      </c>
      <c r="D978" t="s">
        <v>3291</v>
      </c>
      <c r="E978" t="s">
        <v>3200</v>
      </c>
      <c r="F978" t="s">
        <v>3292</v>
      </c>
    </row>
    <row r="979" spans="2:6" x14ac:dyDescent="0.35">
      <c r="B979">
        <v>3500035894</v>
      </c>
      <c r="C979">
        <v>10</v>
      </c>
      <c r="D979" t="s">
        <v>3293</v>
      </c>
      <c r="E979" t="s">
        <v>3200</v>
      </c>
      <c r="F979" t="s">
        <v>3294</v>
      </c>
    </row>
    <row r="980" spans="2:6" x14ac:dyDescent="0.35">
      <c r="B980">
        <v>3500035888</v>
      </c>
      <c r="C980">
        <v>10</v>
      </c>
      <c r="D980" t="s">
        <v>3295</v>
      </c>
      <c r="E980" t="s">
        <v>3130</v>
      </c>
      <c r="F980" t="s">
        <v>3296</v>
      </c>
    </row>
    <row r="981" spans="2:6" x14ac:dyDescent="0.35">
      <c r="B981">
        <v>3500035880</v>
      </c>
      <c r="C981">
        <v>20</v>
      </c>
      <c r="D981" t="s">
        <v>3297</v>
      </c>
      <c r="E981" t="s">
        <v>3200</v>
      </c>
      <c r="F981" t="s">
        <v>3298</v>
      </c>
    </row>
    <row r="982" spans="2:6" x14ac:dyDescent="0.35">
      <c r="B982">
        <v>3500035880</v>
      </c>
      <c r="C982">
        <v>10</v>
      </c>
      <c r="D982" t="s">
        <v>3299</v>
      </c>
      <c r="E982" t="s">
        <v>3200</v>
      </c>
      <c r="F982" t="s">
        <v>3300</v>
      </c>
    </row>
    <row r="983" spans="2:6" x14ac:dyDescent="0.35">
      <c r="B983">
        <v>3500035840</v>
      </c>
      <c r="C983">
        <v>10</v>
      </c>
      <c r="D983" t="s">
        <v>2475</v>
      </c>
      <c r="E983" t="s">
        <v>3200</v>
      </c>
      <c r="F983" t="s">
        <v>3301</v>
      </c>
    </row>
    <row r="984" spans="2:6" x14ac:dyDescent="0.35">
      <c r="B984">
        <v>3500035837</v>
      </c>
      <c r="C984">
        <v>10</v>
      </c>
      <c r="D984" t="s">
        <v>3302</v>
      </c>
      <c r="E984" t="s">
        <v>2987</v>
      </c>
      <c r="F984" t="s">
        <v>3303</v>
      </c>
    </row>
    <row r="985" spans="2:6" x14ac:dyDescent="0.35">
      <c r="B985">
        <v>3500035836</v>
      </c>
      <c r="C985">
        <v>10</v>
      </c>
      <c r="D985" t="s">
        <v>3304</v>
      </c>
      <c r="E985" t="s">
        <v>3305</v>
      </c>
      <c r="F985" t="s">
        <v>3306</v>
      </c>
    </row>
    <row r="986" spans="2:6" x14ac:dyDescent="0.35">
      <c r="B986">
        <v>3500035811</v>
      </c>
      <c r="C986">
        <v>10</v>
      </c>
      <c r="D986" t="s">
        <v>298</v>
      </c>
      <c r="E986" t="s">
        <v>3307</v>
      </c>
      <c r="F986" t="s">
        <v>3308</v>
      </c>
    </row>
    <row r="987" spans="2:6" x14ac:dyDescent="0.35">
      <c r="B987">
        <v>3500035787</v>
      </c>
      <c r="C987">
        <v>40</v>
      </c>
      <c r="D987" t="s">
        <v>2587</v>
      </c>
      <c r="E987" t="s">
        <v>3200</v>
      </c>
      <c r="F987" t="s">
        <v>3309</v>
      </c>
    </row>
    <row r="988" spans="2:6" x14ac:dyDescent="0.35">
      <c r="B988">
        <v>3500035787</v>
      </c>
      <c r="C988">
        <v>30</v>
      </c>
      <c r="D988" t="s">
        <v>3310</v>
      </c>
      <c r="E988" t="s">
        <v>3200</v>
      </c>
      <c r="F988" t="s">
        <v>3311</v>
      </c>
    </row>
    <row r="989" spans="2:6" x14ac:dyDescent="0.35">
      <c r="B989">
        <v>3500035787</v>
      </c>
      <c r="C989">
        <v>20</v>
      </c>
      <c r="D989" t="s">
        <v>2686</v>
      </c>
      <c r="E989" t="s">
        <v>3200</v>
      </c>
      <c r="F989" t="s">
        <v>3312</v>
      </c>
    </row>
    <row r="990" spans="2:6" x14ac:dyDescent="0.35">
      <c r="B990">
        <v>3500035787</v>
      </c>
      <c r="C990">
        <v>10</v>
      </c>
      <c r="D990" t="s">
        <v>2555</v>
      </c>
      <c r="E990" t="s">
        <v>3200</v>
      </c>
      <c r="F990" t="s">
        <v>3313</v>
      </c>
    </row>
    <row r="991" spans="2:6" x14ac:dyDescent="0.35">
      <c r="B991">
        <v>3500035784</v>
      </c>
      <c r="C991">
        <v>20</v>
      </c>
      <c r="D991" t="s">
        <v>3314</v>
      </c>
      <c r="E991" t="s">
        <v>3315</v>
      </c>
      <c r="F991" t="s">
        <v>3316</v>
      </c>
    </row>
    <row r="992" spans="2:6" x14ac:dyDescent="0.35">
      <c r="B992">
        <v>3500035784</v>
      </c>
      <c r="C992">
        <v>10</v>
      </c>
      <c r="D992" t="s">
        <v>3317</v>
      </c>
      <c r="E992" t="s">
        <v>3315</v>
      </c>
      <c r="F992" t="s">
        <v>3318</v>
      </c>
    </row>
    <row r="993" spans="2:6" x14ac:dyDescent="0.35">
      <c r="B993">
        <v>3500035782</v>
      </c>
      <c r="C993">
        <v>10</v>
      </c>
      <c r="D993" t="s">
        <v>3319</v>
      </c>
      <c r="E993" t="s">
        <v>3200</v>
      </c>
      <c r="F993" t="s">
        <v>3320</v>
      </c>
    </row>
    <row r="994" spans="2:6" x14ac:dyDescent="0.35">
      <c r="B994">
        <v>3500035778</v>
      </c>
      <c r="C994">
        <v>20</v>
      </c>
      <c r="D994" t="s">
        <v>2577</v>
      </c>
      <c r="E994" t="s">
        <v>3200</v>
      </c>
      <c r="F994" t="s">
        <v>3321</v>
      </c>
    </row>
    <row r="995" spans="2:6" x14ac:dyDescent="0.35">
      <c r="B995">
        <v>3500035778</v>
      </c>
      <c r="C995">
        <v>10</v>
      </c>
      <c r="D995" t="s">
        <v>2601</v>
      </c>
      <c r="E995" t="s">
        <v>3200</v>
      </c>
      <c r="F995" t="s">
        <v>3322</v>
      </c>
    </row>
    <row r="996" spans="2:6" x14ac:dyDescent="0.35">
      <c r="B996">
        <v>3500035766</v>
      </c>
      <c r="C996">
        <v>10</v>
      </c>
      <c r="D996" t="s">
        <v>2475</v>
      </c>
      <c r="E996" t="s">
        <v>3200</v>
      </c>
      <c r="F996" t="s">
        <v>3323</v>
      </c>
    </row>
    <row r="997" spans="2:6" x14ac:dyDescent="0.35">
      <c r="B997">
        <v>3500035765</v>
      </c>
      <c r="C997">
        <v>10</v>
      </c>
      <c r="D997" t="s">
        <v>2475</v>
      </c>
      <c r="E997" t="s">
        <v>3200</v>
      </c>
      <c r="F997" t="s">
        <v>3324</v>
      </c>
    </row>
    <row r="998" spans="2:6" x14ac:dyDescent="0.35">
      <c r="B998">
        <v>3500035763</v>
      </c>
      <c r="C998">
        <v>10</v>
      </c>
      <c r="D998" t="s">
        <v>2475</v>
      </c>
      <c r="E998" t="s">
        <v>3200</v>
      </c>
      <c r="F998" t="s">
        <v>3325</v>
      </c>
    </row>
    <row r="999" spans="2:6" x14ac:dyDescent="0.35">
      <c r="B999">
        <v>3500035762</v>
      </c>
      <c r="C999">
        <v>10</v>
      </c>
      <c r="D999" t="s">
        <v>322</v>
      </c>
      <c r="E999" t="s">
        <v>3200</v>
      </c>
      <c r="F999" t="s">
        <v>3326</v>
      </c>
    </row>
    <row r="1000" spans="2:6" x14ac:dyDescent="0.35">
      <c r="B1000">
        <v>3500035761</v>
      </c>
      <c r="C1000">
        <v>10</v>
      </c>
      <c r="D1000" t="s">
        <v>2506</v>
      </c>
      <c r="E1000" t="s">
        <v>3200</v>
      </c>
      <c r="F1000" t="s">
        <v>3327</v>
      </c>
    </row>
    <row r="1001" spans="2:6" x14ac:dyDescent="0.35">
      <c r="B1001">
        <v>3500035720</v>
      </c>
      <c r="C1001">
        <v>10</v>
      </c>
      <c r="D1001" t="s">
        <v>3328</v>
      </c>
      <c r="E1001" t="s">
        <v>2906</v>
      </c>
      <c r="F1001" t="s">
        <v>3329</v>
      </c>
    </row>
    <row r="1002" spans="2:6" x14ac:dyDescent="0.35">
      <c r="B1002">
        <v>3500035705</v>
      </c>
      <c r="C1002">
        <v>90</v>
      </c>
      <c r="D1002" t="s">
        <v>2545</v>
      </c>
      <c r="E1002" t="s">
        <v>3330</v>
      </c>
      <c r="F1002" t="s">
        <v>3331</v>
      </c>
    </row>
    <row r="1003" spans="2:6" x14ac:dyDescent="0.35">
      <c r="B1003">
        <v>3500035705</v>
      </c>
      <c r="C1003">
        <v>80</v>
      </c>
      <c r="D1003" t="s">
        <v>2688</v>
      </c>
      <c r="E1003" t="s">
        <v>3330</v>
      </c>
      <c r="F1003" t="s">
        <v>3332</v>
      </c>
    </row>
    <row r="1004" spans="2:6" x14ac:dyDescent="0.35">
      <c r="B1004">
        <v>3500035705</v>
      </c>
      <c r="C1004">
        <v>70</v>
      </c>
      <c r="D1004" t="s">
        <v>2860</v>
      </c>
      <c r="E1004" t="s">
        <v>3330</v>
      </c>
      <c r="F1004" t="s">
        <v>3333</v>
      </c>
    </row>
    <row r="1005" spans="2:6" x14ac:dyDescent="0.35">
      <c r="B1005">
        <v>3500035705</v>
      </c>
      <c r="C1005">
        <v>60</v>
      </c>
      <c r="D1005" t="s">
        <v>2672</v>
      </c>
      <c r="E1005" t="s">
        <v>3330</v>
      </c>
      <c r="F1005" t="s">
        <v>3334</v>
      </c>
    </row>
    <row r="1006" spans="2:6" x14ac:dyDescent="0.35">
      <c r="B1006">
        <v>3500035705</v>
      </c>
      <c r="C1006">
        <v>50</v>
      </c>
      <c r="D1006" t="s">
        <v>3335</v>
      </c>
      <c r="E1006" t="s">
        <v>3330</v>
      </c>
      <c r="F1006" t="s">
        <v>3336</v>
      </c>
    </row>
    <row r="1007" spans="2:6" x14ac:dyDescent="0.35">
      <c r="B1007">
        <v>3500035705</v>
      </c>
      <c r="C1007">
        <v>40</v>
      </c>
      <c r="D1007" t="s">
        <v>3143</v>
      </c>
      <c r="E1007" t="s">
        <v>3330</v>
      </c>
      <c r="F1007" t="s">
        <v>3337</v>
      </c>
    </row>
    <row r="1008" spans="2:6" x14ac:dyDescent="0.35">
      <c r="B1008">
        <v>3500035705</v>
      </c>
      <c r="C1008">
        <v>30</v>
      </c>
      <c r="D1008" t="s">
        <v>2569</v>
      </c>
      <c r="E1008" t="s">
        <v>3330</v>
      </c>
      <c r="F1008" t="s">
        <v>3338</v>
      </c>
    </row>
    <row r="1009" spans="2:6" x14ac:dyDescent="0.35">
      <c r="B1009">
        <v>3500035705</v>
      </c>
      <c r="C1009">
        <v>20</v>
      </c>
      <c r="D1009" t="s">
        <v>3339</v>
      </c>
      <c r="E1009" t="s">
        <v>3330</v>
      </c>
      <c r="F1009" t="s">
        <v>3340</v>
      </c>
    </row>
    <row r="1010" spans="2:6" x14ac:dyDescent="0.35">
      <c r="B1010">
        <v>3500035705</v>
      </c>
      <c r="C1010">
        <v>150</v>
      </c>
      <c r="D1010" t="s">
        <v>2819</v>
      </c>
      <c r="E1010" t="s">
        <v>3330</v>
      </c>
      <c r="F1010" t="s">
        <v>3341</v>
      </c>
    </row>
    <row r="1011" spans="2:6" x14ac:dyDescent="0.35">
      <c r="B1011">
        <v>3500035705</v>
      </c>
      <c r="C1011">
        <v>140</v>
      </c>
      <c r="D1011" t="s">
        <v>3342</v>
      </c>
      <c r="E1011" t="s">
        <v>3330</v>
      </c>
      <c r="F1011" t="s">
        <v>3343</v>
      </c>
    </row>
    <row r="1012" spans="2:6" x14ac:dyDescent="0.35">
      <c r="B1012">
        <v>3500035705</v>
      </c>
      <c r="C1012">
        <v>130</v>
      </c>
      <c r="D1012" t="s">
        <v>2543</v>
      </c>
      <c r="E1012" t="s">
        <v>3330</v>
      </c>
      <c r="F1012" t="s">
        <v>3344</v>
      </c>
    </row>
    <row r="1013" spans="2:6" x14ac:dyDescent="0.35">
      <c r="B1013">
        <v>3500035705</v>
      </c>
      <c r="C1013">
        <v>120</v>
      </c>
      <c r="D1013" t="s">
        <v>3345</v>
      </c>
      <c r="E1013" t="s">
        <v>3330</v>
      </c>
      <c r="F1013" t="s">
        <v>3346</v>
      </c>
    </row>
    <row r="1014" spans="2:6" x14ac:dyDescent="0.35">
      <c r="B1014">
        <v>3500035705</v>
      </c>
      <c r="C1014">
        <v>110</v>
      </c>
      <c r="D1014" t="s">
        <v>2683</v>
      </c>
      <c r="E1014" t="s">
        <v>3330</v>
      </c>
      <c r="F1014" t="s">
        <v>3347</v>
      </c>
    </row>
    <row r="1015" spans="2:6" x14ac:dyDescent="0.35">
      <c r="B1015">
        <v>3500035705</v>
      </c>
      <c r="C1015">
        <v>100</v>
      </c>
      <c r="D1015" t="s">
        <v>2537</v>
      </c>
      <c r="E1015" t="s">
        <v>3330</v>
      </c>
      <c r="F1015" t="s">
        <v>3348</v>
      </c>
    </row>
    <row r="1016" spans="2:6" x14ac:dyDescent="0.35">
      <c r="B1016">
        <v>3500035705</v>
      </c>
      <c r="C1016">
        <v>10</v>
      </c>
      <c r="D1016" t="s">
        <v>3349</v>
      </c>
      <c r="E1016" t="s">
        <v>3330</v>
      </c>
      <c r="F1016" t="s">
        <v>3350</v>
      </c>
    </row>
    <row r="1017" spans="2:6" x14ac:dyDescent="0.35">
      <c r="B1017">
        <v>3500035695</v>
      </c>
      <c r="C1017">
        <v>30</v>
      </c>
      <c r="D1017" t="s">
        <v>2856</v>
      </c>
      <c r="E1017" t="s">
        <v>3351</v>
      </c>
      <c r="F1017" t="s">
        <v>3352</v>
      </c>
    </row>
    <row r="1018" spans="2:6" x14ac:dyDescent="0.35">
      <c r="B1018">
        <v>3500035695</v>
      </c>
      <c r="C1018">
        <v>20</v>
      </c>
      <c r="D1018" t="s">
        <v>3353</v>
      </c>
      <c r="E1018" t="s">
        <v>2922</v>
      </c>
      <c r="F1018" t="s">
        <v>3354</v>
      </c>
    </row>
    <row r="1019" spans="2:6" x14ac:dyDescent="0.35">
      <c r="B1019">
        <v>3500035695</v>
      </c>
      <c r="C1019">
        <v>10</v>
      </c>
      <c r="D1019" t="s">
        <v>2860</v>
      </c>
      <c r="E1019" t="s">
        <v>2922</v>
      </c>
      <c r="F1019" t="s">
        <v>3355</v>
      </c>
    </row>
    <row r="1020" spans="2:6" x14ac:dyDescent="0.35">
      <c r="B1020">
        <v>3500035670</v>
      </c>
      <c r="C1020">
        <v>10</v>
      </c>
      <c r="D1020" t="s">
        <v>3356</v>
      </c>
      <c r="E1020" t="s">
        <v>3200</v>
      </c>
      <c r="F1020" t="s">
        <v>3357</v>
      </c>
    </row>
    <row r="1021" spans="2:6" x14ac:dyDescent="0.35">
      <c r="B1021">
        <v>3500035664</v>
      </c>
      <c r="C1021">
        <v>30</v>
      </c>
      <c r="D1021" t="s">
        <v>3358</v>
      </c>
      <c r="E1021" t="s">
        <v>3200</v>
      </c>
      <c r="F1021" t="s">
        <v>3359</v>
      </c>
    </row>
    <row r="1022" spans="2:6" x14ac:dyDescent="0.35">
      <c r="B1022">
        <v>3500035664</v>
      </c>
      <c r="C1022">
        <v>20</v>
      </c>
      <c r="D1022" t="s">
        <v>3360</v>
      </c>
      <c r="E1022" t="s">
        <v>3200</v>
      </c>
      <c r="F1022" t="s">
        <v>3361</v>
      </c>
    </row>
    <row r="1023" spans="2:6" x14ac:dyDescent="0.35">
      <c r="B1023">
        <v>3500035664</v>
      </c>
      <c r="C1023">
        <v>10</v>
      </c>
      <c r="D1023" t="s">
        <v>3362</v>
      </c>
      <c r="E1023" t="s">
        <v>3200</v>
      </c>
      <c r="F1023" t="s">
        <v>3363</v>
      </c>
    </row>
    <row r="1024" spans="2:6" x14ac:dyDescent="0.35">
      <c r="B1024">
        <v>3500035650</v>
      </c>
      <c r="C1024">
        <v>10</v>
      </c>
      <c r="D1024" t="s">
        <v>3364</v>
      </c>
      <c r="E1024" t="s">
        <v>2987</v>
      </c>
      <c r="F1024" t="s">
        <v>3365</v>
      </c>
    </row>
    <row r="1025" spans="2:6" x14ac:dyDescent="0.35">
      <c r="B1025">
        <v>3500035639</v>
      </c>
      <c r="C1025">
        <v>10</v>
      </c>
      <c r="D1025" t="s">
        <v>3366</v>
      </c>
      <c r="E1025" t="s">
        <v>3200</v>
      </c>
      <c r="F1025" t="s">
        <v>3367</v>
      </c>
    </row>
    <row r="1026" spans="2:6" x14ac:dyDescent="0.35">
      <c r="B1026">
        <v>3500035638</v>
      </c>
      <c r="C1026">
        <v>10</v>
      </c>
      <c r="D1026" t="s">
        <v>2727</v>
      </c>
      <c r="E1026" t="s">
        <v>3200</v>
      </c>
      <c r="F1026" t="s">
        <v>3368</v>
      </c>
    </row>
    <row r="1027" spans="2:6" x14ac:dyDescent="0.35">
      <c r="B1027">
        <v>3500035633</v>
      </c>
      <c r="C1027">
        <v>10</v>
      </c>
      <c r="D1027" t="s">
        <v>3369</v>
      </c>
      <c r="E1027" t="s">
        <v>3200</v>
      </c>
      <c r="F1027" t="s">
        <v>3370</v>
      </c>
    </row>
    <row r="1028" spans="2:6" x14ac:dyDescent="0.35">
      <c r="B1028">
        <v>3500035631</v>
      </c>
      <c r="C1028">
        <v>10</v>
      </c>
      <c r="D1028" t="s">
        <v>3371</v>
      </c>
      <c r="E1028" t="s">
        <v>3200</v>
      </c>
      <c r="F1028" t="s">
        <v>3372</v>
      </c>
    </row>
    <row r="1029" spans="2:6" x14ac:dyDescent="0.35">
      <c r="B1029">
        <v>3500035602</v>
      </c>
      <c r="C1029">
        <v>10</v>
      </c>
      <c r="D1029" t="s">
        <v>2506</v>
      </c>
      <c r="E1029" t="s">
        <v>3200</v>
      </c>
      <c r="F1029" t="s">
        <v>3373</v>
      </c>
    </row>
    <row r="1030" spans="2:6" x14ac:dyDescent="0.35">
      <c r="B1030">
        <v>3500035597</v>
      </c>
      <c r="C1030">
        <v>10</v>
      </c>
      <c r="D1030" t="s">
        <v>3374</v>
      </c>
      <c r="E1030" t="s">
        <v>3200</v>
      </c>
      <c r="F1030" t="s">
        <v>3375</v>
      </c>
    </row>
    <row r="1031" spans="2:6" x14ac:dyDescent="0.35">
      <c r="B1031">
        <v>3500035596</v>
      </c>
      <c r="C1031">
        <v>20</v>
      </c>
      <c r="D1031" t="s">
        <v>3376</v>
      </c>
      <c r="E1031" t="s">
        <v>3200</v>
      </c>
      <c r="F1031" t="s">
        <v>3377</v>
      </c>
    </row>
    <row r="1032" spans="2:6" x14ac:dyDescent="0.35">
      <c r="B1032">
        <v>3500035595</v>
      </c>
      <c r="C1032">
        <v>10</v>
      </c>
      <c r="D1032" t="s">
        <v>2475</v>
      </c>
      <c r="E1032" t="s">
        <v>3200</v>
      </c>
      <c r="F1032" t="s">
        <v>3378</v>
      </c>
    </row>
    <row r="1033" spans="2:6" x14ac:dyDescent="0.35">
      <c r="B1033">
        <v>3500035594</v>
      </c>
      <c r="C1033">
        <v>10</v>
      </c>
      <c r="D1033" t="s">
        <v>3379</v>
      </c>
      <c r="E1033" t="s">
        <v>3380</v>
      </c>
      <c r="F1033" t="s">
        <v>3381</v>
      </c>
    </row>
    <row r="1034" spans="2:6" x14ac:dyDescent="0.35">
      <c r="B1034">
        <v>3500035587</v>
      </c>
      <c r="C1034">
        <v>90</v>
      </c>
      <c r="D1034" t="s">
        <v>2852</v>
      </c>
      <c r="E1034" t="s">
        <v>3200</v>
      </c>
      <c r="F1034" t="s">
        <v>3382</v>
      </c>
    </row>
    <row r="1035" spans="2:6" x14ac:dyDescent="0.35">
      <c r="B1035">
        <v>3500035587</v>
      </c>
      <c r="C1035">
        <v>80</v>
      </c>
      <c r="D1035" t="s">
        <v>2625</v>
      </c>
      <c r="E1035" t="s">
        <v>3200</v>
      </c>
      <c r="F1035" t="s">
        <v>3383</v>
      </c>
    </row>
    <row r="1036" spans="2:6" x14ac:dyDescent="0.35">
      <c r="B1036">
        <v>3500035587</v>
      </c>
      <c r="C1036">
        <v>70</v>
      </c>
      <c r="D1036" t="s">
        <v>2580</v>
      </c>
      <c r="E1036" t="s">
        <v>3200</v>
      </c>
      <c r="F1036" t="s">
        <v>3384</v>
      </c>
    </row>
    <row r="1037" spans="2:6" x14ac:dyDescent="0.35">
      <c r="B1037">
        <v>3500035587</v>
      </c>
      <c r="C1037">
        <v>60</v>
      </c>
      <c r="D1037" t="s">
        <v>3385</v>
      </c>
      <c r="E1037" t="s">
        <v>3200</v>
      </c>
      <c r="F1037" t="s">
        <v>3386</v>
      </c>
    </row>
    <row r="1038" spans="2:6" x14ac:dyDescent="0.35">
      <c r="B1038">
        <v>3500035587</v>
      </c>
      <c r="C1038">
        <v>50</v>
      </c>
      <c r="D1038" t="s">
        <v>2531</v>
      </c>
      <c r="E1038" t="s">
        <v>3200</v>
      </c>
      <c r="F1038" t="s">
        <v>3387</v>
      </c>
    </row>
    <row r="1039" spans="2:6" x14ac:dyDescent="0.35">
      <c r="B1039">
        <v>3500035587</v>
      </c>
      <c r="C1039">
        <v>40</v>
      </c>
      <c r="D1039" t="s">
        <v>2559</v>
      </c>
      <c r="E1039" t="s">
        <v>3200</v>
      </c>
      <c r="F1039" t="s">
        <v>3388</v>
      </c>
    </row>
    <row r="1040" spans="2:6" x14ac:dyDescent="0.35">
      <c r="B1040">
        <v>3500035587</v>
      </c>
      <c r="C1040">
        <v>30</v>
      </c>
      <c r="D1040" t="s">
        <v>3389</v>
      </c>
      <c r="E1040" t="s">
        <v>3200</v>
      </c>
      <c r="F1040" t="s">
        <v>3390</v>
      </c>
    </row>
    <row r="1041" spans="2:6" x14ac:dyDescent="0.35">
      <c r="B1041">
        <v>3500035587</v>
      </c>
      <c r="C1041">
        <v>20</v>
      </c>
      <c r="D1041" t="s">
        <v>2537</v>
      </c>
      <c r="E1041" t="s">
        <v>3200</v>
      </c>
      <c r="F1041" t="s">
        <v>3391</v>
      </c>
    </row>
    <row r="1042" spans="2:6" x14ac:dyDescent="0.35">
      <c r="B1042">
        <v>3500035587</v>
      </c>
      <c r="C1042">
        <v>10</v>
      </c>
      <c r="D1042" t="s">
        <v>2543</v>
      </c>
      <c r="E1042" t="s">
        <v>3200</v>
      </c>
      <c r="F1042" t="s">
        <v>3392</v>
      </c>
    </row>
    <row r="1043" spans="2:6" x14ac:dyDescent="0.35">
      <c r="B1043">
        <v>3500035586</v>
      </c>
      <c r="C1043">
        <v>90</v>
      </c>
      <c r="D1043" t="s">
        <v>2852</v>
      </c>
      <c r="E1043" t="s">
        <v>3200</v>
      </c>
      <c r="F1043" t="s">
        <v>3393</v>
      </c>
    </row>
    <row r="1044" spans="2:6" x14ac:dyDescent="0.35">
      <c r="B1044">
        <v>3500035586</v>
      </c>
      <c r="C1044">
        <v>80</v>
      </c>
      <c r="D1044" t="s">
        <v>2625</v>
      </c>
      <c r="E1044" t="s">
        <v>3200</v>
      </c>
      <c r="F1044" t="s">
        <v>3394</v>
      </c>
    </row>
    <row r="1045" spans="2:6" x14ac:dyDescent="0.35">
      <c r="B1045">
        <v>3500035586</v>
      </c>
      <c r="C1045">
        <v>70</v>
      </c>
      <c r="D1045" t="s">
        <v>2580</v>
      </c>
      <c r="E1045" t="s">
        <v>3200</v>
      </c>
      <c r="F1045" t="s">
        <v>3395</v>
      </c>
    </row>
    <row r="1046" spans="2:6" x14ac:dyDescent="0.35">
      <c r="B1046">
        <v>3500035586</v>
      </c>
      <c r="C1046">
        <v>60</v>
      </c>
      <c r="D1046" t="s">
        <v>3396</v>
      </c>
      <c r="E1046" t="s">
        <v>3200</v>
      </c>
      <c r="F1046" t="s">
        <v>3397</v>
      </c>
    </row>
    <row r="1047" spans="2:6" x14ac:dyDescent="0.35">
      <c r="B1047">
        <v>3500035586</v>
      </c>
      <c r="C1047">
        <v>50</v>
      </c>
      <c r="D1047" t="s">
        <v>2547</v>
      </c>
      <c r="E1047" t="s">
        <v>3200</v>
      </c>
      <c r="F1047" t="s">
        <v>3398</v>
      </c>
    </row>
    <row r="1048" spans="2:6" x14ac:dyDescent="0.35">
      <c r="B1048">
        <v>3500035586</v>
      </c>
      <c r="C1048">
        <v>40</v>
      </c>
      <c r="D1048" t="s">
        <v>2668</v>
      </c>
      <c r="E1048" t="s">
        <v>3200</v>
      </c>
      <c r="F1048" t="s">
        <v>3399</v>
      </c>
    </row>
    <row r="1049" spans="2:6" x14ac:dyDescent="0.35">
      <c r="B1049">
        <v>3500035586</v>
      </c>
      <c r="C1049">
        <v>30</v>
      </c>
      <c r="D1049" t="s">
        <v>3007</v>
      </c>
      <c r="E1049" t="s">
        <v>3200</v>
      </c>
      <c r="F1049" t="s">
        <v>3400</v>
      </c>
    </row>
    <row r="1050" spans="2:6" x14ac:dyDescent="0.35">
      <c r="B1050">
        <v>3500035586</v>
      </c>
      <c r="C1050">
        <v>20</v>
      </c>
      <c r="D1050" t="s">
        <v>2860</v>
      </c>
      <c r="E1050" t="s">
        <v>3200</v>
      </c>
      <c r="F1050" t="s">
        <v>3401</v>
      </c>
    </row>
    <row r="1051" spans="2:6" x14ac:dyDescent="0.35">
      <c r="B1051">
        <v>3500035586</v>
      </c>
      <c r="C1051">
        <v>10</v>
      </c>
      <c r="D1051" t="s">
        <v>3345</v>
      </c>
      <c r="E1051" t="s">
        <v>3200</v>
      </c>
      <c r="F1051" t="s">
        <v>3402</v>
      </c>
    </row>
    <row r="1052" spans="2:6" x14ac:dyDescent="0.35">
      <c r="B1052">
        <v>3500035585</v>
      </c>
      <c r="C1052">
        <v>40</v>
      </c>
      <c r="D1052" t="s">
        <v>3403</v>
      </c>
      <c r="E1052" t="s">
        <v>3200</v>
      </c>
      <c r="F1052" t="s">
        <v>3404</v>
      </c>
    </row>
    <row r="1053" spans="2:6" x14ac:dyDescent="0.35">
      <c r="B1053">
        <v>3500035585</v>
      </c>
      <c r="C1053">
        <v>30</v>
      </c>
      <c r="D1053" t="s">
        <v>2541</v>
      </c>
      <c r="E1053" t="s">
        <v>3200</v>
      </c>
      <c r="F1053" t="s">
        <v>3405</v>
      </c>
    </row>
    <row r="1054" spans="2:6" x14ac:dyDescent="0.35">
      <c r="B1054">
        <v>3500035585</v>
      </c>
      <c r="C1054">
        <v>20</v>
      </c>
      <c r="D1054" t="s">
        <v>3406</v>
      </c>
      <c r="E1054" t="s">
        <v>3200</v>
      </c>
      <c r="F1054" t="s">
        <v>3407</v>
      </c>
    </row>
    <row r="1055" spans="2:6" x14ac:dyDescent="0.35">
      <c r="B1055">
        <v>3500035585</v>
      </c>
      <c r="C1055">
        <v>10</v>
      </c>
      <c r="D1055" t="s">
        <v>2555</v>
      </c>
      <c r="E1055" t="s">
        <v>3200</v>
      </c>
      <c r="F1055" t="s">
        <v>3408</v>
      </c>
    </row>
    <row r="1056" spans="2:6" x14ac:dyDescent="0.35">
      <c r="B1056">
        <v>3500035555</v>
      </c>
      <c r="C1056">
        <v>10</v>
      </c>
      <c r="D1056" t="s">
        <v>3409</v>
      </c>
      <c r="E1056" t="s">
        <v>3197</v>
      </c>
      <c r="F1056" t="s">
        <v>3410</v>
      </c>
    </row>
    <row r="1057" spans="2:6" x14ac:dyDescent="0.35">
      <c r="B1057">
        <v>3500035554</v>
      </c>
      <c r="C1057">
        <v>20</v>
      </c>
      <c r="D1057" t="s">
        <v>3411</v>
      </c>
      <c r="E1057" t="s">
        <v>3197</v>
      </c>
      <c r="F1057" t="s">
        <v>3412</v>
      </c>
    </row>
    <row r="1058" spans="2:6" x14ac:dyDescent="0.35">
      <c r="B1058">
        <v>3500035554</v>
      </c>
      <c r="C1058">
        <v>10</v>
      </c>
      <c r="D1058" t="s">
        <v>3413</v>
      </c>
      <c r="E1058" t="s">
        <v>3197</v>
      </c>
      <c r="F1058" t="s">
        <v>3414</v>
      </c>
    </row>
    <row r="1059" spans="2:6" x14ac:dyDescent="0.35">
      <c r="B1059">
        <v>3500035515</v>
      </c>
      <c r="C1059">
        <v>10</v>
      </c>
      <c r="D1059" t="s">
        <v>3415</v>
      </c>
      <c r="E1059" t="s">
        <v>68</v>
      </c>
      <c r="F1059" t="s">
        <v>3416</v>
      </c>
    </row>
    <row r="1060" spans="2:6" x14ac:dyDescent="0.35">
      <c r="B1060">
        <v>3500035506</v>
      </c>
      <c r="C1060">
        <v>10</v>
      </c>
      <c r="D1060" t="s">
        <v>3417</v>
      </c>
      <c r="E1060" t="s">
        <v>3307</v>
      </c>
      <c r="F1060" t="s">
        <v>3418</v>
      </c>
    </row>
    <row r="1061" spans="2:6" x14ac:dyDescent="0.35">
      <c r="B1061">
        <v>3500035500</v>
      </c>
      <c r="C1061">
        <v>10</v>
      </c>
      <c r="D1061" t="s">
        <v>2506</v>
      </c>
      <c r="E1061" t="s">
        <v>3200</v>
      </c>
      <c r="F1061" t="s">
        <v>3419</v>
      </c>
    </row>
    <row r="1062" spans="2:6" x14ac:dyDescent="0.35">
      <c r="B1062">
        <v>3500035499</v>
      </c>
      <c r="C1062">
        <v>10</v>
      </c>
      <c r="D1062" t="s">
        <v>2506</v>
      </c>
      <c r="E1062" t="s">
        <v>3200</v>
      </c>
      <c r="F1062" t="s">
        <v>3420</v>
      </c>
    </row>
    <row r="1063" spans="2:6" x14ac:dyDescent="0.35">
      <c r="B1063">
        <v>3500035492</v>
      </c>
      <c r="C1063">
        <v>20</v>
      </c>
      <c r="D1063" t="s">
        <v>3421</v>
      </c>
      <c r="E1063" t="s">
        <v>3200</v>
      </c>
      <c r="F1063" t="s">
        <v>3422</v>
      </c>
    </row>
    <row r="1064" spans="2:6" x14ac:dyDescent="0.35">
      <c r="B1064">
        <v>3500035492</v>
      </c>
      <c r="C1064">
        <v>10</v>
      </c>
      <c r="D1064" t="s">
        <v>3423</v>
      </c>
      <c r="E1064" t="s">
        <v>3200</v>
      </c>
      <c r="F1064" t="s">
        <v>3424</v>
      </c>
    </row>
    <row r="1065" spans="2:6" x14ac:dyDescent="0.35">
      <c r="B1065">
        <v>3500035461</v>
      </c>
      <c r="C1065">
        <v>10</v>
      </c>
      <c r="D1065" t="s">
        <v>3425</v>
      </c>
      <c r="E1065" t="s">
        <v>3426</v>
      </c>
      <c r="F1065" t="s">
        <v>3427</v>
      </c>
    </row>
    <row r="1066" spans="2:6" x14ac:dyDescent="0.35">
      <c r="B1066">
        <v>3500035460</v>
      </c>
      <c r="C1066">
        <v>10</v>
      </c>
      <c r="D1066" t="s">
        <v>3428</v>
      </c>
      <c r="E1066" t="s">
        <v>3197</v>
      </c>
      <c r="F1066" t="s">
        <v>3429</v>
      </c>
    </row>
    <row r="1067" spans="2:6" x14ac:dyDescent="0.35">
      <c r="B1067">
        <v>3500035457</v>
      </c>
      <c r="C1067">
        <v>10</v>
      </c>
      <c r="D1067" t="s">
        <v>3430</v>
      </c>
      <c r="E1067" t="s">
        <v>3431</v>
      </c>
      <c r="F1067" t="s">
        <v>3432</v>
      </c>
    </row>
    <row r="1068" spans="2:6" x14ac:dyDescent="0.35">
      <c r="B1068">
        <v>3500035455</v>
      </c>
      <c r="C1068">
        <v>10</v>
      </c>
      <c r="D1068" t="s">
        <v>3433</v>
      </c>
      <c r="E1068" t="s">
        <v>3130</v>
      </c>
      <c r="F1068" t="s">
        <v>3434</v>
      </c>
    </row>
    <row r="1069" spans="2:6" x14ac:dyDescent="0.35">
      <c r="B1069">
        <v>3500035453</v>
      </c>
      <c r="C1069">
        <v>10</v>
      </c>
      <c r="D1069" t="s">
        <v>3435</v>
      </c>
      <c r="E1069" t="s">
        <v>3130</v>
      </c>
      <c r="F1069" t="s">
        <v>3436</v>
      </c>
    </row>
    <row r="1070" spans="2:6" x14ac:dyDescent="0.35">
      <c r="B1070">
        <v>3500035429</v>
      </c>
      <c r="C1070">
        <v>10</v>
      </c>
      <c r="D1070" t="s">
        <v>2475</v>
      </c>
      <c r="E1070" t="s">
        <v>3200</v>
      </c>
      <c r="F1070" t="s">
        <v>3437</v>
      </c>
    </row>
    <row r="1071" spans="2:6" x14ac:dyDescent="0.35">
      <c r="B1071">
        <v>3500035426</v>
      </c>
      <c r="C1071">
        <v>10</v>
      </c>
      <c r="D1071" t="s">
        <v>3438</v>
      </c>
      <c r="E1071" t="s">
        <v>3200</v>
      </c>
      <c r="F1071" t="s">
        <v>3439</v>
      </c>
    </row>
    <row r="1072" spans="2:6" x14ac:dyDescent="0.35">
      <c r="B1072">
        <v>3500035418</v>
      </c>
      <c r="C1072">
        <v>30</v>
      </c>
      <c r="D1072" t="s">
        <v>3440</v>
      </c>
      <c r="E1072" t="s">
        <v>3197</v>
      </c>
      <c r="F1072" t="s">
        <v>3441</v>
      </c>
    </row>
    <row r="1073" spans="2:6" x14ac:dyDescent="0.35">
      <c r="B1073">
        <v>3500035418</v>
      </c>
      <c r="C1073">
        <v>20</v>
      </c>
      <c r="D1073" t="s">
        <v>2649</v>
      </c>
      <c r="E1073" t="s">
        <v>3197</v>
      </c>
      <c r="F1073" t="s">
        <v>3442</v>
      </c>
    </row>
    <row r="1074" spans="2:6" x14ac:dyDescent="0.35">
      <c r="B1074">
        <v>3500035418</v>
      </c>
      <c r="C1074">
        <v>10</v>
      </c>
      <c r="D1074" t="s">
        <v>3443</v>
      </c>
      <c r="E1074" t="s">
        <v>3197</v>
      </c>
      <c r="F1074" t="s">
        <v>3444</v>
      </c>
    </row>
    <row r="1075" spans="2:6" x14ac:dyDescent="0.35">
      <c r="B1075">
        <v>3500035416</v>
      </c>
      <c r="C1075">
        <v>20</v>
      </c>
      <c r="D1075" t="s">
        <v>3396</v>
      </c>
      <c r="E1075" t="s">
        <v>68</v>
      </c>
      <c r="F1075" t="s">
        <v>3445</v>
      </c>
    </row>
    <row r="1076" spans="2:6" x14ac:dyDescent="0.35">
      <c r="B1076">
        <v>3500035416</v>
      </c>
      <c r="C1076">
        <v>10</v>
      </c>
      <c r="D1076" t="s">
        <v>3385</v>
      </c>
      <c r="E1076" t="s">
        <v>68</v>
      </c>
      <c r="F1076" t="s">
        <v>3446</v>
      </c>
    </row>
    <row r="1077" spans="2:6" x14ac:dyDescent="0.35">
      <c r="B1077">
        <v>3500035415</v>
      </c>
      <c r="C1077">
        <v>20</v>
      </c>
      <c r="D1077" t="s">
        <v>3447</v>
      </c>
      <c r="E1077" t="s">
        <v>3059</v>
      </c>
      <c r="F1077" t="s">
        <v>3448</v>
      </c>
    </row>
    <row r="1078" spans="2:6" x14ac:dyDescent="0.35">
      <c r="B1078">
        <v>3500035415</v>
      </c>
      <c r="C1078">
        <v>10</v>
      </c>
      <c r="D1078" t="s">
        <v>3449</v>
      </c>
      <c r="E1078" t="s">
        <v>3059</v>
      </c>
      <c r="F1078" t="s">
        <v>3450</v>
      </c>
    </row>
    <row r="1079" spans="2:6" x14ac:dyDescent="0.35">
      <c r="B1079">
        <v>3500035414</v>
      </c>
      <c r="C1079">
        <v>50</v>
      </c>
      <c r="D1079" t="s">
        <v>2677</v>
      </c>
      <c r="E1079" t="s">
        <v>3200</v>
      </c>
      <c r="F1079" t="s">
        <v>3451</v>
      </c>
    </row>
    <row r="1080" spans="2:6" x14ac:dyDescent="0.35">
      <c r="B1080">
        <v>3500035414</v>
      </c>
      <c r="C1080">
        <v>40</v>
      </c>
      <c r="D1080" t="s">
        <v>3452</v>
      </c>
      <c r="E1080" t="s">
        <v>3200</v>
      </c>
      <c r="F1080" t="s">
        <v>3453</v>
      </c>
    </row>
    <row r="1081" spans="2:6" x14ac:dyDescent="0.35">
      <c r="B1081">
        <v>3500035414</v>
      </c>
      <c r="C1081">
        <v>30</v>
      </c>
      <c r="D1081" t="s">
        <v>2721</v>
      </c>
      <c r="E1081" t="s">
        <v>3200</v>
      </c>
      <c r="F1081" t="s">
        <v>3454</v>
      </c>
    </row>
    <row r="1082" spans="2:6" x14ac:dyDescent="0.35">
      <c r="B1082">
        <v>3500035414</v>
      </c>
      <c r="C1082">
        <v>20</v>
      </c>
      <c r="D1082" t="s">
        <v>3403</v>
      </c>
      <c r="E1082" t="s">
        <v>3200</v>
      </c>
      <c r="F1082" t="s">
        <v>3455</v>
      </c>
    </row>
    <row r="1083" spans="2:6" x14ac:dyDescent="0.35">
      <c r="B1083">
        <v>3500035414</v>
      </c>
      <c r="C1083">
        <v>10</v>
      </c>
      <c r="D1083" t="s">
        <v>2555</v>
      </c>
      <c r="E1083" t="s">
        <v>3200</v>
      </c>
      <c r="F1083" t="s">
        <v>3456</v>
      </c>
    </row>
    <row r="1084" spans="2:6" x14ac:dyDescent="0.35">
      <c r="B1084">
        <v>3500035413</v>
      </c>
      <c r="C1084">
        <v>20</v>
      </c>
      <c r="D1084" t="s">
        <v>3457</v>
      </c>
      <c r="E1084" t="s">
        <v>3197</v>
      </c>
      <c r="F1084" t="s">
        <v>3458</v>
      </c>
    </row>
    <row r="1085" spans="2:6" x14ac:dyDescent="0.35">
      <c r="B1085">
        <v>3500035413</v>
      </c>
      <c r="C1085">
        <v>10</v>
      </c>
      <c r="D1085" t="s">
        <v>3459</v>
      </c>
      <c r="E1085" t="s">
        <v>3197</v>
      </c>
      <c r="F1085" t="s">
        <v>3460</v>
      </c>
    </row>
    <row r="1086" spans="2:6" x14ac:dyDescent="0.35">
      <c r="B1086">
        <v>3500035346</v>
      </c>
      <c r="C1086">
        <v>80</v>
      </c>
      <c r="D1086" t="s">
        <v>3461</v>
      </c>
      <c r="E1086" t="s">
        <v>3200</v>
      </c>
      <c r="F1086" t="s">
        <v>3462</v>
      </c>
    </row>
    <row r="1087" spans="2:6" x14ac:dyDescent="0.35">
      <c r="B1087">
        <v>3500035346</v>
      </c>
      <c r="C1087">
        <v>70</v>
      </c>
      <c r="D1087" t="s">
        <v>3463</v>
      </c>
      <c r="E1087" t="s">
        <v>3200</v>
      </c>
      <c r="F1087" t="s">
        <v>3464</v>
      </c>
    </row>
    <row r="1088" spans="2:6" x14ac:dyDescent="0.35">
      <c r="B1088">
        <v>3500035346</v>
      </c>
      <c r="C1088">
        <v>60</v>
      </c>
      <c r="D1088" t="s">
        <v>3465</v>
      </c>
      <c r="E1088" t="s">
        <v>3200</v>
      </c>
      <c r="F1088" t="s">
        <v>3466</v>
      </c>
    </row>
    <row r="1089" spans="2:6" x14ac:dyDescent="0.35">
      <c r="B1089">
        <v>3500035346</v>
      </c>
      <c r="C1089">
        <v>50</v>
      </c>
      <c r="D1089" t="s">
        <v>3467</v>
      </c>
      <c r="E1089" t="s">
        <v>3200</v>
      </c>
      <c r="F1089" t="s">
        <v>3468</v>
      </c>
    </row>
    <row r="1090" spans="2:6" x14ac:dyDescent="0.35">
      <c r="B1090">
        <v>3500035346</v>
      </c>
      <c r="C1090">
        <v>40</v>
      </c>
      <c r="D1090" t="s">
        <v>3469</v>
      </c>
      <c r="E1090" t="s">
        <v>3200</v>
      </c>
      <c r="F1090" t="s">
        <v>3470</v>
      </c>
    </row>
    <row r="1091" spans="2:6" x14ac:dyDescent="0.35">
      <c r="B1091">
        <v>3500035346</v>
      </c>
      <c r="C1091">
        <v>30</v>
      </c>
      <c r="D1091" t="s">
        <v>3471</v>
      </c>
      <c r="E1091" t="s">
        <v>3200</v>
      </c>
      <c r="F1091" t="s">
        <v>3472</v>
      </c>
    </row>
    <row r="1092" spans="2:6" x14ac:dyDescent="0.35">
      <c r="B1092">
        <v>3500035346</v>
      </c>
      <c r="C1092">
        <v>20</v>
      </c>
      <c r="D1092" t="s">
        <v>3473</v>
      </c>
      <c r="E1092" t="s">
        <v>3200</v>
      </c>
      <c r="F1092" t="s">
        <v>3474</v>
      </c>
    </row>
    <row r="1093" spans="2:6" x14ac:dyDescent="0.35">
      <c r="B1093">
        <v>3500035346</v>
      </c>
      <c r="C1093">
        <v>10</v>
      </c>
      <c r="D1093" t="s">
        <v>3475</v>
      </c>
      <c r="E1093" t="s">
        <v>3200</v>
      </c>
      <c r="F1093" t="s">
        <v>3476</v>
      </c>
    </row>
    <row r="1094" spans="2:6" x14ac:dyDescent="0.35">
      <c r="B1094">
        <v>3500035336</v>
      </c>
      <c r="C1094">
        <v>10</v>
      </c>
      <c r="D1094" t="s">
        <v>2475</v>
      </c>
      <c r="E1094" t="s">
        <v>3200</v>
      </c>
      <c r="F1094" t="s">
        <v>3477</v>
      </c>
    </row>
    <row r="1095" spans="2:6" x14ac:dyDescent="0.35">
      <c r="B1095">
        <v>3500035322</v>
      </c>
      <c r="C1095">
        <v>10</v>
      </c>
      <c r="D1095" t="s">
        <v>2475</v>
      </c>
      <c r="E1095" t="s">
        <v>3200</v>
      </c>
      <c r="F1095" t="s">
        <v>3478</v>
      </c>
    </row>
    <row r="1096" spans="2:6" x14ac:dyDescent="0.35">
      <c r="B1096">
        <v>3500035321</v>
      </c>
      <c r="C1096">
        <v>10</v>
      </c>
      <c r="D1096" t="s">
        <v>2475</v>
      </c>
      <c r="E1096" t="s">
        <v>3200</v>
      </c>
      <c r="F1096" t="s">
        <v>3479</v>
      </c>
    </row>
    <row r="1097" spans="2:6" x14ac:dyDescent="0.35">
      <c r="B1097">
        <v>3500035318</v>
      </c>
      <c r="C1097">
        <v>10</v>
      </c>
      <c r="D1097" t="s">
        <v>2475</v>
      </c>
      <c r="E1097" t="s">
        <v>3200</v>
      </c>
      <c r="F1097" t="s">
        <v>3480</v>
      </c>
    </row>
    <row r="1098" spans="2:6" x14ac:dyDescent="0.35">
      <c r="B1098">
        <v>3500035304</v>
      </c>
      <c r="C1098">
        <v>80</v>
      </c>
      <c r="D1098" t="s">
        <v>2580</v>
      </c>
      <c r="E1098" t="s">
        <v>3200</v>
      </c>
      <c r="F1098" t="s">
        <v>3481</v>
      </c>
    </row>
    <row r="1099" spans="2:6" x14ac:dyDescent="0.35">
      <c r="B1099">
        <v>3500035304</v>
      </c>
      <c r="C1099">
        <v>70</v>
      </c>
      <c r="D1099" t="s">
        <v>3482</v>
      </c>
      <c r="E1099" t="s">
        <v>3200</v>
      </c>
      <c r="F1099" t="s">
        <v>3483</v>
      </c>
    </row>
    <row r="1100" spans="2:6" x14ac:dyDescent="0.35">
      <c r="B1100">
        <v>3500035304</v>
      </c>
      <c r="C1100">
        <v>60</v>
      </c>
      <c r="D1100" t="s">
        <v>3484</v>
      </c>
      <c r="E1100" t="s">
        <v>3200</v>
      </c>
      <c r="F1100" t="s">
        <v>3485</v>
      </c>
    </row>
    <row r="1101" spans="2:6" x14ac:dyDescent="0.35">
      <c r="B1101">
        <v>3500035304</v>
      </c>
      <c r="C1101">
        <v>50</v>
      </c>
      <c r="D1101" t="s">
        <v>2694</v>
      </c>
      <c r="E1101" t="s">
        <v>3200</v>
      </c>
      <c r="F1101" t="s">
        <v>3486</v>
      </c>
    </row>
    <row r="1102" spans="2:6" x14ac:dyDescent="0.35">
      <c r="B1102">
        <v>3500035304</v>
      </c>
      <c r="C1102">
        <v>40</v>
      </c>
      <c r="D1102" t="s">
        <v>2843</v>
      </c>
      <c r="E1102" t="s">
        <v>3200</v>
      </c>
      <c r="F1102" t="s">
        <v>3487</v>
      </c>
    </row>
    <row r="1103" spans="2:6" x14ac:dyDescent="0.35">
      <c r="B1103">
        <v>3500035304</v>
      </c>
      <c r="C1103">
        <v>30</v>
      </c>
      <c r="D1103" t="s">
        <v>3488</v>
      </c>
      <c r="E1103" t="s">
        <v>3200</v>
      </c>
      <c r="F1103" t="s">
        <v>3489</v>
      </c>
    </row>
    <row r="1104" spans="2:6" x14ac:dyDescent="0.35">
      <c r="B1104">
        <v>3500035304</v>
      </c>
      <c r="C1104">
        <v>20</v>
      </c>
      <c r="D1104" t="s">
        <v>3111</v>
      </c>
      <c r="E1104" t="s">
        <v>3200</v>
      </c>
      <c r="F1104" t="s">
        <v>3490</v>
      </c>
    </row>
    <row r="1105" spans="2:6" x14ac:dyDescent="0.35">
      <c r="B1105">
        <v>3500035304</v>
      </c>
      <c r="C1105">
        <v>10</v>
      </c>
      <c r="D1105" t="s">
        <v>2702</v>
      </c>
      <c r="E1105" t="s">
        <v>3200</v>
      </c>
      <c r="F1105" t="s">
        <v>3491</v>
      </c>
    </row>
    <row r="1106" spans="2:6" x14ac:dyDescent="0.35">
      <c r="B1106">
        <v>3500035294</v>
      </c>
      <c r="C1106">
        <v>10</v>
      </c>
      <c r="D1106" t="s">
        <v>3492</v>
      </c>
      <c r="E1106" t="s">
        <v>3200</v>
      </c>
      <c r="F1106" t="s">
        <v>3493</v>
      </c>
    </row>
    <row r="1107" spans="2:6" x14ac:dyDescent="0.35">
      <c r="B1107">
        <v>3500035293</v>
      </c>
      <c r="C1107">
        <v>20</v>
      </c>
      <c r="D1107" t="s">
        <v>3494</v>
      </c>
      <c r="E1107" t="s">
        <v>3200</v>
      </c>
      <c r="F1107" t="s">
        <v>3495</v>
      </c>
    </row>
    <row r="1108" spans="2:6" x14ac:dyDescent="0.35">
      <c r="B1108">
        <v>3500035293</v>
      </c>
      <c r="C1108">
        <v>10</v>
      </c>
      <c r="D1108" t="s">
        <v>3496</v>
      </c>
      <c r="E1108" t="s">
        <v>3200</v>
      </c>
      <c r="F1108" t="s">
        <v>3497</v>
      </c>
    </row>
    <row r="1109" spans="2:6" x14ac:dyDescent="0.35">
      <c r="B1109">
        <v>3500035292</v>
      </c>
      <c r="C1109">
        <v>10</v>
      </c>
      <c r="D1109" t="s">
        <v>3498</v>
      </c>
      <c r="E1109" t="s">
        <v>3499</v>
      </c>
      <c r="F1109" t="s">
        <v>3500</v>
      </c>
    </row>
    <row r="1110" spans="2:6" x14ac:dyDescent="0.35">
      <c r="B1110">
        <v>3500035291</v>
      </c>
      <c r="C1110">
        <v>30</v>
      </c>
      <c r="D1110" t="s">
        <v>3501</v>
      </c>
      <c r="E1110" t="s">
        <v>3200</v>
      </c>
      <c r="F1110" t="s">
        <v>3502</v>
      </c>
    </row>
    <row r="1111" spans="2:6" x14ac:dyDescent="0.35">
      <c r="B1111">
        <v>3500035288</v>
      </c>
      <c r="C1111">
        <v>20</v>
      </c>
      <c r="D1111" t="s">
        <v>3503</v>
      </c>
      <c r="E1111" t="s">
        <v>3504</v>
      </c>
      <c r="F1111" t="s">
        <v>3505</v>
      </c>
    </row>
    <row r="1112" spans="2:6" x14ac:dyDescent="0.35">
      <c r="B1112">
        <v>3500035288</v>
      </c>
      <c r="C1112">
        <v>10</v>
      </c>
      <c r="D1112" t="s">
        <v>3506</v>
      </c>
      <c r="E1112" t="s">
        <v>3507</v>
      </c>
      <c r="F1112" t="s">
        <v>3508</v>
      </c>
    </row>
    <row r="1113" spans="2:6" x14ac:dyDescent="0.35">
      <c r="B1113">
        <v>3500035277</v>
      </c>
      <c r="C1113">
        <v>10</v>
      </c>
      <c r="D1113" t="s">
        <v>416</v>
      </c>
      <c r="E1113" t="s">
        <v>3509</v>
      </c>
      <c r="F1113" t="s">
        <v>3510</v>
      </c>
    </row>
    <row r="1114" spans="2:6" x14ac:dyDescent="0.35">
      <c r="B1114">
        <v>3500035271</v>
      </c>
      <c r="C1114">
        <v>20</v>
      </c>
      <c r="D1114" t="s">
        <v>3511</v>
      </c>
      <c r="E1114" t="s">
        <v>3200</v>
      </c>
      <c r="F1114" t="s">
        <v>3512</v>
      </c>
    </row>
    <row r="1115" spans="2:6" x14ac:dyDescent="0.35">
      <c r="B1115">
        <v>3500035271</v>
      </c>
      <c r="C1115">
        <v>10</v>
      </c>
      <c r="D1115" t="s">
        <v>3513</v>
      </c>
      <c r="E1115" t="s">
        <v>3200</v>
      </c>
      <c r="F1115" t="s">
        <v>3514</v>
      </c>
    </row>
    <row r="1116" spans="2:6" x14ac:dyDescent="0.35">
      <c r="B1116">
        <v>3500035251</v>
      </c>
      <c r="C1116">
        <v>20</v>
      </c>
      <c r="D1116" t="s">
        <v>3515</v>
      </c>
      <c r="E1116" t="s">
        <v>3516</v>
      </c>
      <c r="F1116" t="s">
        <v>3517</v>
      </c>
    </row>
    <row r="1117" spans="2:6" x14ac:dyDescent="0.35">
      <c r="B1117">
        <v>3500035251</v>
      </c>
      <c r="C1117">
        <v>10</v>
      </c>
      <c r="D1117" t="s">
        <v>3518</v>
      </c>
      <c r="E1117" t="s">
        <v>3516</v>
      </c>
      <c r="F1117" t="s">
        <v>3519</v>
      </c>
    </row>
    <row r="1118" spans="2:6" x14ac:dyDescent="0.35">
      <c r="B1118">
        <v>3500035249</v>
      </c>
      <c r="C1118">
        <v>80</v>
      </c>
      <c r="D1118" t="s">
        <v>3520</v>
      </c>
      <c r="E1118" t="s">
        <v>3521</v>
      </c>
      <c r="F1118" t="s">
        <v>3522</v>
      </c>
    </row>
    <row r="1119" spans="2:6" x14ac:dyDescent="0.35">
      <c r="B1119">
        <v>3500035249</v>
      </c>
      <c r="C1119">
        <v>70</v>
      </c>
      <c r="D1119" t="s">
        <v>3523</v>
      </c>
      <c r="E1119" t="s">
        <v>3521</v>
      </c>
      <c r="F1119" t="s">
        <v>3524</v>
      </c>
    </row>
    <row r="1120" spans="2:6" x14ac:dyDescent="0.35">
      <c r="B1120">
        <v>3500035249</v>
      </c>
      <c r="C1120">
        <v>60</v>
      </c>
      <c r="D1120" t="s">
        <v>3525</v>
      </c>
      <c r="E1120" t="s">
        <v>3521</v>
      </c>
      <c r="F1120" t="s">
        <v>3526</v>
      </c>
    </row>
    <row r="1121" spans="2:6" x14ac:dyDescent="0.35">
      <c r="B1121">
        <v>3500035249</v>
      </c>
      <c r="C1121">
        <v>50</v>
      </c>
      <c r="D1121" t="s">
        <v>3527</v>
      </c>
      <c r="E1121" t="s">
        <v>3521</v>
      </c>
      <c r="F1121" t="s">
        <v>3528</v>
      </c>
    </row>
    <row r="1122" spans="2:6" x14ac:dyDescent="0.35">
      <c r="B1122">
        <v>3500035249</v>
      </c>
      <c r="C1122">
        <v>40</v>
      </c>
      <c r="D1122" t="s">
        <v>3529</v>
      </c>
      <c r="E1122" t="s">
        <v>3521</v>
      </c>
      <c r="F1122" t="s">
        <v>3530</v>
      </c>
    </row>
    <row r="1123" spans="2:6" x14ac:dyDescent="0.35">
      <c r="B1123">
        <v>3500035249</v>
      </c>
      <c r="C1123">
        <v>30</v>
      </c>
      <c r="D1123" t="s">
        <v>3531</v>
      </c>
      <c r="E1123" t="s">
        <v>3521</v>
      </c>
      <c r="F1123" t="s">
        <v>3532</v>
      </c>
    </row>
    <row r="1124" spans="2:6" x14ac:dyDescent="0.35">
      <c r="B1124">
        <v>3500035249</v>
      </c>
      <c r="C1124">
        <v>20</v>
      </c>
      <c r="D1124" t="s">
        <v>3533</v>
      </c>
      <c r="E1124" t="s">
        <v>3521</v>
      </c>
      <c r="F1124" t="s">
        <v>3534</v>
      </c>
    </row>
    <row r="1125" spans="2:6" x14ac:dyDescent="0.35">
      <c r="B1125">
        <v>3500035249</v>
      </c>
      <c r="C1125">
        <v>10</v>
      </c>
      <c r="D1125" t="s">
        <v>3535</v>
      </c>
      <c r="E1125" t="s">
        <v>3521</v>
      </c>
      <c r="F1125" t="s">
        <v>3536</v>
      </c>
    </row>
    <row r="1126" spans="2:6" x14ac:dyDescent="0.35">
      <c r="B1126">
        <v>3500035243</v>
      </c>
      <c r="C1126">
        <v>10</v>
      </c>
      <c r="D1126" t="s">
        <v>2950</v>
      </c>
      <c r="E1126" t="s">
        <v>3351</v>
      </c>
      <c r="F1126" t="s">
        <v>3537</v>
      </c>
    </row>
    <row r="1127" spans="2:6" x14ac:dyDescent="0.35">
      <c r="B1127">
        <v>3500035237</v>
      </c>
      <c r="C1127">
        <v>10</v>
      </c>
      <c r="D1127" t="s">
        <v>3538</v>
      </c>
      <c r="E1127" t="s">
        <v>3200</v>
      </c>
      <c r="F1127" t="s">
        <v>3539</v>
      </c>
    </row>
    <row r="1128" spans="2:6" x14ac:dyDescent="0.35">
      <c r="B1128">
        <v>3500035162</v>
      </c>
      <c r="C1128">
        <v>10</v>
      </c>
      <c r="D1128" t="s">
        <v>3540</v>
      </c>
      <c r="E1128" t="s">
        <v>3094</v>
      </c>
      <c r="F1128" t="s">
        <v>3541</v>
      </c>
    </row>
    <row r="1129" spans="2:6" x14ac:dyDescent="0.35">
      <c r="B1129">
        <v>3500035158</v>
      </c>
      <c r="C1129">
        <v>20</v>
      </c>
      <c r="D1129" t="s">
        <v>3542</v>
      </c>
      <c r="E1129" t="s">
        <v>2987</v>
      </c>
      <c r="F1129" t="s">
        <v>3543</v>
      </c>
    </row>
    <row r="1130" spans="2:6" x14ac:dyDescent="0.35">
      <c r="B1130">
        <v>3500035158</v>
      </c>
      <c r="C1130">
        <v>10</v>
      </c>
      <c r="D1130" t="s">
        <v>3544</v>
      </c>
      <c r="E1130" t="s">
        <v>2987</v>
      </c>
      <c r="F1130" t="s">
        <v>3545</v>
      </c>
    </row>
    <row r="1131" spans="2:6" x14ac:dyDescent="0.35">
      <c r="B1131">
        <v>3500035156</v>
      </c>
      <c r="C1131">
        <v>10</v>
      </c>
      <c r="D1131" t="s">
        <v>3546</v>
      </c>
      <c r="E1131" t="s">
        <v>2987</v>
      </c>
      <c r="F1131" t="s">
        <v>3547</v>
      </c>
    </row>
    <row r="1132" spans="2:6" x14ac:dyDescent="0.35">
      <c r="B1132">
        <v>3500035155</v>
      </c>
      <c r="C1132">
        <v>10</v>
      </c>
      <c r="D1132" t="s">
        <v>3548</v>
      </c>
      <c r="E1132" t="s">
        <v>3200</v>
      </c>
      <c r="F1132" t="s">
        <v>3549</v>
      </c>
    </row>
    <row r="1133" spans="2:6" x14ac:dyDescent="0.35">
      <c r="B1133">
        <v>3500035154</v>
      </c>
      <c r="C1133">
        <v>20</v>
      </c>
      <c r="D1133" t="s">
        <v>3550</v>
      </c>
      <c r="E1133" t="s">
        <v>3200</v>
      </c>
      <c r="F1133" t="s">
        <v>3551</v>
      </c>
    </row>
    <row r="1134" spans="2:6" x14ac:dyDescent="0.35">
      <c r="B1134">
        <v>3500035131</v>
      </c>
      <c r="C1134">
        <v>40</v>
      </c>
      <c r="D1134" t="s">
        <v>3552</v>
      </c>
      <c r="E1134" t="s">
        <v>2922</v>
      </c>
      <c r="F1134" t="s">
        <v>3553</v>
      </c>
    </row>
    <row r="1135" spans="2:6" x14ac:dyDescent="0.35">
      <c r="B1135">
        <v>3500035131</v>
      </c>
      <c r="C1135">
        <v>30</v>
      </c>
      <c r="D1135" t="s">
        <v>3554</v>
      </c>
      <c r="E1135" t="s">
        <v>2922</v>
      </c>
      <c r="F1135" t="s">
        <v>3555</v>
      </c>
    </row>
    <row r="1136" spans="2:6" x14ac:dyDescent="0.35">
      <c r="B1136">
        <v>3500035131</v>
      </c>
      <c r="C1136">
        <v>20</v>
      </c>
      <c r="D1136" t="s">
        <v>3556</v>
      </c>
      <c r="E1136" t="s">
        <v>2922</v>
      </c>
      <c r="F1136" t="s">
        <v>3557</v>
      </c>
    </row>
    <row r="1137" spans="2:6" x14ac:dyDescent="0.35">
      <c r="B1137">
        <v>3500035131</v>
      </c>
      <c r="C1137">
        <v>10</v>
      </c>
      <c r="D1137" t="s">
        <v>3558</v>
      </c>
      <c r="E1137" t="s">
        <v>2922</v>
      </c>
      <c r="F1137" t="s">
        <v>3559</v>
      </c>
    </row>
    <row r="1138" spans="2:6" x14ac:dyDescent="0.35">
      <c r="B1138">
        <v>3500035102</v>
      </c>
      <c r="C1138">
        <v>40</v>
      </c>
      <c r="D1138" t="s">
        <v>3560</v>
      </c>
      <c r="E1138" t="s">
        <v>2887</v>
      </c>
      <c r="F1138" t="s">
        <v>3561</v>
      </c>
    </row>
    <row r="1139" spans="2:6" x14ac:dyDescent="0.35">
      <c r="B1139">
        <v>3500035102</v>
      </c>
      <c r="C1139">
        <v>30</v>
      </c>
      <c r="D1139" t="s">
        <v>3562</v>
      </c>
      <c r="E1139" t="s">
        <v>2887</v>
      </c>
      <c r="F1139" t="s">
        <v>3563</v>
      </c>
    </row>
    <row r="1140" spans="2:6" x14ac:dyDescent="0.35">
      <c r="B1140">
        <v>3500035102</v>
      </c>
      <c r="C1140">
        <v>20</v>
      </c>
      <c r="D1140" t="s">
        <v>3564</v>
      </c>
      <c r="E1140" t="s">
        <v>2887</v>
      </c>
      <c r="F1140" t="s">
        <v>3565</v>
      </c>
    </row>
    <row r="1141" spans="2:6" x14ac:dyDescent="0.35">
      <c r="B1141">
        <v>3500035102</v>
      </c>
      <c r="C1141">
        <v>10</v>
      </c>
      <c r="D1141" t="s">
        <v>3566</v>
      </c>
      <c r="E1141" t="s">
        <v>2887</v>
      </c>
      <c r="F1141" t="s">
        <v>3567</v>
      </c>
    </row>
    <row r="1142" spans="2:6" x14ac:dyDescent="0.35">
      <c r="B1142">
        <v>3500035101</v>
      </c>
      <c r="C1142">
        <v>10</v>
      </c>
      <c r="D1142" t="s">
        <v>3568</v>
      </c>
      <c r="E1142" t="s">
        <v>3516</v>
      </c>
      <c r="F1142" t="s">
        <v>3569</v>
      </c>
    </row>
    <row r="1143" spans="2:6" x14ac:dyDescent="0.35">
      <c r="B1143">
        <v>3500035087</v>
      </c>
      <c r="C1143">
        <v>50</v>
      </c>
      <c r="D1143" t="s">
        <v>3570</v>
      </c>
      <c r="E1143" t="s">
        <v>3200</v>
      </c>
      <c r="F1143" t="s">
        <v>3571</v>
      </c>
    </row>
    <row r="1144" spans="2:6" x14ac:dyDescent="0.35">
      <c r="B1144">
        <v>3500035087</v>
      </c>
      <c r="C1144">
        <v>40</v>
      </c>
      <c r="D1144" t="s">
        <v>3572</v>
      </c>
      <c r="E1144" t="s">
        <v>3200</v>
      </c>
      <c r="F1144" t="s">
        <v>3573</v>
      </c>
    </row>
    <row r="1145" spans="2:6" x14ac:dyDescent="0.35">
      <c r="B1145">
        <v>3500035087</v>
      </c>
      <c r="C1145">
        <v>30</v>
      </c>
      <c r="D1145" t="s">
        <v>3574</v>
      </c>
      <c r="E1145" t="s">
        <v>3200</v>
      </c>
      <c r="F1145" t="s">
        <v>3575</v>
      </c>
    </row>
    <row r="1146" spans="2:6" x14ac:dyDescent="0.35">
      <c r="B1146">
        <v>3500035087</v>
      </c>
      <c r="C1146">
        <v>20</v>
      </c>
      <c r="D1146" t="s">
        <v>3576</v>
      </c>
      <c r="E1146" t="s">
        <v>3200</v>
      </c>
      <c r="F1146" t="s">
        <v>3577</v>
      </c>
    </row>
    <row r="1147" spans="2:6" x14ac:dyDescent="0.35">
      <c r="B1147">
        <v>3500035087</v>
      </c>
      <c r="C1147">
        <v>10</v>
      </c>
      <c r="D1147" t="s">
        <v>3578</v>
      </c>
      <c r="E1147" t="s">
        <v>3200</v>
      </c>
      <c r="F1147" t="s">
        <v>3579</v>
      </c>
    </row>
    <row r="1148" spans="2:6" x14ac:dyDescent="0.35">
      <c r="B1148">
        <v>3500035086</v>
      </c>
      <c r="C1148">
        <v>10</v>
      </c>
      <c r="D1148" t="s">
        <v>3580</v>
      </c>
      <c r="E1148" t="s">
        <v>3200</v>
      </c>
      <c r="F1148" t="s">
        <v>3581</v>
      </c>
    </row>
    <row r="1149" spans="2:6" x14ac:dyDescent="0.35">
      <c r="B1149">
        <v>3500035085</v>
      </c>
      <c r="C1149">
        <v>10</v>
      </c>
      <c r="D1149" t="s">
        <v>3582</v>
      </c>
      <c r="E1149" t="s">
        <v>3197</v>
      </c>
      <c r="F1149" t="s">
        <v>3583</v>
      </c>
    </row>
    <row r="1150" spans="2:6" x14ac:dyDescent="0.35">
      <c r="B1150">
        <v>3500035081</v>
      </c>
      <c r="C1150">
        <v>20</v>
      </c>
      <c r="D1150" t="s">
        <v>3584</v>
      </c>
      <c r="E1150" t="s">
        <v>3200</v>
      </c>
      <c r="F1150" t="s">
        <v>3585</v>
      </c>
    </row>
    <row r="1151" spans="2:6" x14ac:dyDescent="0.35">
      <c r="B1151">
        <v>3500035081</v>
      </c>
      <c r="C1151">
        <v>10</v>
      </c>
      <c r="D1151" t="s">
        <v>3586</v>
      </c>
      <c r="E1151" t="s">
        <v>3200</v>
      </c>
      <c r="F1151" t="s">
        <v>3587</v>
      </c>
    </row>
    <row r="1152" spans="2:6" x14ac:dyDescent="0.35">
      <c r="B1152">
        <v>3500035076</v>
      </c>
      <c r="C1152">
        <v>90</v>
      </c>
      <c r="D1152" t="s">
        <v>3588</v>
      </c>
      <c r="E1152" t="s">
        <v>3200</v>
      </c>
      <c r="F1152" t="s">
        <v>3589</v>
      </c>
    </row>
    <row r="1153" spans="2:6" x14ac:dyDescent="0.35">
      <c r="B1153">
        <v>3500035076</v>
      </c>
      <c r="C1153">
        <v>80</v>
      </c>
      <c r="D1153" t="s">
        <v>3590</v>
      </c>
      <c r="E1153" t="s">
        <v>3200</v>
      </c>
      <c r="F1153" t="s">
        <v>3591</v>
      </c>
    </row>
    <row r="1154" spans="2:6" x14ac:dyDescent="0.35">
      <c r="B1154">
        <v>3500035076</v>
      </c>
      <c r="C1154">
        <v>70</v>
      </c>
      <c r="D1154" t="s">
        <v>3592</v>
      </c>
      <c r="E1154" t="s">
        <v>3200</v>
      </c>
      <c r="F1154" t="s">
        <v>3593</v>
      </c>
    </row>
    <row r="1155" spans="2:6" x14ac:dyDescent="0.35">
      <c r="B1155">
        <v>3500035076</v>
      </c>
      <c r="C1155">
        <v>60</v>
      </c>
      <c r="D1155" t="s">
        <v>3594</v>
      </c>
      <c r="E1155" t="s">
        <v>3200</v>
      </c>
      <c r="F1155" t="s">
        <v>3595</v>
      </c>
    </row>
    <row r="1156" spans="2:6" x14ac:dyDescent="0.35">
      <c r="B1156">
        <v>3500035076</v>
      </c>
      <c r="C1156">
        <v>50</v>
      </c>
      <c r="D1156" t="s">
        <v>3596</v>
      </c>
      <c r="E1156" t="s">
        <v>3200</v>
      </c>
      <c r="F1156" t="s">
        <v>3597</v>
      </c>
    </row>
    <row r="1157" spans="2:6" x14ac:dyDescent="0.35">
      <c r="B1157">
        <v>3500034990</v>
      </c>
      <c r="C1157">
        <v>40</v>
      </c>
      <c r="D1157" t="s">
        <v>3598</v>
      </c>
      <c r="E1157" t="s">
        <v>3094</v>
      </c>
      <c r="F1157" t="s">
        <v>3599</v>
      </c>
    </row>
    <row r="1158" spans="2:6" x14ac:dyDescent="0.35">
      <c r="B1158">
        <v>3500034990</v>
      </c>
      <c r="C1158">
        <v>30</v>
      </c>
      <c r="D1158" t="s">
        <v>3353</v>
      </c>
      <c r="E1158" t="s">
        <v>3094</v>
      </c>
      <c r="F1158" t="s">
        <v>3600</v>
      </c>
    </row>
    <row r="1159" spans="2:6" x14ac:dyDescent="0.35">
      <c r="B1159">
        <v>3500034990</v>
      </c>
      <c r="C1159">
        <v>20</v>
      </c>
      <c r="D1159" t="s">
        <v>2688</v>
      </c>
      <c r="E1159" t="s">
        <v>3094</v>
      </c>
      <c r="F1159" t="s">
        <v>3601</v>
      </c>
    </row>
    <row r="1160" spans="2:6" x14ac:dyDescent="0.35">
      <c r="B1160">
        <v>3500034990</v>
      </c>
      <c r="C1160">
        <v>10</v>
      </c>
      <c r="D1160" t="s">
        <v>3345</v>
      </c>
      <c r="E1160" t="s">
        <v>3094</v>
      </c>
      <c r="F1160" t="s">
        <v>3602</v>
      </c>
    </row>
    <row r="1161" spans="2:6" x14ac:dyDescent="0.35">
      <c r="B1161">
        <v>3500034989</v>
      </c>
      <c r="C1161">
        <v>10</v>
      </c>
      <c r="D1161" t="s">
        <v>2533</v>
      </c>
      <c r="E1161" t="s">
        <v>3200</v>
      </c>
      <c r="F1161" t="s">
        <v>3603</v>
      </c>
    </row>
    <row r="1162" spans="2:6" x14ac:dyDescent="0.35">
      <c r="B1162">
        <v>3500034977</v>
      </c>
      <c r="C1162">
        <v>10</v>
      </c>
      <c r="D1162" t="s">
        <v>3604</v>
      </c>
      <c r="E1162" t="s">
        <v>3200</v>
      </c>
      <c r="F1162" t="s">
        <v>3605</v>
      </c>
    </row>
    <row r="1163" spans="2:6" x14ac:dyDescent="0.35">
      <c r="B1163">
        <v>3500034973</v>
      </c>
      <c r="C1163">
        <v>20</v>
      </c>
      <c r="D1163" t="s">
        <v>3606</v>
      </c>
      <c r="E1163" t="s">
        <v>3200</v>
      </c>
      <c r="F1163" t="s">
        <v>3607</v>
      </c>
    </row>
    <row r="1164" spans="2:6" x14ac:dyDescent="0.35">
      <c r="B1164">
        <v>3500034973</v>
      </c>
      <c r="C1164">
        <v>10</v>
      </c>
      <c r="D1164" t="s">
        <v>3608</v>
      </c>
      <c r="E1164" t="s">
        <v>3200</v>
      </c>
      <c r="F1164" t="s">
        <v>3609</v>
      </c>
    </row>
    <row r="1165" spans="2:6" x14ac:dyDescent="0.35">
      <c r="B1165">
        <v>3500034971</v>
      </c>
      <c r="C1165">
        <v>10</v>
      </c>
      <c r="D1165" t="s">
        <v>3610</v>
      </c>
      <c r="E1165" t="s">
        <v>2987</v>
      </c>
      <c r="F1165" t="s">
        <v>3611</v>
      </c>
    </row>
    <row r="1166" spans="2:6" x14ac:dyDescent="0.35">
      <c r="B1166">
        <v>3500034916</v>
      </c>
      <c r="C1166">
        <v>10</v>
      </c>
      <c r="D1166" t="s">
        <v>2475</v>
      </c>
      <c r="E1166" t="s">
        <v>3200</v>
      </c>
      <c r="F1166" t="s">
        <v>3612</v>
      </c>
    </row>
    <row r="1167" spans="2:6" x14ac:dyDescent="0.35">
      <c r="B1167">
        <v>3500034911</v>
      </c>
      <c r="C1167">
        <v>10</v>
      </c>
      <c r="D1167" t="s">
        <v>3613</v>
      </c>
      <c r="E1167" t="s">
        <v>3200</v>
      </c>
      <c r="F1167" t="s">
        <v>3614</v>
      </c>
    </row>
    <row r="1168" spans="2:6" x14ac:dyDescent="0.35">
      <c r="B1168">
        <v>3500034889</v>
      </c>
      <c r="C1168">
        <v>90</v>
      </c>
      <c r="D1168" t="s">
        <v>2577</v>
      </c>
      <c r="E1168" t="s">
        <v>3351</v>
      </c>
      <c r="F1168" t="s">
        <v>3615</v>
      </c>
    </row>
    <row r="1169" spans="2:6" x14ac:dyDescent="0.35">
      <c r="B1169">
        <v>3500034889</v>
      </c>
      <c r="C1169">
        <v>80</v>
      </c>
      <c r="D1169" t="s">
        <v>2580</v>
      </c>
      <c r="E1169" t="s">
        <v>3351</v>
      </c>
      <c r="F1169" t="s">
        <v>3616</v>
      </c>
    </row>
    <row r="1170" spans="2:6" x14ac:dyDescent="0.35">
      <c r="B1170">
        <v>3500034889</v>
      </c>
      <c r="C1170">
        <v>70</v>
      </c>
      <c r="D1170" t="s">
        <v>3310</v>
      </c>
      <c r="E1170" t="s">
        <v>3351</v>
      </c>
      <c r="F1170" t="s">
        <v>3617</v>
      </c>
    </row>
    <row r="1171" spans="2:6" x14ac:dyDescent="0.35">
      <c r="B1171">
        <v>3500034889</v>
      </c>
      <c r="C1171">
        <v>60</v>
      </c>
      <c r="D1171" t="s">
        <v>2585</v>
      </c>
      <c r="E1171" t="s">
        <v>3351</v>
      </c>
      <c r="F1171" t="s">
        <v>3618</v>
      </c>
    </row>
    <row r="1172" spans="2:6" x14ac:dyDescent="0.35">
      <c r="B1172">
        <v>3500034889</v>
      </c>
      <c r="C1172">
        <v>50</v>
      </c>
      <c r="D1172" t="s">
        <v>2559</v>
      </c>
      <c r="E1172" t="s">
        <v>3351</v>
      </c>
      <c r="F1172" t="s">
        <v>3619</v>
      </c>
    </row>
    <row r="1173" spans="2:6" x14ac:dyDescent="0.35">
      <c r="B1173">
        <v>3500034889</v>
      </c>
      <c r="C1173">
        <v>40</v>
      </c>
      <c r="D1173" t="s">
        <v>2561</v>
      </c>
      <c r="E1173" t="s">
        <v>3351</v>
      </c>
      <c r="F1173" t="s">
        <v>3620</v>
      </c>
    </row>
    <row r="1174" spans="2:6" x14ac:dyDescent="0.35">
      <c r="B1174">
        <v>3500034889</v>
      </c>
      <c r="C1174">
        <v>30</v>
      </c>
      <c r="D1174" t="s">
        <v>2605</v>
      </c>
      <c r="E1174" t="s">
        <v>3351</v>
      </c>
      <c r="F1174" t="s">
        <v>3621</v>
      </c>
    </row>
    <row r="1175" spans="2:6" x14ac:dyDescent="0.35">
      <c r="B1175">
        <v>3500034889</v>
      </c>
      <c r="C1175">
        <v>20</v>
      </c>
      <c r="D1175" t="s">
        <v>2537</v>
      </c>
      <c r="E1175" t="s">
        <v>3351</v>
      </c>
      <c r="F1175" t="s">
        <v>3622</v>
      </c>
    </row>
    <row r="1176" spans="2:6" x14ac:dyDescent="0.35">
      <c r="B1176">
        <v>3500034889</v>
      </c>
      <c r="C1176">
        <v>110</v>
      </c>
      <c r="D1176" t="s">
        <v>2601</v>
      </c>
      <c r="E1176" t="s">
        <v>3351</v>
      </c>
      <c r="F1176" t="s">
        <v>3623</v>
      </c>
    </row>
    <row r="1177" spans="2:6" x14ac:dyDescent="0.35">
      <c r="B1177">
        <v>3500034889</v>
      </c>
      <c r="C1177">
        <v>100</v>
      </c>
      <c r="D1177" t="s">
        <v>2625</v>
      </c>
      <c r="E1177" t="s">
        <v>3351</v>
      </c>
      <c r="F1177" t="s">
        <v>3624</v>
      </c>
    </row>
    <row r="1178" spans="2:6" x14ac:dyDescent="0.35">
      <c r="B1178">
        <v>3500034889</v>
      </c>
      <c r="C1178">
        <v>10</v>
      </c>
      <c r="D1178" t="s">
        <v>2543</v>
      </c>
      <c r="E1178" t="s">
        <v>3351</v>
      </c>
      <c r="F1178" t="s">
        <v>3625</v>
      </c>
    </row>
    <row r="1179" spans="2:6" x14ac:dyDescent="0.35">
      <c r="B1179">
        <v>3500034845</v>
      </c>
      <c r="C1179">
        <v>10</v>
      </c>
      <c r="D1179" t="s">
        <v>3626</v>
      </c>
      <c r="E1179" t="s">
        <v>3200</v>
      </c>
      <c r="F1179" t="s">
        <v>3627</v>
      </c>
    </row>
    <row r="1180" spans="2:6" x14ac:dyDescent="0.35">
      <c r="B1180">
        <v>3500034833</v>
      </c>
      <c r="C1180">
        <v>30</v>
      </c>
      <c r="D1180" t="s">
        <v>3628</v>
      </c>
      <c r="E1180" t="s">
        <v>3200</v>
      </c>
      <c r="F1180" t="s">
        <v>3629</v>
      </c>
    </row>
    <row r="1181" spans="2:6" x14ac:dyDescent="0.35">
      <c r="B1181">
        <v>3500034833</v>
      </c>
      <c r="C1181">
        <v>20</v>
      </c>
      <c r="D1181" t="s">
        <v>3630</v>
      </c>
      <c r="E1181" t="s">
        <v>3200</v>
      </c>
      <c r="F1181" t="s">
        <v>3631</v>
      </c>
    </row>
    <row r="1182" spans="2:6" x14ac:dyDescent="0.35">
      <c r="B1182">
        <v>3500034833</v>
      </c>
      <c r="C1182">
        <v>10</v>
      </c>
      <c r="D1182" t="s">
        <v>3632</v>
      </c>
      <c r="E1182" t="s">
        <v>3200</v>
      </c>
      <c r="F1182" t="s">
        <v>3633</v>
      </c>
    </row>
    <row r="1183" spans="2:6" x14ac:dyDescent="0.35">
      <c r="B1183">
        <v>3500034771</v>
      </c>
      <c r="C1183">
        <v>10</v>
      </c>
      <c r="D1183" t="s">
        <v>3634</v>
      </c>
      <c r="E1183" t="s">
        <v>2922</v>
      </c>
      <c r="F1183" t="s">
        <v>3635</v>
      </c>
    </row>
    <row r="1184" spans="2:6" x14ac:dyDescent="0.35">
      <c r="B1184">
        <v>3500034770</v>
      </c>
      <c r="C1184">
        <v>50</v>
      </c>
      <c r="D1184" t="s">
        <v>3636</v>
      </c>
      <c r="E1184" t="s">
        <v>3351</v>
      </c>
      <c r="F1184" t="s">
        <v>3637</v>
      </c>
    </row>
    <row r="1185" spans="2:6" x14ac:dyDescent="0.35">
      <c r="B1185">
        <v>3500034770</v>
      </c>
      <c r="C1185">
        <v>40</v>
      </c>
      <c r="D1185" t="s">
        <v>2952</v>
      </c>
      <c r="E1185" t="s">
        <v>3351</v>
      </c>
      <c r="F1185" t="s">
        <v>3638</v>
      </c>
    </row>
    <row r="1186" spans="2:6" x14ac:dyDescent="0.35">
      <c r="B1186">
        <v>3500034770</v>
      </c>
      <c r="C1186">
        <v>30</v>
      </c>
      <c r="D1186" t="s">
        <v>2954</v>
      </c>
      <c r="E1186" t="s">
        <v>3351</v>
      </c>
      <c r="F1186" t="s">
        <v>3639</v>
      </c>
    </row>
    <row r="1187" spans="2:6" x14ac:dyDescent="0.35">
      <c r="B1187">
        <v>3500034770</v>
      </c>
      <c r="C1187">
        <v>20</v>
      </c>
      <c r="D1187" t="s">
        <v>2950</v>
      </c>
      <c r="E1187" t="s">
        <v>3351</v>
      </c>
      <c r="F1187" t="s">
        <v>3640</v>
      </c>
    </row>
    <row r="1188" spans="2:6" x14ac:dyDescent="0.35">
      <c r="B1188">
        <v>3500034770</v>
      </c>
      <c r="C1188">
        <v>10</v>
      </c>
      <c r="D1188" t="s">
        <v>3641</v>
      </c>
      <c r="E1188" t="s">
        <v>3351</v>
      </c>
      <c r="F1188" t="s">
        <v>3642</v>
      </c>
    </row>
    <row r="1189" spans="2:6" x14ac:dyDescent="0.35">
      <c r="B1189">
        <v>3500034732</v>
      </c>
      <c r="C1189">
        <v>10</v>
      </c>
      <c r="D1189" t="s">
        <v>3643</v>
      </c>
      <c r="E1189" t="s">
        <v>3200</v>
      </c>
      <c r="F1189" t="s">
        <v>3644</v>
      </c>
    </row>
    <row r="1190" spans="2:6" x14ac:dyDescent="0.35">
      <c r="B1190">
        <v>3500034721</v>
      </c>
      <c r="C1190">
        <v>10</v>
      </c>
      <c r="D1190" t="s">
        <v>3645</v>
      </c>
      <c r="E1190" t="s">
        <v>3646</v>
      </c>
      <c r="F1190" t="s">
        <v>3647</v>
      </c>
    </row>
    <row r="1191" spans="2:6" x14ac:dyDescent="0.35">
      <c r="B1191">
        <v>3500034719</v>
      </c>
      <c r="C1191">
        <v>80</v>
      </c>
      <c r="D1191" t="s">
        <v>3648</v>
      </c>
      <c r="E1191" t="s">
        <v>3649</v>
      </c>
      <c r="F1191" t="s">
        <v>3650</v>
      </c>
    </row>
    <row r="1192" spans="2:6" x14ac:dyDescent="0.35">
      <c r="B1192">
        <v>3500034719</v>
      </c>
      <c r="C1192">
        <v>70</v>
      </c>
      <c r="D1192" t="s">
        <v>3651</v>
      </c>
      <c r="E1192" t="s">
        <v>3649</v>
      </c>
      <c r="F1192" t="s">
        <v>3652</v>
      </c>
    </row>
    <row r="1193" spans="2:6" x14ac:dyDescent="0.35">
      <c r="B1193">
        <v>3500034719</v>
      </c>
      <c r="C1193">
        <v>60</v>
      </c>
      <c r="D1193" t="s">
        <v>3653</v>
      </c>
      <c r="E1193" t="s">
        <v>3649</v>
      </c>
      <c r="F1193" t="s">
        <v>3654</v>
      </c>
    </row>
    <row r="1194" spans="2:6" x14ac:dyDescent="0.35">
      <c r="B1194">
        <v>3500034719</v>
      </c>
      <c r="C1194">
        <v>30</v>
      </c>
      <c r="D1194" t="s">
        <v>3655</v>
      </c>
      <c r="E1194" t="s">
        <v>3649</v>
      </c>
      <c r="F1194" t="s">
        <v>3656</v>
      </c>
    </row>
    <row r="1195" spans="2:6" x14ac:dyDescent="0.35">
      <c r="B1195">
        <v>3500034719</v>
      </c>
      <c r="C1195">
        <v>20</v>
      </c>
      <c r="D1195" t="s">
        <v>3657</v>
      </c>
      <c r="E1195" t="s">
        <v>3649</v>
      </c>
      <c r="F1195" t="s">
        <v>3658</v>
      </c>
    </row>
    <row r="1196" spans="2:6" x14ac:dyDescent="0.35">
      <c r="B1196">
        <v>3500034719</v>
      </c>
      <c r="C1196">
        <v>10</v>
      </c>
      <c r="D1196" t="s">
        <v>3659</v>
      </c>
      <c r="E1196" t="s">
        <v>3649</v>
      </c>
      <c r="F1196" t="s">
        <v>3660</v>
      </c>
    </row>
    <row r="1197" spans="2:6" x14ac:dyDescent="0.35">
      <c r="B1197">
        <v>3500034717</v>
      </c>
      <c r="C1197">
        <v>20</v>
      </c>
      <c r="D1197" t="s">
        <v>3661</v>
      </c>
      <c r="E1197" t="s">
        <v>3200</v>
      </c>
      <c r="F1197" t="s">
        <v>3662</v>
      </c>
    </row>
    <row r="1198" spans="2:6" x14ac:dyDescent="0.35">
      <c r="B1198">
        <v>3500034717</v>
      </c>
      <c r="C1198">
        <v>10</v>
      </c>
      <c r="D1198" t="s">
        <v>3663</v>
      </c>
      <c r="E1198" t="s">
        <v>3200</v>
      </c>
      <c r="F1198" t="s">
        <v>3664</v>
      </c>
    </row>
    <row r="1199" spans="2:6" x14ac:dyDescent="0.35">
      <c r="B1199">
        <v>3500034716</v>
      </c>
      <c r="C1199">
        <v>40</v>
      </c>
      <c r="D1199" t="s">
        <v>3665</v>
      </c>
      <c r="E1199" t="s">
        <v>3200</v>
      </c>
      <c r="F1199" t="s">
        <v>3666</v>
      </c>
    </row>
    <row r="1200" spans="2:6" x14ac:dyDescent="0.35">
      <c r="B1200">
        <v>3500034716</v>
      </c>
      <c r="C1200">
        <v>30</v>
      </c>
      <c r="D1200" t="s">
        <v>3667</v>
      </c>
      <c r="E1200" t="s">
        <v>3200</v>
      </c>
      <c r="F1200" t="s">
        <v>3668</v>
      </c>
    </row>
    <row r="1201" spans="2:6" x14ac:dyDescent="0.35">
      <c r="B1201">
        <v>3500034716</v>
      </c>
      <c r="C1201">
        <v>20</v>
      </c>
      <c r="D1201" t="s">
        <v>3669</v>
      </c>
      <c r="E1201" t="s">
        <v>3200</v>
      </c>
      <c r="F1201" t="s">
        <v>3670</v>
      </c>
    </row>
    <row r="1202" spans="2:6" x14ac:dyDescent="0.35">
      <c r="B1202">
        <v>3500034716</v>
      </c>
      <c r="C1202">
        <v>10</v>
      </c>
      <c r="D1202" t="s">
        <v>3671</v>
      </c>
      <c r="E1202" t="s">
        <v>3200</v>
      </c>
      <c r="F1202" t="s">
        <v>3672</v>
      </c>
    </row>
    <row r="1203" spans="2:6" x14ac:dyDescent="0.35">
      <c r="B1203">
        <v>3500034715</v>
      </c>
      <c r="C1203">
        <v>10</v>
      </c>
      <c r="D1203" t="s">
        <v>298</v>
      </c>
      <c r="E1203" t="s">
        <v>3197</v>
      </c>
      <c r="F1203" t="s">
        <v>3673</v>
      </c>
    </row>
    <row r="1204" spans="2:6" x14ac:dyDescent="0.35">
      <c r="B1204">
        <v>3500034702</v>
      </c>
      <c r="C1204">
        <v>10</v>
      </c>
      <c r="D1204" t="s">
        <v>3674</v>
      </c>
      <c r="E1204" t="s">
        <v>3130</v>
      </c>
      <c r="F1204" t="s">
        <v>3675</v>
      </c>
    </row>
    <row r="1205" spans="2:6" x14ac:dyDescent="0.35">
      <c r="B1205">
        <v>3500034701</v>
      </c>
      <c r="C1205">
        <v>10</v>
      </c>
      <c r="D1205" t="s">
        <v>1217</v>
      </c>
      <c r="E1205" t="s">
        <v>3200</v>
      </c>
      <c r="F1205" t="s">
        <v>3676</v>
      </c>
    </row>
    <row r="1206" spans="2:6" x14ac:dyDescent="0.35">
      <c r="B1206">
        <v>3500034692</v>
      </c>
      <c r="C1206">
        <v>20</v>
      </c>
      <c r="D1206" t="s">
        <v>3677</v>
      </c>
      <c r="E1206" t="s">
        <v>3678</v>
      </c>
      <c r="F1206" t="s">
        <v>3679</v>
      </c>
    </row>
    <row r="1207" spans="2:6" x14ac:dyDescent="0.35">
      <c r="B1207">
        <v>3500034692</v>
      </c>
      <c r="C1207">
        <v>10</v>
      </c>
      <c r="D1207" t="s">
        <v>3680</v>
      </c>
      <c r="E1207" t="s">
        <v>3678</v>
      </c>
      <c r="F1207" t="s">
        <v>3681</v>
      </c>
    </row>
    <row r="1208" spans="2:6" x14ac:dyDescent="0.35">
      <c r="B1208">
        <v>3500034622</v>
      </c>
      <c r="C1208">
        <v>20</v>
      </c>
      <c r="D1208" t="s">
        <v>3677</v>
      </c>
      <c r="E1208" t="s">
        <v>3682</v>
      </c>
      <c r="F1208" t="s">
        <v>3683</v>
      </c>
    </row>
    <row r="1209" spans="2:6" x14ac:dyDescent="0.35">
      <c r="B1209">
        <v>3500034622</v>
      </c>
      <c r="C1209">
        <v>10</v>
      </c>
      <c r="D1209" t="s">
        <v>3684</v>
      </c>
      <c r="E1209" t="s">
        <v>3682</v>
      </c>
      <c r="F1209" t="s">
        <v>3685</v>
      </c>
    </row>
    <row r="1210" spans="2:6" x14ac:dyDescent="0.35">
      <c r="B1210">
        <v>3500034613</v>
      </c>
      <c r="C1210">
        <v>70</v>
      </c>
      <c r="D1210" t="s">
        <v>3145</v>
      </c>
      <c r="E1210" t="s">
        <v>3200</v>
      </c>
      <c r="F1210" t="s">
        <v>3686</v>
      </c>
    </row>
    <row r="1211" spans="2:6" x14ac:dyDescent="0.35">
      <c r="B1211">
        <v>3500034613</v>
      </c>
      <c r="C1211">
        <v>60</v>
      </c>
      <c r="D1211" t="s">
        <v>3452</v>
      </c>
      <c r="E1211" t="s">
        <v>3200</v>
      </c>
      <c r="F1211" t="s">
        <v>3687</v>
      </c>
    </row>
    <row r="1212" spans="2:6" x14ac:dyDescent="0.35">
      <c r="B1212">
        <v>3500034613</v>
      </c>
      <c r="C1212">
        <v>50</v>
      </c>
      <c r="D1212" t="s">
        <v>3688</v>
      </c>
      <c r="E1212" t="s">
        <v>3200</v>
      </c>
      <c r="F1212" t="s">
        <v>3689</v>
      </c>
    </row>
    <row r="1213" spans="2:6" x14ac:dyDescent="0.35">
      <c r="B1213">
        <v>3500034613</v>
      </c>
      <c r="C1213">
        <v>40</v>
      </c>
      <c r="D1213" t="s">
        <v>2551</v>
      </c>
      <c r="E1213" t="s">
        <v>3200</v>
      </c>
      <c r="F1213" t="s">
        <v>3690</v>
      </c>
    </row>
    <row r="1214" spans="2:6" x14ac:dyDescent="0.35">
      <c r="B1214">
        <v>3500034613</v>
      </c>
      <c r="C1214">
        <v>30</v>
      </c>
      <c r="D1214" t="s">
        <v>3119</v>
      </c>
      <c r="E1214" t="s">
        <v>3200</v>
      </c>
      <c r="F1214" t="s">
        <v>3691</v>
      </c>
    </row>
    <row r="1215" spans="2:6" x14ac:dyDescent="0.35">
      <c r="B1215">
        <v>3500034613</v>
      </c>
      <c r="C1215">
        <v>20</v>
      </c>
      <c r="D1215" t="s">
        <v>3692</v>
      </c>
      <c r="E1215" t="s">
        <v>3200</v>
      </c>
      <c r="F1215" t="s">
        <v>3693</v>
      </c>
    </row>
    <row r="1216" spans="2:6" x14ac:dyDescent="0.35">
      <c r="B1216">
        <v>3500034613</v>
      </c>
      <c r="C1216">
        <v>10</v>
      </c>
      <c r="D1216" t="s">
        <v>2543</v>
      </c>
      <c r="E1216" t="s">
        <v>3200</v>
      </c>
      <c r="F1216" t="s">
        <v>3694</v>
      </c>
    </row>
    <row r="1217" spans="2:6" x14ac:dyDescent="0.35">
      <c r="B1217">
        <v>3500034612</v>
      </c>
      <c r="C1217">
        <v>10</v>
      </c>
      <c r="D1217" t="s">
        <v>3695</v>
      </c>
      <c r="E1217" t="s">
        <v>3200</v>
      </c>
      <c r="F1217" t="s">
        <v>3696</v>
      </c>
    </row>
    <row r="1218" spans="2:6" x14ac:dyDescent="0.35">
      <c r="B1218">
        <v>3500034608</v>
      </c>
      <c r="C1218">
        <v>30</v>
      </c>
      <c r="D1218" t="s">
        <v>3697</v>
      </c>
      <c r="E1218" t="s">
        <v>3200</v>
      </c>
      <c r="F1218" t="s">
        <v>3698</v>
      </c>
    </row>
    <row r="1219" spans="2:6" x14ac:dyDescent="0.35">
      <c r="B1219">
        <v>3500034608</v>
      </c>
      <c r="C1219">
        <v>20</v>
      </c>
      <c r="D1219" t="s">
        <v>3699</v>
      </c>
      <c r="E1219" t="s">
        <v>3200</v>
      </c>
      <c r="F1219" t="s">
        <v>3700</v>
      </c>
    </row>
    <row r="1220" spans="2:6" x14ac:dyDescent="0.35">
      <c r="B1220">
        <v>3500034608</v>
      </c>
      <c r="C1220">
        <v>10</v>
      </c>
      <c r="D1220" t="s">
        <v>3701</v>
      </c>
      <c r="E1220" t="s">
        <v>3200</v>
      </c>
      <c r="F1220" t="s">
        <v>3702</v>
      </c>
    </row>
    <row r="1221" spans="2:6" x14ac:dyDescent="0.35">
      <c r="B1221">
        <v>3500034597</v>
      </c>
      <c r="C1221">
        <v>10</v>
      </c>
      <c r="D1221" t="s">
        <v>3703</v>
      </c>
      <c r="E1221" t="s">
        <v>3200</v>
      </c>
      <c r="F1221" t="s">
        <v>3704</v>
      </c>
    </row>
    <row r="1222" spans="2:6" x14ac:dyDescent="0.35">
      <c r="B1222">
        <v>3500034499</v>
      </c>
      <c r="C1222">
        <v>90</v>
      </c>
      <c r="D1222" t="s">
        <v>2625</v>
      </c>
      <c r="E1222" t="s">
        <v>3130</v>
      </c>
      <c r="F1222" t="s">
        <v>3705</v>
      </c>
    </row>
    <row r="1223" spans="2:6" x14ac:dyDescent="0.35">
      <c r="B1223">
        <v>3500034499</v>
      </c>
      <c r="C1223">
        <v>80</v>
      </c>
      <c r="D1223" t="s">
        <v>2580</v>
      </c>
      <c r="E1223" t="s">
        <v>3130</v>
      </c>
      <c r="F1223" t="s">
        <v>3706</v>
      </c>
    </row>
    <row r="1224" spans="2:6" x14ac:dyDescent="0.35">
      <c r="B1224">
        <v>3500034499</v>
      </c>
      <c r="C1224">
        <v>70</v>
      </c>
      <c r="D1224" t="s">
        <v>3707</v>
      </c>
      <c r="E1224" t="s">
        <v>3130</v>
      </c>
      <c r="F1224" t="s">
        <v>3708</v>
      </c>
    </row>
    <row r="1225" spans="2:6" x14ac:dyDescent="0.35">
      <c r="B1225">
        <v>3500034499</v>
      </c>
      <c r="C1225">
        <v>60</v>
      </c>
      <c r="D1225" t="s">
        <v>3484</v>
      </c>
      <c r="E1225" t="s">
        <v>3130</v>
      </c>
      <c r="F1225" t="s">
        <v>3709</v>
      </c>
    </row>
    <row r="1226" spans="2:6" x14ac:dyDescent="0.35">
      <c r="B1226">
        <v>3500034499</v>
      </c>
      <c r="C1226">
        <v>50</v>
      </c>
      <c r="D1226" t="s">
        <v>3710</v>
      </c>
      <c r="E1226" t="s">
        <v>3130</v>
      </c>
      <c r="F1226" t="s">
        <v>3711</v>
      </c>
    </row>
    <row r="1227" spans="2:6" x14ac:dyDescent="0.35">
      <c r="B1227">
        <v>3500034499</v>
      </c>
      <c r="C1227">
        <v>40</v>
      </c>
      <c r="D1227" t="s">
        <v>3111</v>
      </c>
      <c r="E1227" t="s">
        <v>3130</v>
      </c>
      <c r="F1227" t="s">
        <v>3712</v>
      </c>
    </row>
    <row r="1228" spans="2:6" x14ac:dyDescent="0.35">
      <c r="B1228">
        <v>3500034499</v>
      </c>
      <c r="C1228">
        <v>30</v>
      </c>
      <c r="D1228" t="s">
        <v>3713</v>
      </c>
      <c r="E1228" t="s">
        <v>3130</v>
      </c>
      <c r="F1228" t="s">
        <v>3714</v>
      </c>
    </row>
    <row r="1229" spans="2:6" x14ac:dyDescent="0.35">
      <c r="B1229">
        <v>3500034499</v>
      </c>
      <c r="C1229">
        <v>20</v>
      </c>
      <c r="D1229" t="s">
        <v>3715</v>
      </c>
      <c r="E1229" t="s">
        <v>3130</v>
      </c>
      <c r="F1229" t="s">
        <v>3716</v>
      </c>
    </row>
    <row r="1230" spans="2:6" x14ac:dyDescent="0.35">
      <c r="B1230">
        <v>3500034499</v>
      </c>
      <c r="C1230">
        <v>110</v>
      </c>
      <c r="D1230" t="s">
        <v>2577</v>
      </c>
      <c r="E1230" t="s">
        <v>3130</v>
      </c>
      <c r="F1230" t="s">
        <v>3717</v>
      </c>
    </row>
    <row r="1231" spans="2:6" x14ac:dyDescent="0.35">
      <c r="B1231">
        <v>3500034499</v>
      </c>
      <c r="C1231">
        <v>100</v>
      </c>
      <c r="D1231" t="s">
        <v>3718</v>
      </c>
      <c r="E1231" t="s">
        <v>3130</v>
      </c>
      <c r="F1231" t="s">
        <v>3719</v>
      </c>
    </row>
    <row r="1232" spans="2:6" x14ac:dyDescent="0.35">
      <c r="B1232">
        <v>3500034499</v>
      </c>
      <c r="C1232">
        <v>10</v>
      </c>
      <c r="D1232" t="s">
        <v>2927</v>
      </c>
      <c r="E1232" t="s">
        <v>3130</v>
      </c>
      <c r="F1232" t="s">
        <v>3720</v>
      </c>
    </row>
    <row r="1233" spans="2:6" x14ac:dyDescent="0.35">
      <c r="B1233">
        <v>3500034486</v>
      </c>
      <c r="C1233">
        <v>20</v>
      </c>
      <c r="D1233" t="s">
        <v>3721</v>
      </c>
      <c r="E1233" t="s">
        <v>3200</v>
      </c>
      <c r="F1233" t="s">
        <v>3722</v>
      </c>
    </row>
    <row r="1234" spans="2:6" x14ac:dyDescent="0.35">
      <c r="B1234">
        <v>3500034486</v>
      </c>
      <c r="C1234">
        <v>10</v>
      </c>
      <c r="D1234" t="s">
        <v>3723</v>
      </c>
      <c r="E1234" t="s">
        <v>3200</v>
      </c>
      <c r="F1234" t="s">
        <v>3724</v>
      </c>
    </row>
    <row r="1235" spans="2:6" x14ac:dyDescent="0.35">
      <c r="B1235">
        <v>3500034482</v>
      </c>
      <c r="C1235">
        <v>50</v>
      </c>
      <c r="D1235" t="s">
        <v>2543</v>
      </c>
      <c r="E1235" t="s">
        <v>3130</v>
      </c>
      <c r="F1235" t="s">
        <v>3725</v>
      </c>
    </row>
    <row r="1236" spans="2:6" x14ac:dyDescent="0.35">
      <c r="B1236">
        <v>3500034482</v>
      </c>
      <c r="C1236">
        <v>40</v>
      </c>
      <c r="D1236" t="s">
        <v>2571</v>
      </c>
      <c r="E1236" t="s">
        <v>3130</v>
      </c>
      <c r="F1236" t="s">
        <v>3726</v>
      </c>
    </row>
    <row r="1237" spans="2:6" x14ac:dyDescent="0.35">
      <c r="B1237">
        <v>3500034482</v>
      </c>
      <c r="C1237">
        <v>30</v>
      </c>
      <c r="D1237" t="s">
        <v>2537</v>
      </c>
      <c r="E1237" t="s">
        <v>3130</v>
      </c>
      <c r="F1237" t="s">
        <v>3727</v>
      </c>
    </row>
    <row r="1238" spans="2:6" x14ac:dyDescent="0.35">
      <c r="B1238">
        <v>3500034482</v>
      </c>
      <c r="C1238">
        <v>20</v>
      </c>
      <c r="D1238" t="s">
        <v>2686</v>
      </c>
      <c r="E1238" t="s">
        <v>3130</v>
      </c>
      <c r="F1238" t="s">
        <v>3728</v>
      </c>
    </row>
    <row r="1239" spans="2:6" x14ac:dyDescent="0.35">
      <c r="B1239">
        <v>3500034482</v>
      </c>
      <c r="C1239">
        <v>10</v>
      </c>
      <c r="D1239" t="s">
        <v>3688</v>
      </c>
      <c r="E1239" t="s">
        <v>3130</v>
      </c>
      <c r="F1239" t="s">
        <v>3729</v>
      </c>
    </row>
    <row r="1240" spans="2:6" x14ac:dyDescent="0.35">
      <c r="B1240">
        <v>3500034443</v>
      </c>
      <c r="C1240">
        <v>10</v>
      </c>
      <c r="D1240" t="s">
        <v>3730</v>
      </c>
      <c r="E1240" t="s">
        <v>68</v>
      </c>
      <c r="F1240" t="s">
        <v>3731</v>
      </c>
    </row>
    <row r="1241" spans="2:6" x14ac:dyDescent="0.35">
      <c r="B1241">
        <v>3500034441</v>
      </c>
      <c r="C1241">
        <v>30</v>
      </c>
      <c r="D1241" t="s">
        <v>3732</v>
      </c>
      <c r="E1241" t="s">
        <v>3733</v>
      </c>
      <c r="F1241" t="s">
        <v>3734</v>
      </c>
    </row>
    <row r="1242" spans="2:6" x14ac:dyDescent="0.35">
      <c r="B1242">
        <v>3500034441</v>
      </c>
      <c r="C1242">
        <v>20</v>
      </c>
      <c r="D1242" t="s">
        <v>3735</v>
      </c>
      <c r="E1242" t="s">
        <v>3733</v>
      </c>
      <c r="F1242" t="s">
        <v>3736</v>
      </c>
    </row>
    <row r="1243" spans="2:6" x14ac:dyDescent="0.35">
      <c r="B1243">
        <v>3500034441</v>
      </c>
      <c r="C1243">
        <v>10</v>
      </c>
      <c r="D1243" t="s">
        <v>3737</v>
      </c>
      <c r="E1243" t="s">
        <v>3733</v>
      </c>
      <c r="F1243" t="s">
        <v>3738</v>
      </c>
    </row>
    <row r="1244" spans="2:6" x14ac:dyDescent="0.35">
      <c r="B1244">
        <v>3500034364</v>
      </c>
      <c r="C1244">
        <v>90</v>
      </c>
      <c r="D1244" t="s">
        <v>3739</v>
      </c>
      <c r="E1244" t="s">
        <v>3094</v>
      </c>
      <c r="F1244" t="s">
        <v>3740</v>
      </c>
    </row>
    <row r="1245" spans="2:6" x14ac:dyDescent="0.35">
      <c r="B1245">
        <v>3500034364</v>
      </c>
      <c r="C1245">
        <v>80</v>
      </c>
      <c r="D1245" t="s">
        <v>3741</v>
      </c>
      <c r="E1245" t="s">
        <v>3094</v>
      </c>
      <c r="F1245" t="s">
        <v>3742</v>
      </c>
    </row>
    <row r="1246" spans="2:6" x14ac:dyDescent="0.35">
      <c r="B1246">
        <v>3500034364</v>
      </c>
      <c r="C1246">
        <v>70</v>
      </c>
      <c r="D1246" t="s">
        <v>3743</v>
      </c>
      <c r="E1246" t="s">
        <v>3094</v>
      </c>
      <c r="F1246" t="s">
        <v>3744</v>
      </c>
    </row>
    <row r="1247" spans="2:6" x14ac:dyDescent="0.35">
      <c r="B1247">
        <v>3500034364</v>
      </c>
      <c r="C1247">
        <v>60</v>
      </c>
      <c r="D1247" t="s">
        <v>3745</v>
      </c>
      <c r="E1247" t="s">
        <v>3094</v>
      </c>
      <c r="F1247" t="s">
        <v>3746</v>
      </c>
    </row>
    <row r="1248" spans="2:6" x14ac:dyDescent="0.35">
      <c r="B1248">
        <v>3500034364</v>
      </c>
      <c r="C1248">
        <v>50</v>
      </c>
      <c r="D1248" t="s">
        <v>3747</v>
      </c>
      <c r="E1248" t="s">
        <v>3094</v>
      </c>
      <c r="F1248" t="s">
        <v>3748</v>
      </c>
    </row>
    <row r="1249" spans="2:6" x14ac:dyDescent="0.35">
      <c r="B1249">
        <v>3500034364</v>
      </c>
      <c r="C1249">
        <v>40</v>
      </c>
      <c r="D1249" t="s">
        <v>2599</v>
      </c>
      <c r="E1249" t="s">
        <v>3094</v>
      </c>
      <c r="F1249" t="s">
        <v>3749</v>
      </c>
    </row>
    <row r="1250" spans="2:6" x14ac:dyDescent="0.35">
      <c r="B1250">
        <v>3500034364</v>
      </c>
      <c r="C1250">
        <v>30</v>
      </c>
      <c r="D1250" t="s">
        <v>2543</v>
      </c>
      <c r="E1250" t="s">
        <v>3094</v>
      </c>
      <c r="F1250" t="s">
        <v>3750</v>
      </c>
    </row>
    <row r="1251" spans="2:6" x14ac:dyDescent="0.35">
      <c r="B1251">
        <v>3500034364</v>
      </c>
      <c r="C1251">
        <v>20</v>
      </c>
      <c r="D1251" t="s">
        <v>3345</v>
      </c>
      <c r="E1251" t="s">
        <v>3094</v>
      </c>
      <c r="F1251" t="s">
        <v>3751</v>
      </c>
    </row>
    <row r="1252" spans="2:6" x14ac:dyDescent="0.35">
      <c r="B1252">
        <v>3500034364</v>
      </c>
      <c r="C1252">
        <v>160</v>
      </c>
      <c r="D1252" t="s">
        <v>2529</v>
      </c>
      <c r="E1252" t="s">
        <v>3094</v>
      </c>
      <c r="F1252" t="s">
        <v>3752</v>
      </c>
    </row>
    <row r="1253" spans="2:6" x14ac:dyDescent="0.35">
      <c r="B1253">
        <v>3500034364</v>
      </c>
      <c r="C1253">
        <v>150</v>
      </c>
      <c r="D1253" t="s">
        <v>2561</v>
      </c>
      <c r="E1253" t="s">
        <v>3094</v>
      </c>
      <c r="F1253" t="s">
        <v>3753</v>
      </c>
    </row>
    <row r="1254" spans="2:6" x14ac:dyDescent="0.35">
      <c r="B1254">
        <v>3500034364</v>
      </c>
      <c r="C1254">
        <v>140</v>
      </c>
      <c r="D1254" t="s">
        <v>3754</v>
      </c>
      <c r="E1254" t="s">
        <v>3094</v>
      </c>
      <c r="F1254" t="s">
        <v>3755</v>
      </c>
    </row>
    <row r="1255" spans="2:6" x14ac:dyDescent="0.35">
      <c r="B1255">
        <v>3500034364</v>
      </c>
      <c r="C1255">
        <v>130</v>
      </c>
      <c r="D1255" t="s">
        <v>2670</v>
      </c>
      <c r="E1255" t="s">
        <v>3094</v>
      </c>
      <c r="F1255" t="s">
        <v>3756</v>
      </c>
    </row>
    <row r="1256" spans="2:6" x14ac:dyDescent="0.35">
      <c r="B1256">
        <v>3500034364</v>
      </c>
      <c r="C1256">
        <v>120</v>
      </c>
      <c r="D1256" t="s">
        <v>3757</v>
      </c>
      <c r="E1256" t="s">
        <v>3094</v>
      </c>
      <c r="F1256" t="s">
        <v>3758</v>
      </c>
    </row>
    <row r="1257" spans="2:6" x14ac:dyDescent="0.35">
      <c r="B1257">
        <v>3500034364</v>
      </c>
      <c r="C1257">
        <v>110</v>
      </c>
      <c r="D1257" t="s">
        <v>3145</v>
      </c>
      <c r="E1257" t="s">
        <v>3094</v>
      </c>
      <c r="F1257" t="s">
        <v>3759</v>
      </c>
    </row>
    <row r="1258" spans="2:6" x14ac:dyDescent="0.35">
      <c r="B1258">
        <v>3500034364</v>
      </c>
      <c r="C1258">
        <v>100</v>
      </c>
      <c r="D1258" t="s">
        <v>3760</v>
      </c>
      <c r="E1258" t="s">
        <v>3094</v>
      </c>
      <c r="F1258" t="s">
        <v>3761</v>
      </c>
    </row>
    <row r="1259" spans="2:6" x14ac:dyDescent="0.35">
      <c r="B1259">
        <v>3500034364</v>
      </c>
      <c r="C1259">
        <v>10</v>
      </c>
      <c r="D1259" t="s">
        <v>2674</v>
      </c>
      <c r="E1259" t="s">
        <v>3094</v>
      </c>
      <c r="F1259" t="s">
        <v>3762</v>
      </c>
    </row>
    <row r="1260" spans="2:6" x14ac:dyDescent="0.35">
      <c r="B1260">
        <v>3500034360</v>
      </c>
      <c r="C1260">
        <v>10</v>
      </c>
      <c r="D1260" t="s">
        <v>3763</v>
      </c>
      <c r="E1260" t="s">
        <v>3764</v>
      </c>
      <c r="F1260" t="s">
        <v>3765</v>
      </c>
    </row>
    <row r="1261" spans="2:6" x14ac:dyDescent="0.35">
      <c r="B1261">
        <v>3500034358</v>
      </c>
      <c r="C1261">
        <v>20</v>
      </c>
      <c r="D1261" t="s">
        <v>3766</v>
      </c>
      <c r="E1261" t="s">
        <v>3767</v>
      </c>
      <c r="F1261" t="s">
        <v>3768</v>
      </c>
    </row>
    <row r="1262" spans="2:6" x14ac:dyDescent="0.35">
      <c r="B1262">
        <v>3500034358</v>
      </c>
      <c r="C1262">
        <v>10</v>
      </c>
      <c r="D1262" t="s">
        <v>3459</v>
      </c>
      <c r="E1262" t="s">
        <v>3767</v>
      </c>
      <c r="F1262" t="s">
        <v>3769</v>
      </c>
    </row>
    <row r="1263" spans="2:6" x14ac:dyDescent="0.35">
      <c r="B1263">
        <v>3500034319</v>
      </c>
      <c r="C1263">
        <v>10</v>
      </c>
      <c r="D1263" t="s">
        <v>3770</v>
      </c>
      <c r="E1263" t="s">
        <v>3200</v>
      </c>
      <c r="F1263" t="s">
        <v>3771</v>
      </c>
    </row>
    <row r="1264" spans="2:6" x14ac:dyDescent="0.35">
      <c r="B1264">
        <v>3500034198</v>
      </c>
      <c r="C1264">
        <v>30</v>
      </c>
      <c r="D1264" t="s">
        <v>2727</v>
      </c>
      <c r="E1264" t="s">
        <v>3772</v>
      </c>
      <c r="F1264" t="s">
        <v>3773</v>
      </c>
    </row>
    <row r="1265" spans="2:6" x14ac:dyDescent="0.35">
      <c r="B1265">
        <v>3500034198</v>
      </c>
      <c r="C1265">
        <v>20</v>
      </c>
      <c r="D1265" t="s">
        <v>2580</v>
      </c>
      <c r="E1265" t="s">
        <v>3772</v>
      </c>
      <c r="F1265" t="s">
        <v>3774</v>
      </c>
    </row>
    <row r="1266" spans="2:6" x14ac:dyDescent="0.35">
      <c r="B1266">
        <v>3500034198</v>
      </c>
      <c r="C1266">
        <v>10</v>
      </c>
      <c r="D1266" t="s">
        <v>2559</v>
      </c>
      <c r="E1266" t="s">
        <v>3772</v>
      </c>
      <c r="F1266" t="s">
        <v>3775</v>
      </c>
    </row>
    <row r="1267" spans="2:6" x14ac:dyDescent="0.35">
      <c r="B1267">
        <v>3500034197</v>
      </c>
      <c r="C1267">
        <v>30</v>
      </c>
      <c r="D1267" t="s">
        <v>2864</v>
      </c>
      <c r="E1267" t="s">
        <v>3772</v>
      </c>
      <c r="F1267" t="s">
        <v>3776</v>
      </c>
    </row>
    <row r="1268" spans="2:6" x14ac:dyDescent="0.35">
      <c r="B1268">
        <v>3500034197</v>
      </c>
      <c r="C1268">
        <v>20</v>
      </c>
      <c r="D1268" t="s">
        <v>2580</v>
      </c>
      <c r="E1268" t="s">
        <v>3772</v>
      </c>
      <c r="F1268" t="s">
        <v>3777</v>
      </c>
    </row>
    <row r="1269" spans="2:6" x14ac:dyDescent="0.35">
      <c r="B1269">
        <v>3500034197</v>
      </c>
      <c r="C1269">
        <v>10</v>
      </c>
      <c r="D1269" t="s">
        <v>3778</v>
      </c>
      <c r="E1269" t="s">
        <v>3772</v>
      </c>
      <c r="F1269" t="s">
        <v>3779</v>
      </c>
    </row>
    <row r="1270" spans="2:6" x14ac:dyDescent="0.35">
      <c r="B1270">
        <v>3500034196</v>
      </c>
      <c r="C1270">
        <v>10</v>
      </c>
      <c r="D1270" t="s">
        <v>2727</v>
      </c>
      <c r="E1270" t="s">
        <v>3772</v>
      </c>
      <c r="F1270" t="s">
        <v>3780</v>
      </c>
    </row>
    <row r="1271" spans="2:6" x14ac:dyDescent="0.35">
      <c r="B1271">
        <v>3500034195</v>
      </c>
      <c r="C1271">
        <v>40</v>
      </c>
      <c r="D1271" t="s">
        <v>3781</v>
      </c>
      <c r="E1271" t="s">
        <v>3772</v>
      </c>
      <c r="F1271" t="s">
        <v>3782</v>
      </c>
    </row>
    <row r="1272" spans="2:6" x14ac:dyDescent="0.35">
      <c r="B1272">
        <v>3500034195</v>
      </c>
      <c r="C1272">
        <v>30</v>
      </c>
      <c r="D1272" t="s">
        <v>2580</v>
      </c>
      <c r="E1272" t="s">
        <v>3772</v>
      </c>
      <c r="F1272" t="s">
        <v>3783</v>
      </c>
    </row>
    <row r="1273" spans="2:6" x14ac:dyDescent="0.35">
      <c r="B1273">
        <v>3500034195</v>
      </c>
      <c r="C1273">
        <v>20</v>
      </c>
      <c r="D1273" t="s">
        <v>3784</v>
      </c>
      <c r="E1273" t="s">
        <v>3772</v>
      </c>
      <c r="F1273" t="s">
        <v>3785</v>
      </c>
    </row>
    <row r="1274" spans="2:6" x14ac:dyDescent="0.35">
      <c r="B1274">
        <v>3500034195</v>
      </c>
      <c r="C1274">
        <v>10</v>
      </c>
      <c r="D1274" t="s">
        <v>2668</v>
      </c>
      <c r="E1274" t="s">
        <v>3772</v>
      </c>
      <c r="F1274" t="s">
        <v>3786</v>
      </c>
    </row>
    <row r="1275" spans="2:6" x14ac:dyDescent="0.35">
      <c r="B1275">
        <v>3500034143</v>
      </c>
      <c r="C1275">
        <v>20</v>
      </c>
      <c r="D1275" t="s">
        <v>3787</v>
      </c>
      <c r="E1275" t="s">
        <v>3788</v>
      </c>
      <c r="F1275" t="s">
        <v>3789</v>
      </c>
    </row>
    <row r="1276" spans="2:6" x14ac:dyDescent="0.35">
      <c r="B1276">
        <v>3500034143</v>
      </c>
      <c r="C1276">
        <v>10</v>
      </c>
      <c r="D1276" t="s">
        <v>3790</v>
      </c>
      <c r="E1276" t="s">
        <v>3788</v>
      </c>
      <c r="F1276" t="s">
        <v>3791</v>
      </c>
    </row>
    <row r="1277" spans="2:6" x14ac:dyDescent="0.35">
      <c r="B1277">
        <v>3500034142</v>
      </c>
      <c r="C1277">
        <v>30</v>
      </c>
      <c r="D1277" t="s">
        <v>3792</v>
      </c>
      <c r="E1277" t="s">
        <v>3130</v>
      </c>
      <c r="F1277" t="s">
        <v>3793</v>
      </c>
    </row>
    <row r="1278" spans="2:6" x14ac:dyDescent="0.35">
      <c r="B1278">
        <v>3500034142</v>
      </c>
      <c r="C1278">
        <v>20</v>
      </c>
      <c r="D1278" t="s">
        <v>3385</v>
      </c>
      <c r="E1278" t="s">
        <v>3130</v>
      </c>
      <c r="F1278" t="s">
        <v>3794</v>
      </c>
    </row>
    <row r="1279" spans="2:6" x14ac:dyDescent="0.35">
      <c r="B1279">
        <v>3500034066</v>
      </c>
      <c r="C1279">
        <v>10</v>
      </c>
      <c r="D1279" t="s">
        <v>3795</v>
      </c>
      <c r="E1279" t="s">
        <v>68</v>
      </c>
      <c r="F1279" t="s">
        <v>3796</v>
      </c>
    </row>
    <row r="1280" spans="2:6" x14ac:dyDescent="0.35">
      <c r="B1280">
        <v>3500034015</v>
      </c>
      <c r="C1280">
        <v>10</v>
      </c>
      <c r="D1280" t="s">
        <v>1797</v>
      </c>
      <c r="E1280" t="s">
        <v>3797</v>
      </c>
      <c r="F1280" t="s">
        <v>3798</v>
      </c>
    </row>
    <row r="1281" spans="2:6" x14ac:dyDescent="0.35">
      <c r="B1281">
        <v>3500033946</v>
      </c>
      <c r="C1281">
        <v>10</v>
      </c>
      <c r="D1281" t="s">
        <v>3799</v>
      </c>
      <c r="E1281" t="s">
        <v>3200</v>
      </c>
      <c r="F1281" t="s">
        <v>3800</v>
      </c>
    </row>
    <row r="1282" spans="2:6" x14ac:dyDescent="0.35">
      <c r="B1282">
        <v>3500033945</v>
      </c>
      <c r="C1282">
        <v>10</v>
      </c>
      <c r="D1282" t="s">
        <v>3801</v>
      </c>
      <c r="E1282" t="s">
        <v>3130</v>
      </c>
      <c r="F1282" t="s">
        <v>3802</v>
      </c>
    </row>
    <row r="1283" spans="2:6" x14ac:dyDescent="0.35">
      <c r="B1283">
        <v>3500033940</v>
      </c>
      <c r="C1283">
        <v>20</v>
      </c>
      <c r="D1283" t="s">
        <v>3803</v>
      </c>
      <c r="E1283" t="s">
        <v>3804</v>
      </c>
      <c r="F1283" t="s">
        <v>3805</v>
      </c>
    </row>
    <row r="1284" spans="2:6" x14ac:dyDescent="0.35">
      <c r="B1284">
        <v>3500033940</v>
      </c>
      <c r="C1284">
        <v>10</v>
      </c>
      <c r="D1284" t="s">
        <v>3806</v>
      </c>
      <c r="E1284" t="s">
        <v>3804</v>
      </c>
      <c r="F1284" t="s">
        <v>3807</v>
      </c>
    </row>
    <row r="1285" spans="2:6" x14ac:dyDescent="0.35">
      <c r="B1285">
        <v>3500033937</v>
      </c>
      <c r="C1285">
        <v>50</v>
      </c>
      <c r="D1285" t="s">
        <v>3808</v>
      </c>
      <c r="E1285" t="s">
        <v>3200</v>
      </c>
      <c r="F1285" t="s">
        <v>3809</v>
      </c>
    </row>
    <row r="1286" spans="2:6" x14ac:dyDescent="0.35">
      <c r="B1286">
        <v>3500033935</v>
      </c>
      <c r="C1286">
        <v>20</v>
      </c>
      <c r="D1286" t="s">
        <v>3810</v>
      </c>
      <c r="E1286" t="s">
        <v>3811</v>
      </c>
      <c r="F1286" t="s">
        <v>3812</v>
      </c>
    </row>
    <row r="1287" spans="2:6" x14ac:dyDescent="0.35">
      <c r="B1287">
        <v>3500033891</v>
      </c>
      <c r="C1287">
        <v>90</v>
      </c>
      <c r="D1287" t="s">
        <v>3813</v>
      </c>
      <c r="E1287" t="s">
        <v>2922</v>
      </c>
      <c r="F1287" t="s">
        <v>3814</v>
      </c>
    </row>
    <row r="1288" spans="2:6" x14ac:dyDescent="0.35">
      <c r="B1288">
        <v>3500033891</v>
      </c>
      <c r="C1288">
        <v>80</v>
      </c>
      <c r="D1288" t="s">
        <v>2618</v>
      </c>
      <c r="E1288" t="s">
        <v>2922</v>
      </c>
      <c r="F1288" t="s">
        <v>3815</v>
      </c>
    </row>
    <row r="1289" spans="2:6" x14ac:dyDescent="0.35">
      <c r="B1289">
        <v>3500033891</v>
      </c>
      <c r="C1289">
        <v>70</v>
      </c>
      <c r="D1289" t="s">
        <v>2571</v>
      </c>
      <c r="E1289" t="s">
        <v>2922</v>
      </c>
      <c r="F1289" t="s">
        <v>3816</v>
      </c>
    </row>
    <row r="1290" spans="2:6" x14ac:dyDescent="0.35">
      <c r="B1290">
        <v>3500033891</v>
      </c>
      <c r="C1290">
        <v>60</v>
      </c>
      <c r="D1290" t="s">
        <v>3817</v>
      </c>
      <c r="E1290" t="s">
        <v>2922</v>
      </c>
      <c r="F1290" t="s">
        <v>3818</v>
      </c>
    </row>
    <row r="1291" spans="2:6" x14ac:dyDescent="0.35">
      <c r="B1291">
        <v>3500033891</v>
      </c>
      <c r="C1291">
        <v>50</v>
      </c>
      <c r="D1291" t="s">
        <v>2529</v>
      </c>
      <c r="E1291" t="s">
        <v>2922</v>
      </c>
      <c r="F1291" t="s">
        <v>3819</v>
      </c>
    </row>
    <row r="1292" spans="2:6" x14ac:dyDescent="0.35">
      <c r="B1292">
        <v>3500033891</v>
      </c>
      <c r="C1292">
        <v>40</v>
      </c>
      <c r="D1292" t="s">
        <v>2561</v>
      </c>
      <c r="E1292" t="s">
        <v>2922</v>
      </c>
      <c r="F1292" t="s">
        <v>3820</v>
      </c>
    </row>
    <row r="1293" spans="2:6" x14ac:dyDescent="0.35">
      <c r="B1293">
        <v>3500033891</v>
      </c>
      <c r="C1293">
        <v>30</v>
      </c>
      <c r="D1293" t="s">
        <v>3821</v>
      </c>
      <c r="E1293" t="s">
        <v>2922</v>
      </c>
      <c r="F1293" t="s">
        <v>3822</v>
      </c>
    </row>
    <row r="1294" spans="2:6" x14ac:dyDescent="0.35">
      <c r="B1294">
        <v>3500033891</v>
      </c>
      <c r="C1294">
        <v>20</v>
      </c>
      <c r="D1294" t="s">
        <v>3823</v>
      </c>
      <c r="E1294" t="s">
        <v>2922</v>
      </c>
      <c r="F1294" t="s">
        <v>3824</v>
      </c>
    </row>
    <row r="1295" spans="2:6" x14ac:dyDescent="0.35">
      <c r="B1295">
        <v>3500033891</v>
      </c>
      <c r="C1295">
        <v>160</v>
      </c>
      <c r="D1295" t="s">
        <v>3145</v>
      </c>
      <c r="E1295" t="s">
        <v>2922</v>
      </c>
      <c r="F1295" t="s">
        <v>3825</v>
      </c>
    </row>
    <row r="1296" spans="2:6" x14ac:dyDescent="0.35">
      <c r="B1296">
        <v>3500033891</v>
      </c>
      <c r="C1296">
        <v>150</v>
      </c>
      <c r="D1296" t="s">
        <v>2551</v>
      </c>
      <c r="E1296" t="s">
        <v>2922</v>
      </c>
      <c r="F1296" t="s">
        <v>3826</v>
      </c>
    </row>
    <row r="1297" spans="2:6" x14ac:dyDescent="0.35">
      <c r="B1297">
        <v>3500033891</v>
      </c>
      <c r="C1297">
        <v>140</v>
      </c>
      <c r="D1297" t="s">
        <v>3760</v>
      </c>
      <c r="E1297" t="s">
        <v>2922</v>
      </c>
      <c r="F1297" t="s">
        <v>3827</v>
      </c>
    </row>
    <row r="1298" spans="2:6" x14ac:dyDescent="0.35">
      <c r="B1298">
        <v>3500033891</v>
      </c>
      <c r="C1298">
        <v>130</v>
      </c>
      <c r="D1298" t="s">
        <v>3143</v>
      </c>
      <c r="E1298" t="s">
        <v>2922</v>
      </c>
      <c r="F1298" t="s">
        <v>3828</v>
      </c>
    </row>
    <row r="1299" spans="2:6" x14ac:dyDescent="0.35">
      <c r="B1299">
        <v>3500033891</v>
      </c>
      <c r="C1299">
        <v>120</v>
      </c>
      <c r="D1299" t="s">
        <v>2569</v>
      </c>
      <c r="E1299" t="s">
        <v>2922</v>
      </c>
      <c r="F1299" t="s">
        <v>3829</v>
      </c>
    </row>
    <row r="1300" spans="2:6" x14ac:dyDescent="0.35">
      <c r="B1300">
        <v>3500033891</v>
      </c>
      <c r="C1300">
        <v>110</v>
      </c>
      <c r="D1300" t="s">
        <v>3339</v>
      </c>
      <c r="E1300" t="s">
        <v>2922</v>
      </c>
      <c r="F1300" t="s">
        <v>3830</v>
      </c>
    </row>
    <row r="1301" spans="2:6" x14ac:dyDescent="0.35">
      <c r="B1301">
        <v>3500033891</v>
      </c>
      <c r="C1301">
        <v>100</v>
      </c>
      <c r="D1301" t="s">
        <v>3831</v>
      </c>
      <c r="E1301" t="s">
        <v>2922</v>
      </c>
      <c r="F1301" t="s">
        <v>3832</v>
      </c>
    </row>
    <row r="1302" spans="2:6" x14ac:dyDescent="0.35">
      <c r="B1302">
        <v>3500033891</v>
      </c>
      <c r="C1302">
        <v>10</v>
      </c>
      <c r="D1302" t="s">
        <v>3833</v>
      </c>
      <c r="E1302" t="s">
        <v>2922</v>
      </c>
      <c r="F1302" t="s">
        <v>3834</v>
      </c>
    </row>
    <row r="1303" spans="2:6" x14ac:dyDescent="0.35">
      <c r="B1303">
        <v>3500033834</v>
      </c>
      <c r="C1303">
        <v>10</v>
      </c>
      <c r="D1303" t="s">
        <v>3835</v>
      </c>
      <c r="E1303" t="s">
        <v>3200</v>
      </c>
      <c r="F1303" t="s">
        <v>3836</v>
      </c>
    </row>
    <row r="1304" spans="2:6" x14ac:dyDescent="0.35">
      <c r="B1304">
        <v>3500033826</v>
      </c>
      <c r="C1304">
        <v>40</v>
      </c>
      <c r="D1304" t="s">
        <v>3837</v>
      </c>
      <c r="E1304" t="s">
        <v>3838</v>
      </c>
      <c r="F1304" t="s">
        <v>3839</v>
      </c>
    </row>
    <row r="1305" spans="2:6" x14ac:dyDescent="0.35">
      <c r="B1305">
        <v>3500033826</v>
      </c>
      <c r="C1305">
        <v>30</v>
      </c>
      <c r="D1305" t="s">
        <v>3366</v>
      </c>
      <c r="E1305" t="s">
        <v>3838</v>
      </c>
      <c r="F1305" t="s">
        <v>3840</v>
      </c>
    </row>
    <row r="1306" spans="2:6" x14ac:dyDescent="0.35">
      <c r="B1306">
        <v>3500033826</v>
      </c>
      <c r="C1306">
        <v>20</v>
      </c>
      <c r="D1306" t="s">
        <v>3841</v>
      </c>
      <c r="E1306" t="s">
        <v>3838</v>
      </c>
      <c r="F1306" t="s">
        <v>3842</v>
      </c>
    </row>
    <row r="1307" spans="2:6" x14ac:dyDescent="0.35">
      <c r="B1307">
        <v>3500033826</v>
      </c>
      <c r="C1307">
        <v>10</v>
      </c>
      <c r="D1307" t="s">
        <v>17</v>
      </c>
      <c r="E1307" t="s">
        <v>3838</v>
      </c>
      <c r="F1307" t="s">
        <v>3843</v>
      </c>
    </row>
    <row r="1308" spans="2:6" x14ac:dyDescent="0.35">
      <c r="B1308">
        <v>3500033760</v>
      </c>
      <c r="C1308">
        <v>40</v>
      </c>
      <c r="D1308" t="s">
        <v>2938</v>
      </c>
      <c r="E1308" t="s">
        <v>3844</v>
      </c>
      <c r="F1308" t="s">
        <v>3845</v>
      </c>
    </row>
    <row r="1309" spans="2:6" x14ac:dyDescent="0.35">
      <c r="B1309">
        <v>3500033760</v>
      </c>
      <c r="C1309">
        <v>30</v>
      </c>
      <c r="D1309" t="s">
        <v>2940</v>
      </c>
      <c r="E1309" t="s">
        <v>3844</v>
      </c>
      <c r="F1309" t="s">
        <v>3846</v>
      </c>
    </row>
    <row r="1310" spans="2:6" x14ac:dyDescent="0.35">
      <c r="B1310">
        <v>3500033760</v>
      </c>
      <c r="C1310">
        <v>20</v>
      </c>
      <c r="D1310" t="s">
        <v>2942</v>
      </c>
      <c r="E1310" t="s">
        <v>3844</v>
      </c>
      <c r="F1310" t="s">
        <v>3847</v>
      </c>
    </row>
    <row r="1311" spans="2:6" x14ac:dyDescent="0.35">
      <c r="B1311">
        <v>3500033760</v>
      </c>
      <c r="C1311">
        <v>10</v>
      </c>
      <c r="D1311" t="s">
        <v>3848</v>
      </c>
      <c r="E1311" t="s">
        <v>3844</v>
      </c>
      <c r="F1311" t="s">
        <v>3849</v>
      </c>
    </row>
    <row r="1312" spans="2:6" x14ac:dyDescent="0.35">
      <c r="B1312">
        <v>3500033742</v>
      </c>
      <c r="C1312">
        <v>10</v>
      </c>
      <c r="D1312" t="s">
        <v>3850</v>
      </c>
      <c r="E1312" t="s">
        <v>3851</v>
      </c>
      <c r="F1312" t="s">
        <v>3852</v>
      </c>
    </row>
    <row r="1313" spans="2:6" x14ac:dyDescent="0.35">
      <c r="B1313">
        <v>3500033741</v>
      </c>
      <c r="C1313">
        <v>40</v>
      </c>
      <c r="D1313" t="s">
        <v>3853</v>
      </c>
      <c r="E1313" t="s">
        <v>3094</v>
      </c>
      <c r="F1313" t="s">
        <v>3854</v>
      </c>
    </row>
    <row r="1314" spans="2:6" x14ac:dyDescent="0.35">
      <c r="B1314">
        <v>3500033741</v>
      </c>
      <c r="C1314">
        <v>30</v>
      </c>
      <c r="D1314" t="s">
        <v>3855</v>
      </c>
      <c r="E1314" t="s">
        <v>3094</v>
      </c>
      <c r="F1314" t="s">
        <v>3856</v>
      </c>
    </row>
    <row r="1315" spans="2:6" x14ac:dyDescent="0.35">
      <c r="B1315">
        <v>3500033741</v>
      </c>
      <c r="C1315">
        <v>20</v>
      </c>
      <c r="D1315" t="s">
        <v>3857</v>
      </c>
      <c r="E1315" t="s">
        <v>3094</v>
      </c>
      <c r="F1315" t="s">
        <v>3858</v>
      </c>
    </row>
    <row r="1316" spans="2:6" x14ac:dyDescent="0.35">
      <c r="B1316">
        <v>3500033741</v>
      </c>
      <c r="C1316">
        <v>10</v>
      </c>
      <c r="D1316" t="s">
        <v>3859</v>
      </c>
      <c r="E1316" t="s">
        <v>3094</v>
      </c>
      <c r="F1316" t="s">
        <v>3860</v>
      </c>
    </row>
    <row r="1317" spans="2:6" x14ac:dyDescent="0.35">
      <c r="B1317">
        <v>3500033701</v>
      </c>
      <c r="C1317">
        <v>10</v>
      </c>
      <c r="D1317" t="s">
        <v>3861</v>
      </c>
      <c r="E1317" t="s">
        <v>3862</v>
      </c>
      <c r="F1317" t="s">
        <v>3863</v>
      </c>
    </row>
    <row r="1318" spans="2:6" x14ac:dyDescent="0.35">
      <c r="B1318">
        <v>3500033689</v>
      </c>
      <c r="C1318">
        <v>20</v>
      </c>
      <c r="D1318" t="s">
        <v>3864</v>
      </c>
      <c r="E1318" t="s">
        <v>3865</v>
      </c>
      <c r="F1318" t="s">
        <v>3866</v>
      </c>
    </row>
    <row r="1319" spans="2:6" x14ac:dyDescent="0.35">
      <c r="B1319">
        <v>3500033689</v>
      </c>
      <c r="C1319">
        <v>10</v>
      </c>
      <c r="D1319" t="s">
        <v>3867</v>
      </c>
      <c r="E1319" t="s">
        <v>3865</v>
      </c>
      <c r="F1319" t="s">
        <v>3868</v>
      </c>
    </row>
    <row r="1320" spans="2:6" x14ac:dyDescent="0.35">
      <c r="B1320">
        <v>3500033647</v>
      </c>
      <c r="C1320">
        <v>60</v>
      </c>
      <c r="D1320" t="s">
        <v>3869</v>
      </c>
      <c r="E1320" t="s">
        <v>2922</v>
      </c>
      <c r="F1320" t="s">
        <v>3870</v>
      </c>
    </row>
    <row r="1321" spans="2:6" x14ac:dyDescent="0.35">
      <c r="B1321">
        <v>3500033647</v>
      </c>
      <c r="C1321">
        <v>50</v>
      </c>
      <c r="D1321" t="s">
        <v>3871</v>
      </c>
      <c r="E1321" t="s">
        <v>2922</v>
      </c>
      <c r="F1321" t="s">
        <v>3872</v>
      </c>
    </row>
    <row r="1322" spans="2:6" x14ac:dyDescent="0.35">
      <c r="B1322">
        <v>3500033647</v>
      </c>
      <c r="C1322">
        <v>40</v>
      </c>
      <c r="D1322" t="s">
        <v>2577</v>
      </c>
      <c r="E1322" t="s">
        <v>2922</v>
      </c>
      <c r="F1322" t="s">
        <v>3873</v>
      </c>
    </row>
    <row r="1323" spans="2:6" x14ac:dyDescent="0.35">
      <c r="B1323">
        <v>3500033647</v>
      </c>
      <c r="C1323">
        <v>30</v>
      </c>
      <c r="D1323" t="s">
        <v>2535</v>
      </c>
      <c r="E1323" t="s">
        <v>2922</v>
      </c>
      <c r="F1323" t="s">
        <v>3874</v>
      </c>
    </row>
    <row r="1324" spans="2:6" x14ac:dyDescent="0.35">
      <c r="B1324">
        <v>3500033647</v>
      </c>
      <c r="C1324">
        <v>20</v>
      </c>
      <c r="D1324" t="s">
        <v>2580</v>
      </c>
      <c r="E1324" t="s">
        <v>2922</v>
      </c>
      <c r="F1324" t="s">
        <v>3875</v>
      </c>
    </row>
    <row r="1325" spans="2:6" x14ac:dyDescent="0.35">
      <c r="B1325">
        <v>3500033647</v>
      </c>
      <c r="C1325">
        <v>10</v>
      </c>
      <c r="D1325" t="s">
        <v>2721</v>
      </c>
      <c r="E1325" t="s">
        <v>2922</v>
      </c>
      <c r="F1325" t="s">
        <v>3876</v>
      </c>
    </row>
    <row r="1326" spans="2:6" x14ac:dyDescent="0.35">
      <c r="B1326">
        <v>3500033607</v>
      </c>
      <c r="C1326">
        <v>10</v>
      </c>
      <c r="D1326" t="s">
        <v>2475</v>
      </c>
      <c r="E1326" t="s">
        <v>68</v>
      </c>
      <c r="F1326" t="s">
        <v>3877</v>
      </c>
    </row>
    <row r="1327" spans="2:6" x14ac:dyDescent="0.35">
      <c r="B1327">
        <v>3500033604</v>
      </c>
      <c r="C1327">
        <v>20</v>
      </c>
      <c r="D1327" t="s">
        <v>3878</v>
      </c>
      <c r="E1327" t="s">
        <v>3879</v>
      </c>
      <c r="F1327" t="s">
        <v>3880</v>
      </c>
    </row>
    <row r="1328" spans="2:6" x14ac:dyDescent="0.35">
      <c r="B1328">
        <v>3500033604</v>
      </c>
      <c r="C1328">
        <v>10</v>
      </c>
      <c r="D1328" t="s">
        <v>3881</v>
      </c>
      <c r="E1328" t="s">
        <v>3879</v>
      </c>
      <c r="F1328" t="s">
        <v>3882</v>
      </c>
    </row>
    <row r="1329" spans="2:6" x14ac:dyDescent="0.35">
      <c r="B1329">
        <v>3500033584</v>
      </c>
      <c r="C1329">
        <v>10</v>
      </c>
      <c r="D1329" t="s">
        <v>3883</v>
      </c>
      <c r="E1329" t="s">
        <v>3200</v>
      </c>
      <c r="F1329" t="s">
        <v>3884</v>
      </c>
    </row>
    <row r="1330" spans="2:6" x14ac:dyDescent="0.35">
      <c r="B1330">
        <v>3500033555</v>
      </c>
      <c r="C1330">
        <v>10</v>
      </c>
      <c r="D1330" t="s">
        <v>2240</v>
      </c>
      <c r="E1330" t="s">
        <v>3885</v>
      </c>
      <c r="F1330" t="s">
        <v>3886</v>
      </c>
    </row>
    <row r="1331" spans="2:6" x14ac:dyDescent="0.35">
      <c r="B1331">
        <v>3500033552</v>
      </c>
      <c r="C1331">
        <v>60</v>
      </c>
      <c r="D1331" t="s">
        <v>3887</v>
      </c>
      <c r="E1331" t="s">
        <v>68</v>
      </c>
      <c r="F1331" t="s">
        <v>3888</v>
      </c>
    </row>
    <row r="1332" spans="2:6" x14ac:dyDescent="0.35">
      <c r="B1332">
        <v>3500033552</v>
      </c>
      <c r="C1332">
        <v>50</v>
      </c>
      <c r="D1332" t="s">
        <v>3889</v>
      </c>
      <c r="E1332" t="s">
        <v>68</v>
      </c>
      <c r="F1332" t="s">
        <v>3890</v>
      </c>
    </row>
    <row r="1333" spans="2:6" x14ac:dyDescent="0.35">
      <c r="B1333">
        <v>3500033552</v>
      </c>
      <c r="C1333">
        <v>40</v>
      </c>
      <c r="D1333" t="s">
        <v>3891</v>
      </c>
      <c r="E1333" t="s">
        <v>68</v>
      </c>
      <c r="F1333" t="s">
        <v>3892</v>
      </c>
    </row>
    <row r="1334" spans="2:6" x14ac:dyDescent="0.35">
      <c r="B1334">
        <v>3500033552</v>
      </c>
      <c r="C1334">
        <v>30</v>
      </c>
      <c r="D1334" t="s">
        <v>3893</v>
      </c>
      <c r="E1334" t="s">
        <v>68</v>
      </c>
      <c r="F1334" t="s">
        <v>3894</v>
      </c>
    </row>
    <row r="1335" spans="2:6" x14ac:dyDescent="0.35">
      <c r="B1335">
        <v>3500033552</v>
      </c>
      <c r="C1335">
        <v>20</v>
      </c>
      <c r="D1335" t="s">
        <v>3895</v>
      </c>
      <c r="E1335" t="s">
        <v>68</v>
      </c>
      <c r="F1335" t="s">
        <v>3896</v>
      </c>
    </row>
    <row r="1336" spans="2:6" x14ac:dyDescent="0.35">
      <c r="B1336">
        <v>3500033552</v>
      </c>
      <c r="C1336">
        <v>10</v>
      </c>
      <c r="D1336" t="s">
        <v>3897</v>
      </c>
      <c r="E1336" t="s">
        <v>68</v>
      </c>
      <c r="F1336" t="s">
        <v>3898</v>
      </c>
    </row>
    <row r="1337" spans="2:6" x14ac:dyDescent="0.35">
      <c r="B1337">
        <v>3500033543</v>
      </c>
      <c r="C1337">
        <v>10</v>
      </c>
      <c r="D1337" t="s">
        <v>3899</v>
      </c>
      <c r="E1337" t="s">
        <v>3200</v>
      </c>
      <c r="F1337" t="s">
        <v>3900</v>
      </c>
    </row>
    <row r="1338" spans="2:6" x14ac:dyDescent="0.35">
      <c r="B1338">
        <v>3500033542</v>
      </c>
      <c r="C1338">
        <v>10</v>
      </c>
      <c r="D1338" t="s">
        <v>3901</v>
      </c>
      <c r="E1338" t="s">
        <v>3200</v>
      </c>
      <c r="F1338" t="s">
        <v>3902</v>
      </c>
    </row>
    <row r="1339" spans="2:6" x14ac:dyDescent="0.35">
      <c r="B1339">
        <v>3500033541</v>
      </c>
      <c r="C1339">
        <v>10</v>
      </c>
      <c r="D1339" t="s">
        <v>3903</v>
      </c>
      <c r="E1339" t="s">
        <v>3200</v>
      </c>
      <c r="F1339" t="s">
        <v>3904</v>
      </c>
    </row>
    <row r="1340" spans="2:6" x14ac:dyDescent="0.35">
      <c r="B1340">
        <v>3500033439</v>
      </c>
      <c r="C1340">
        <v>10</v>
      </c>
      <c r="D1340" t="s">
        <v>3111</v>
      </c>
      <c r="E1340" t="s">
        <v>3094</v>
      </c>
      <c r="F1340" t="s">
        <v>3905</v>
      </c>
    </row>
    <row r="1341" spans="2:6" x14ac:dyDescent="0.35">
      <c r="B1341">
        <v>3500033438</v>
      </c>
      <c r="C1341">
        <v>70</v>
      </c>
      <c r="D1341" t="s">
        <v>3099</v>
      </c>
      <c r="E1341" t="s">
        <v>3094</v>
      </c>
      <c r="F1341" t="s">
        <v>3906</v>
      </c>
    </row>
    <row r="1342" spans="2:6" x14ac:dyDescent="0.35">
      <c r="B1342">
        <v>3500033438</v>
      </c>
      <c r="C1342">
        <v>60</v>
      </c>
      <c r="D1342" t="s">
        <v>2583</v>
      </c>
      <c r="E1342" t="s">
        <v>3094</v>
      </c>
      <c r="F1342" t="s">
        <v>3907</v>
      </c>
    </row>
    <row r="1343" spans="2:6" x14ac:dyDescent="0.35">
      <c r="B1343">
        <v>3500033438</v>
      </c>
      <c r="C1343">
        <v>50</v>
      </c>
      <c r="D1343" t="s">
        <v>3141</v>
      </c>
      <c r="E1343" t="s">
        <v>3094</v>
      </c>
      <c r="F1343" t="s">
        <v>3908</v>
      </c>
    </row>
    <row r="1344" spans="2:6" x14ac:dyDescent="0.35">
      <c r="B1344">
        <v>3500033438</v>
      </c>
      <c r="C1344">
        <v>40</v>
      </c>
      <c r="D1344" t="s">
        <v>2625</v>
      </c>
      <c r="E1344" t="s">
        <v>3094</v>
      </c>
      <c r="F1344" t="s">
        <v>3909</v>
      </c>
    </row>
    <row r="1345" spans="2:6" x14ac:dyDescent="0.35">
      <c r="B1345">
        <v>3500033438</v>
      </c>
      <c r="C1345">
        <v>30</v>
      </c>
      <c r="D1345" t="s">
        <v>2580</v>
      </c>
      <c r="E1345" t="s">
        <v>3094</v>
      </c>
      <c r="F1345" t="s">
        <v>3910</v>
      </c>
    </row>
    <row r="1346" spans="2:6" x14ac:dyDescent="0.35">
      <c r="B1346">
        <v>3500033438</v>
      </c>
      <c r="C1346">
        <v>20</v>
      </c>
      <c r="D1346" t="s">
        <v>2543</v>
      </c>
      <c r="E1346" t="s">
        <v>3094</v>
      </c>
      <c r="F1346" t="s">
        <v>3911</v>
      </c>
    </row>
    <row r="1347" spans="2:6" x14ac:dyDescent="0.35">
      <c r="B1347">
        <v>3500033438</v>
      </c>
      <c r="C1347">
        <v>10</v>
      </c>
      <c r="D1347" t="s">
        <v>3099</v>
      </c>
      <c r="E1347" t="s">
        <v>3094</v>
      </c>
      <c r="F1347" t="s">
        <v>3906</v>
      </c>
    </row>
    <row r="1348" spans="2:6" x14ac:dyDescent="0.35">
      <c r="B1348">
        <v>3500033431</v>
      </c>
      <c r="C1348">
        <v>10</v>
      </c>
      <c r="D1348" t="s">
        <v>2475</v>
      </c>
      <c r="E1348" t="s">
        <v>3200</v>
      </c>
      <c r="F1348" t="s">
        <v>3912</v>
      </c>
    </row>
    <row r="1349" spans="2:6" x14ac:dyDescent="0.35">
      <c r="B1349">
        <v>3500033298</v>
      </c>
      <c r="C1349">
        <v>10</v>
      </c>
      <c r="D1349" t="s">
        <v>3913</v>
      </c>
      <c r="E1349" t="s">
        <v>3094</v>
      </c>
      <c r="F1349" t="s">
        <v>3914</v>
      </c>
    </row>
    <row r="1350" spans="2:6" x14ac:dyDescent="0.35">
      <c r="B1350">
        <v>3500033254</v>
      </c>
      <c r="C1350">
        <v>40</v>
      </c>
      <c r="D1350" t="s">
        <v>3915</v>
      </c>
      <c r="E1350" t="s">
        <v>3916</v>
      </c>
      <c r="F1350" t="s">
        <v>3917</v>
      </c>
    </row>
    <row r="1351" spans="2:6" x14ac:dyDescent="0.35">
      <c r="B1351">
        <v>3500033254</v>
      </c>
      <c r="C1351">
        <v>30</v>
      </c>
      <c r="D1351" t="s">
        <v>3918</v>
      </c>
      <c r="E1351" t="s">
        <v>3916</v>
      </c>
      <c r="F1351" t="s">
        <v>3919</v>
      </c>
    </row>
    <row r="1352" spans="2:6" x14ac:dyDescent="0.35">
      <c r="B1352">
        <v>3500033254</v>
      </c>
      <c r="C1352">
        <v>20</v>
      </c>
      <c r="D1352" t="s">
        <v>3920</v>
      </c>
      <c r="E1352" t="s">
        <v>3916</v>
      </c>
      <c r="F1352" t="s">
        <v>3921</v>
      </c>
    </row>
    <row r="1353" spans="2:6" x14ac:dyDescent="0.35">
      <c r="B1353">
        <v>3500033254</v>
      </c>
      <c r="C1353">
        <v>10</v>
      </c>
      <c r="D1353" t="s">
        <v>3922</v>
      </c>
      <c r="E1353" t="s">
        <v>3916</v>
      </c>
      <c r="F1353" t="s">
        <v>3923</v>
      </c>
    </row>
    <row r="1354" spans="2:6" x14ac:dyDescent="0.35">
      <c r="B1354">
        <v>3500033232</v>
      </c>
      <c r="C1354">
        <v>80</v>
      </c>
      <c r="D1354" t="s">
        <v>2709</v>
      </c>
      <c r="E1354" t="s">
        <v>3924</v>
      </c>
      <c r="F1354" t="s">
        <v>3925</v>
      </c>
    </row>
    <row r="1355" spans="2:6" x14ac:dyDescent="0.35">
      <c r="B1355">
        <v>3500033232</v>
      </c>
      <c r="C1355">
        <v>70</v>
      </c>
      <c r="D1355" t="s">
        <v>3310</v>
      </c>
      <c r="E1355" t="s">
        <v>3924</v>
      </c>
      <c r="F1355" t="s">
        <v>3926</v>
      </c>
    </row>
    <row r="1356" spans="2:6" x14ac:dyDescent="0.35">
      <c r="B1356">
        <v>3500033204</v>
      </c>
      <c r="C1356">
        <v>50</v>
      </c>
      <c r="D1356" t="s">
        <v>2817</v>
      </c>
      <c r="E1356" t="s">
        <v>3200</v>
      </c>
      <c r="F1356" t="s">
        <v>3927</v>
      </c>
    </row>
    <row r="1357" spans="2:6" x14ac:dyDescent="0.35">
      <c r="B1357">
        <v>3500033204</v>
      </c>
      <c r="C1357">
        <v>40</v>
      </c>
      <c r="D1357" t="s">
        <v>2683</v>
      </c>
      <c r="E1357" t="s">
        <v>3200</v>
      </c>
      <c r="F1357" t="s">
        <v>3928</v>
      </c>
    </row>
    <row r="1358" spans="2:6" x14ac:dyDescent="0.35">
      <c r="B1358">
        <v>3500033204</v>
      </c>
      <c r="C1358">
        <v>30</v>
      </c>
      <c r="D1358" t="s">
        <v>3119</v>
      </c>
      <c r="E1358" t="s">
        <v>3200</v>
      </c>
      <c r="F1358" t="s">
        <v>3929</v>
      </c>
    </row>
    <row r="1359" spans="2:6" x14ac:dyDescent="0.35">
      <c r="B1359">
        <v>3500033204</v>
      </c>
      <c r="C1359">
        <v>20</v>
      </c>
      <c r="D1359" t="s">
        <v>2725</v>
      </c>
      <c r="E1359" t="s">
        <v>3200</v>
      </c>
      <c r="F1359" t="s">
        <v>3930</v>
      </c>
    </row>
    <row r="1360" spans="2:6" x14ac:dyDescent="0.35">
      <c r="B1360">
        <v>3500033204</v>
      </c>
      <c r="C1360">
        <v>10</v>
      </c>
      <c r="D1360" t="s">
        <v>2580</v>
      </c>
      <c r="E1360" t="s">
        <v>3200</v>
      </c>
      <c r="F1360" t="s">
        <v>3931</v>
      </c>
    </row>
    <row r="1361" spans="2:6" x14ac:dyDescent="0.35">
      <c r="B1361">
        <v>3500033093</v>
      </c>
      <c r="C1361">
        <v>80</v>
      </c>
      <c r="D1361" t="s">
        <v>3013</v>
      </c>
      <c r="E1361" t="s">
        <v>3200</v>
      </c>
      <c r="F1361" t="s">
        <v>3932</v>
      </c>
    </row>
    <row r="1362" spans="2:6" x14ac:dyDescent="0.35">
      <c r="B1362">
        <v>3500033093</v>
      </c>
      <c r="C1362">
        <v>70</v>
      </c>
      <c r="D1362" t="s">
        <v>3015</v>
      </c>
      <c r="E1362" t="s">
        <v>3200</v>
      </c>
      <c r="F1362" t="s">
        <v>3933</v>
      </c>
    </row>
    <row r="1363" spans="2:6" x14ac:dyDescent="0.35">
      <c r="B1363">
        <v>3500033093</v>
      </c>
      <c r="C1363">
        <v>60</v>
      </c>
      <c r="D1363" t="s">
        <v>3017</v>
      </c>
      <c r="E1363" t="s">
        <v>3200</v>
      </c>
      <c r="F1363" t="s">
        <v>3934</v>
      </c>
    </row>
    <row r="1364" spans="2:6" x14ac:dyDescent="0.35">
      <c r="B1364">
        <v>3500033093</v>
      </c>
      <c r="C1364">
        <v>50</v>
      </c>
      <c r="D1364" t="s">
        <v>3019</v>
      </c>
      <c r="E1364" t="s">
        <v>3200</v>
      </c>
      <c r="F1364" t="s">
        <v>3935</v>
      </c>
    </row>
    <row r="1365" spans="2:6" x14ac:dyDescent="0.35">
      <c r="B1365">
        <v>3500033093</v>
      </c>
      <c r="C1365">
        <v>40</v>
      </c>
      <c r="D1365" t="s">
        <v>3021</v>
      </c>
      <c r="E1365" t="s">
        <v>3200</v>
      </c>
      <c r="F1365" t="s">
        <v>3936</v>
      </c>
    </row>
    <row r="1366" spans="2:6" x14ac:dyDescent="0.35">
      <c r="B1366">
        <v>3500033093</v>
      </c>
      <c r="C1366">
        <v>30</v>
      </c>
      <c r="D1366" t="s">
        <v>3023</v>
      </c>
      <c r="E1366" t="s">
        <v>3200</v>
      </c>
      <c r="F1366" t="s">
        <v>3937</v>
      </c>
    </row>
    <row r="1367" spans="2:6" x14ac:dyDescent="0.35">
      <c r="B1367">
        <v>3500033093</v>
      </c>
      <c r="C1367">
        <v>20</v>
      </c>
      <c r="D1367" t="s">
        <v>3025</v>
      </c>
      <c r="E1367" t="s">
        <v>3200</v>
      </c>
      <c r="F1367" t="s">
        <v>3938</v>
      </c>
    </row>
    <row r="1368" spans="2:6" x14ac:dyDescent="0.35">
      <c r="B1368">
        <v>3500033093</v>
      </c>
      <c r="C1368">
        <v>10</v>
      </c>
      <c r="D1368" t="s">
        <v>3027</v>
      </c>
      <c r="E1368" t="s">
        <v>3200</v>
      </c>
      <c r="F1368" t="s">
        <v>3939</v>
      </c>
    </row>
    <row r="1369" spans="2:6" x14ac:dyDescent="0.35">
      <c r="B1369">
        <v>3500033062</v>
      </c>
      <c r="C1369">
        <v>10</v>
      </c>
      <c r="D1369" t="s">
        <v>2475</v>
      </c>
      <c r="E1369" t="s">
        <v>3200</v>
      </c>
      <c r="F1369" t="s">
        <v>3940</v>
      </c>
    </row>
    <row r="1370" spans="2:6" x14ac:dyDescent="0.35">
      <c r="B1370">
        <v>3500032936</v>
      </c>
      <c r="C1370">
        <v>90</v>
      </c>
      <c r="D1370" t="s">
        <v>3941</v>
      </c>
      <c r="E1370" t="s">
        <v>3942</v>
      </c>
      <c r="F1370" t="s">
        <v>3943</v>
      </c>
    </row>
    <row r="1371" spans="2:6" x14ac:dyDescent="0.35">
      <c r="B1371">
        <v>3500032936</v>
      </c>
      <c r="C1371">
        <v>60</v>
      </c>
      <c r="D1371" t="s">
        <v>3944</v>
      </c>
      <c r="E1371" t="s">
        <v>3942</v>
      </c>
      <c r="F1371" t="s">
        <v>3945</v>
      </c>
    </row>
    <row r="1372" spans="2:6" x14ac:dyDescent="0.35">
      <c r="B1372">
        <v>3500032936</v>
      </c>
      <c r="C1372">
        <v>50</v>
      </c>
      <c r="D1372" t="s">
        <v>3946</v>
      </c>
      <c r="E1372" t="s">
        <v>3942</v>
      </c>
      <c r="F1372" t="s">
        <v>3947</v>
      </c>
    </row>
    <row r="1373" spans="2:6" x14ac:dyDescent="0.35">
      <c r="B1373">
        <v>3500032846</v>
      </c>
      <c r="C1373">
        <v>10</v>
      </c>
      <c r="D1373" t="s">
        <v>2240</v>
      </c>
      <c r="E1373" t="s">
        <v>3200</v>
      </c>
      <c r="F1373" t="s">
        <v>3948</v>
      </c>
    </row>
    <row r="1374" spans="2:6" x14ac:dyDescent="0.35">
      <c r="B1374">
        <v>3500032710</v>
      </c>
      <c r="C1374">
        <v>10</v>
      </c>
      <c r="D1374" t="s">
        <v>3949</v>
      </c>
      <c r="E1374" t="s">
        <v>3200</v>
      </c>
      <c r="F1374" t="s">
        <v>3950</v>
      </c>
    </row>
    <row r="1375" spans="2:6" x14ac:dyDescent="0.35">
      <c r="B1375">
        <v>3500032509</v>
      </c>
      <c r="C1375">
        <v>10</v>
      </c>
      <c r="D1375" t="s">
        <v>3951</v>
      </c>
      <c r="E1375" t="s">
        <v>3952</v>
      </c>
      <c r="F1375" t="s">
        <v>3953</v>
      </c>
    </row>
    <row r="1376" spans="2:6" x14ac:dyDescent="0.35">
      <c r="B1376">
        <v>3500032498</v>
      </c>
      <c r="C1376">
        <v>10</v>
      </c>
      <c r="D1376" t="s">
        <v>3954</v>
      </c>
      <c r="E1376" t="s">
        <v>3200</v>
      </c>
      <c r="F1376" t="s">
        <v>3955</v>
      </c>
    </row>
    <row r="1377" spans="2:6" x14ac:dyDescent="0.35">
      <c r="B1377">
        <v>3500032415</v>
      </c>
      <c r="C1377">
        <v>10</v>
      </c>
      <c r="D1377" t="s">
        <v>3956</v>
      </c>
      <c r="E1377" t="s">
        <v>3200</v>
      </c>
      <c r="F1377" t="s">
        <v>3957</v>
      </c>
    </row>
    <row r="1378" spans="2:6" x14ac:dyDescent="0.35">
      <c r="B1378">
        <v>3500032386</v>
      </c>
      <c r="C1378">
        <v>10</v>
      </c>
      <c r="D1378" t="s">
        <v>3958</v>
      </c>
      <c r="E1378" t="s">
        <v>3200</v>
      </c>
      <c r="F1378" t="s">
        <v>3959</v>
      </c>
    </row>
    <row r="1379" spans="2:6" x14ac:dyDescent="0.35">
      <c r="B1379">
        <v>3500032364</v>
      </c>
      <c r="C1379">
        <v>10</v>
      </c>
      <c r="D1379" t="s">
        <v>3960</v>
      </c>
      <c r="E1379" t="s">
        <v>3200</v>
      </c>
      <c r="F1379" t="s">
        <v>3961</v>
      </c>
    </row>
    <row r="1380" spans="2:6" x14ac:dyDescent="0.35">
      <c r="B1380">
        <v>3500032363</v>
      </c>
      <c r="C1380">
        <v>10</v>
      </c>
      <c r="D1380" t="s">
        <v>2475</v>
      </c>
      <c r="E1380" t="s">
        <v>3200</v>
      </c>
      <c r="F1380" t="s">
        <v>3962</v>
      </c>
    </row>
    <row r="1381" spans="2:6" x14ac:dyDescent="0.35">
      <c r="B1381">
        <v>3500032328</v>
      </c>
      <c r="C1381">
        <v>40</v>
      </c>
      <c r="D1381" t="s">
        <v>2639</v>
      </c>
      <c r="E1381" t="s">
        <v>3963</v>
      </c>
      <c r="F1381" t="s">
        <v>3964</v>
      </c>
    </row>
    <row r="1382" spans="2:6" x14ac:dyDescent="0.35">
      <c r="B1382">
        <v>3500032328</v>
      </c>
      <c r="C1382">
        <v>30</v>
      </c>
      <c r="D1382" t="s">
        <v>41</v>
      </c>
      <c r="E1382" t="s">
        <v>3963</v>
      </c>
      <c r="F1382" t="s">
        <v>3965</v>
      </c>
    </row>
    <row r="1383" spans="2:6" x14ac:dyDescent="0.35">
      <c r="B1383">
        <v>3500032328</v>
      </c>
      <c r="C1383">
        <v>20</v>
      </c>
      <c r="D1383" t="s">
        <v>42</v>
      </c>
      <c r="E1383" t="s">
        <v>3963</v>
      </c>
      <c r="F1383" t="s">
        <v>3966</v>
      </c>
    </row>
    <row r="1384" spans="2:6" x14ac:dyDescent="0.35">
      <c r="B1384">
        <v>3500032263</v>
      </c>
      <c r="C1384">
        <v>20</v>
      </c>
      <c r="D1384" t="s">
        <v>3115</v>
      </c>
      <c r="E1384" t="s">
        <v>3967</v>
      </c>
      <c r="F1384" t="s">
        <v>3968</v>
      </c>
    </row>
    <row r="1385" spans="2:6" x14ac:dyDescent="0.35">
      <c r="B1385">
        <v>3500032126</v>
      </c>
      <c r="C1385">
        <v>80</v>
      </c>
      <c r="D1385" t="s">
        <v>3969</v>
      </c>
      <c r="E1385" t="s">
        <v>3200</v>
      </c>
      <c r="F1385" t="s">
        <v>3970</v>
      </c>
    </row>
    <row r="1386" spans="2:6" x14ac:dyDescent="0.35">
      <c r="B1386">
        <v>3500032126</v>
      </c>
      <c r="C1386">
        <v>70</v>
      </c>
      <c r="D1386" t="s">
        <v>3971</v>
      </c>
      <c r="E1386" t="s">
        <v>3200</v>
      </c>
      <c r="F1386" t="s">
        <v>3972</v>
      </c>
    </row>
    <row r="1387" spans="2:6" x14ac:dyDescent="0.35">
      <c r="B1387">
        <v>3500032126</v>
      </c>
      <c r="C1387">
        <v>60</v>
      </c>
      <c r="D1387" t="s">
        <v>3973</v>
      </c>
      <c r="E1387" t="s">
        <v>3200</v>
      </c>
      <c r="F1387" t="s">
        <v>3974</v>
      </c>
    </row>
    <row r="1388" spans="2:6" x14ac:dyDescent="0.35">
      <c r="B1388">
        <v>3500032126</v>
      </c>
      <c r="C1388">
        <v>50</v>
      </c>
      <c r="D1388" t="s">
        <v>3975</v>
      </c>
      <c r="E1388" t="s">
        <v>3200</v>
      </c>
      <c r="F1388" t="s">
        <v>3976</v>
      </c>
    </row>
    <row r="1389" spans="2:6" x14ac:dyDescent="0.35">
      <c r="B1389">
        <v>3500032126</v>
      </c>
      <c r="C1389">
        <v>40</v>
      </c>
      <c r="D1389" t="s">
        <v>3977</v>
      </c>
      <c r="E1389" t="s">
        <v>3200</v>
      </c>
      <c r="F1389" t="s">
        <v>3978</v>
      </c>
    </row>
    <row r="1390" spans="2:6" x14ac:dyDescent="0.35">
      <c r="B1390">
        <v>3500032126</v>
      </c>
      <c r="C1390">
        <v>30</v>
      </c>
      <c r="D1390" t="s">
        <v>3979</v>
      </c>
      <c r="E1390" t="s">
        <v>3200</v>
      </c>
      <c r="F1390" t="s">
        <v>3980</v>
      </c>
    </row>
    <row r="1391" spans="2:6" x14ac:dyDescent="0.35">
      <c r="B1391">
        <v>3500032126</v>
      </c>
      <c r="C1391">
        <v>20</v>
      </c>
      <c r="D1391" t="s">
        <v>3981</v>
      </c>
      <c r="E1391" t="s">
        <v>3200</v>
      </c>
      <c r="F1391" t="s">
        <v>3982</v>
      </c>
    </row>
    <row r="1392" spans="2:6" x14ac:dyDescent="0.35">
      <c r="B1392">
        <v>3500032126</v>
      </c>
      <c r="C1392">
        <v>10</v>
      </c>
      <c r="D1392" t="s">
        <v>3983</v>
      </c>
      <c r="E1392" t="s">
        <v>3200</v>
      </c>
      <c r="F1392" t="s">
        <v>3984</v>
      </c>
    </row>
    <row r="1393" spans="2:6" x14ac:dyDescent="0.35">
      <c r="B1393">
        <v>3500032114</v>
      </c>
      <c r="C1393">
        <v>210</v>
      </c>
      <c r="D1393" t="s">
        <v>3345</v>
      </c>
      <c r="E1393" t="s">
        <v>3094</v>
      </c>
      <c r="F1393" t="s">
        <v>3985</v>
      </c>
    </row>
    <row r="1394" spans="2:6" x14ac:dyDescent="0.35">
      <c r="B1394">
        <v>3500032114</v>
      </c>
      <c r="C1394">
        <v>200</v>
      </c>
      <c r="D1394" t="s">
        <v>2543</v>
      </c>
      <c r="E1394" t="s">
        <v>3094</v>
      </c>
      <c r="F1394" t="s">
        <v>3986</v>
      </c>
    </row>
    <row r="1395" spans="2:6" x14ac:dyDescent="0.35">
      <c r="B1395">
        <v>3500032114</v>
      </c>
      <c r="C1395">
        <v>190</v>
      </c>
      <c r="D1395" t="s">
        <v>2599</v>
      </c>
      <c r="E1395" t="s">
        <v>3094</v>
      </c>
      <c r="F1395" t="s">
        <v>3987</v>
      </c>
    </row>
    <row r="1396" spans="2:6" x14ac:dyDescent="0.35">
      <c r="B1396">
        <v>3500032114</v>
      </c>
      <c r="C1396">
        <v>180</v>
      </c>
      <c r="D1396" t="s">
        <v>2557</v>
      </c>
      <c r="E1396" t="s">
        <v>3094</v>
      </c>
      <c r="F1396" t="s">
        <v>3988</v>
      </c>
    </row>
    <row r="1397" spans="2:6" x14ac:dyDescent="0.35">
      <c r="B1397">
        <v>3500032114</v>
      </c>
      <c r="C1397">
        <v>170</v>
      </c>
      <c r="D1397" t="s">
        <v>2587</v>
      </c>
      <c r="E1397" t="s">
        <v>3094</v>
      </c>
      <c r="F1397" t="s">
        <v>3989</v>
      </c>
    </row>
    <row r="1398" spans="2:6" x14ac:dyDescent="0.35">
      <c r="B1398">
        <v>3500032114</v>
      </c>
      <c r="C1398">
        <v>160</v>
      </c>
      <c r="D1398" t="s">
        <v>2725</v>
      </c>
      <c r="E1398" t="s">
        <v>3094</v>
      </c>
      <c r="F1398" t="s">
        <v>3990</v>
      </c>
    </row>
    <row r="1399" spans="2:6" x14ac:dyDescent="0.35">
      <c r="B1399">
        <v>3500031959</v>
      </c>
      <c r="C1399">
        <v>10</v>
      </c>
      <c r="D1399" t="s">
        <v>2831</v>
      </c>
      <c r="E1399" t="s">
        <v>3200</v>
      </c>
      <c r="F1399" t="s">
        <v>3991</v>
      </c>
    </row>
    <row r="1400" spans="2:6" x14ac:dyDescent="0.35">
      <c r="B1400">
        <v>3500031937</v>
      </c>
      <c r="C1400">
        <v>10</v>
      </c>
      <c r="D1400" t="s">
        <v>3992</v>
      </c>
      <c r="E1400" t="s">
        <v>3993</v>
      </c>
      <c r="F1400" t="s">
        <v>3994</v>
      </c>
    </row>
    <row r="1401" spans="2:6" x14ac:dyDescent="0.35">
      <c r="B1401">
        <v>3500031930</v>
      </c>
      <c r="C1401">
        <v>10</v>
      </c>
      <c r="D1401" t="s">
        <v>3995</v>
      </c>
      <c r="E1401" t="s">
        <v>3996</v>
      </c>
      <c r="F1401" t="s">
        <v>3997</v>
      </c>
    </row>
    <row r="1402" spans="2:6" x14ac:dyDescent="0.35">
      <c r="B1402">
        <v>3500031927</v>
      </c>
      <c r="C1402">
        <v>10</v>
      </c>
      <c r="D1402" t="s">
        <v>3998</v>
      </c>
      <c r="E1402" t="s">
        <v>68</v>
      </c>
      <c r="F1402" t="s">
        <v>3999</v>
      </c>
    </row>
    <row r="1403" spans="2:6" x14ac:dyDescent="0.35">
      <c r="B1403">
        <v>3500031926</v>
      </c>
      <c r="C1403">
        <v>10</v>
      </c>
      <c r="D1403" t="s">
        <v>4000</v>
      </c>
      <c r="E1403" t="s">
        <v>4001</v>
      </c>
      <c r="F1403" t="s">
        <v>4002</v>
      </c>
    </row>
    <row r="1404" spans="2:6" x14ac:dyDescent="0.35">
      <c r="B1404">
        <v>3500031863</v>
      </c>
      <c r="C1404">
        <v>20</v>
      </c>
      <c r="D1404" t="s">
        <v>4003</v>
      </c>
      <c r="E1404" t="s">
        <v>4004</v>
      </c>
      <c r="F1404" t="s">
        <v>4005</v>
      </c>
    </row>
    <row r="1405" spans="2:6" x14ac:dyDescent="0.35">
      <c r="B1405">
        <v>3500031608</v>
      </c>
      <c r="C1405">
        <v>20</v>
      </c>
      <c r="D1405" t="s">
        <v>4006</v>
      </c>
      <c r="E1405" t="s">
        <v>3200</v>
      </c>
      <c r="F1405" t="s">
        <v>4007</v>
      </c>
    </row>
    <row r="1406" spans="2:6" x14ac:dyDescent="0.35">
      <c r="B1406">
        <v>3500031608</v>
      </c>
      <c r="C1406">
        <v>10</v>
      </c>
      <c r="D1406" t="s">
        <v>2573</v>
      </c>
      <c r="E1406" t="s">
        <v>3200</v>
      </c>
      <c r="F1406" t="s">
        <v>4008</v>
      </c>
    </row>
    <row r="1407" spans="2:6" x14ac:dyDescent="0.35">
      <c r="B1407">
        <v>3500031533</v>
      </c>
      <c r="C1407">
        <v>30</v>
      </c>
      <c r="D1407" t="s">
        <v>4009</v>
      </c>
      <c r="E1407" t="s">
        <v>3130</v>
      </c>
      <c r="F1407" t="s">
        <v>4010</v>
      </c>
    </row>
    <row r="1408" spans="2:6" x14ac:dyDescent="0.35">
      <c r="B1408">
        <v>3500031533</v>
      </c>
      <c r="C1408">
        <v>20</v>
      </c>
      <c r="D1408" t="s">
        <v>4011</v>
      </c>
      <c r="E1408" t="s">
        <v>3130</v>
      </c>
      <c r="F1408" t="s">
        <v>4012</v>
      </c>
    </row>
    <row r="1409" spans="2:6" x14ac:dyDescent="0.35">
      <c r="B1409">
        <v>3500031533</v>
      </c>
      <c r="C1409">
        <v>10</v>
      </c>
      <c r="D1409" t="s">
        <v>4013</v>
      </c>
      <c r="E1409" t="s">
        <v>3130</v>
      </c>
      <c r="F1409" t="s">
        <v>4014</v>
      </c>
    </row>
    <row r="1410" spans="2:6" x14ac:dyDescent="0.35">
      <c r="B1410">
        <v>3500031450</v>
      </c>
      <c r="C1410">
        <v>10</v>
      </c>
      <c r="D1410" t="s">
        <v>4015</v>
      </c>
      <c r="E1410" t="s">
        <v>3130</v>
      </c>
      <c r="F1410" t="s">
        <v>4016</v>
      </c>
    </row>
    <row r="1411" spans="2:6" x14ac:dyDescent="0.35">
      <c r="B1411">
        <v>3500031363</v>
      </c>
      <c r="C1411">
        <v>10</v>
      </c>
      <c r="D1411" t="s">
        <v>2475</v>
      </c>
      <c r="E1411" t="s">
        <v>3200</v>
      </c>
      <c r="F1411" t="s">
        <v>4017</v>
      </c>
    </row>
    <row r="1412" spans="2:6" x14ac:dyDescent="0.35">
      <c r="B1412">
        <v>3500031284</v>
      </c>
      <c r="C1412">
        <v>50</v>
      </c>
      <c r="D1412" t="s">
        <v>2817</v>
      </c>
      <c r="E1412" t="s">
        <v>3200</v>
      </c>
      <c r="F1412" t="s">
        <v>4018</v>
      </c>
    </row>
    <row r="1413" spans="2:6" x14ac:dyDescent="0.35">
      <c r="B1413">
        <v>3500031284</v>
      </c>
      <c r="C1413">
        <v>40</v>
      </c>
      <c r="D1413" t="s">
        <v>3119</v>
      </c>
      <c r="E1413" t="s">
        <v>3200</v>
      </c>
      <c r="F1413" t="s">
        <v>4019</v>
      </c>
    </row>
    <row r="1414" spans="2:6" x14ac:dyDescent="0.35">
      <c r="B1414">
        <v>3500031284</v>
      </c>
      <c r="C1414">
        <v>30</v>
      </c>
      <c r="D1414" t="s">
        <v>4020</v>
      </c>
      <c r="E1414" t="s">
        <v>3200</v>
      </c>
      <c r="F1414" t="s">
        <v>4021</v>
      </c>
    </row>
    <row r="1415" spans="2:6" x14ac:dyDescent="0.35">
      <c r="B1415">
        <v>3500031284</v>
      </c>
      <c r="C1415">
        <v>20</v>
      </c>
      <c r="D1415" t="s">
        <v>2725</v>
      </c>
      <c r="E1415" t="s">
        <v>3200</v>
      </c>
      <c r="F1415" t="s">
        <v>4022</v>
      </c>
    </row>
    <row r="1416" spans="2:6" x14ac:dyDescent="0.35">
      <c r="B1416">
        <v>3500031284</v>
      </c>
      <c r="C1416">
        <v>10</v>
      </c>
      <c r="D1416" t="s">
        <v>2535</v>
      </c>
      <c r="E1416" t="s">
        <v>3200</v>
      </c>
      <c r="F1416" t="s">
        <v>4023</v>
      </c>
    </row>
    <row r="1417" spans="2:6" x14ac:dyDescent="0.35">
      <c r="B1417">
        <v>3500031218</v>
      </c>
      <c r="C1417">
        <v>10</v>
      </c>
      <c r="D1417" t="s">
        <v>2475</v>
      </c>
      <c r="E1417" t="s">
        <v>3200</v>
      </c>
      <c r="F1417" t="s">
        <v>4024</v>
      </c>
    </row>
    <row r="1418" spans="2:6" x14ac:dyDescent="0.35">
      <c r="B1418">
        <v>3500031057</v>
      </c>
      <c r="C1418">
        <v>20</v>
      </c>
      <c r="D1418" t="s">
        <v>4025</v>
      </c>
      <c r="E1418" t="s">
        <v>4026</v>
      </c>
      <c r="F1418" t="s">
        <v>4027</v>
      </c>
    </row>
    <row r="1419" spans="2:6" x14ac:dyDescent="0.35">
      <c r="B1419">
        <v>3500030930</v>
      </c>
      <c r="C1419">
        <v>50</v>
      </c>
      <c r="D1419" t="s">
        <v>4028</v>
      </c>
      <c r="E1419" t="s">
        <v>3200</v>
      </c>
      <c r="F1419" t="s">
        <v>4029</v>
      </c>
    </row>
    <row r="1420" spans="2:6" x14ac:dyDescent="0.35">
      <c r="B1420">
        <v>3500030835</v>
      </c>
      <c r="C1420">
        <v>40</v>
      </c>
      <c r="D1420" t="s">
        <v>4030</v>
      </c>
      <c r="E1420" t="s">
        <v>4031</v>
      </c>
      <c r="F1420" t="s">
        <v>4032</v>
      </c>
    </row>
    <row r="1421" spans="2:6" x14ac:dyDescent="0.35">
      <c r="B1421">
        <v>3500030835</v>
      </c>
      <c r="C1421">
        <v>30</v>
      </c>
      <c r="D1421" t="s">
        <v>4033</v>
      </c>
      <c r="E1421" t="s">
        <v>4031</v>
      </c>
      <c r="F1421" t="s">
        <v>4034</v>
      </c>
    </row>
    <row r="1422" spans="2:6" x14ac:dyDescent="0.35">
      <c r="B1422">
        <v>3500030835</v>
      </c>
      <c r="C1422">
        <v>20</v>
      </c>
      <c r="D1422" t="s">
        <v>4035</v>
      </c>
      <c r="E1422" t="s">
        <v>4031</v>
      </c>
      <c r="F1422" t="s">
        <v>4036</v>
      </c>
    </row>
    <row r="1423" spans="2:6" x14ac:dyDescent="0.35">
      <c r="B1423">
        <v>3500030543</v>
      </c>
      <c r="C1423">
        <v>10</v>
      </c>
      <c r="D1423" t="s">
        <v>2475</v>
      </c>
      <c r="E1423" t="s">
        <v>3200</v>
      </c>
      <c r="F1423" t="s">
        <v>4037</v>
      </c>
    </row>
    <row r="1424" spans="2:6" x14ac:dyDescent="0.35">
      <c r="B1424">
        <v>3500030383</v>
      </c>
      <c r="C1424">
        <v>10</v>
      </c>
      <c r="D1424" t="s">
        <v>4038</v>
      </c>
      <c r="E1424" t="s">
        <v>4039</v>
      </c>
      <c r="F1424" t="s">
        <v>4040</v>
      </c>
    </row>
    <row r="1425" spans="2:6" x14ac:dyDescent="0.35">
      <c r="B1425">
        <v>3500030281</v>
      </c>
      <c r="C1425">
        <v>10</v>
      </c>
      <c r="D1425" t="s">
        <v>4041</v>
      </c>
      <c r="E1425" t="s">
        <v>3952</v>
      </c>
      <c r="F1425" t="s">
        <v>4042</v>
      </c>
    </row>
    <row r="1426" spans="2:6" x14ac:dyDescent="0.35">
      <c r="B1426">
        <v>3500030279</v>
      </c>
      <c r="C1426">
        <v>10</v>
      </c>
      <c r="D1426" t="s">
        <v>4043</v>
      </c>
      <c r="E1426" t="s">
        <v>4044</v>
      </c>
      <c r="F1426" t="s">
        <v>4045</v>
      </c>
    </row>
    <row r="1427" spans="2:6" x14ac:dyDescent="0.35">
      <c r="B1427">
        <v>3500030234</v>
      </c>
      <c r="C1427">
        <v>10</v>
      </c>
      <c r="D1427" t="s">
        <v>4046</v>
      </c>
      <c r="E1427" t="s">
        <v>3200</v>
      </c>
      <c r="F1427" t="s">
        <v>4047</v>
      </c>
    </row>
    <row r="1428" spans="2:6" x14ac:dyDescent="0.35">
      <c r="B1428">
        <v>3500030231</v>
      </c>
      <c r="C1428">
        <v>40</v>
      </c>
      <c r="D1428" t="s">
        <v>4048</v>
      </c>
      <c r="E1428" t="s">
        <v>3200</v>
      </c>
      <c r="F1428" t="s">
        <v>4049</v>
      </c>
    </row>
    <row r="1429" spans="2:6" x14ac:dyDescent="0.35">
      <c r="B1429">
        <v>3500030231</v>
      </c>
      <c r="C1429">
        <v>30</v>
      </c>
      <c r="D1429" t="s">
        <v>4050</v>
      </c>
      <c r="E1429" t="s">
        <v>3200</v>
      </c>
      <c r="F1429" t="s">
        <v>4051</v>
      </c>
    </row>
    <row r="1430" spans="2:6" x14ac:dyDescent="0.35">
      <c r="B1430">
        <v>3500030231</v>
      </c>
      <c r="C1430">
        <v>20</v>
      </c>
      <c r="D1430" t="s">
        <v>4052</v>
      </c>
      <c r="E1430" t="s">
        <v>3200</v>
      </c>
      <c r="F1430" t="s">
        <v>4053</v>
      </c>
    </row>
    <row r="1431" spans="2:6" x14ac:dyDescent="0.35">
      <c r="B1431">
        <v>3500030231</v>
      </c>
      <c r="C1431">
        <v>10</v>
      </c>
      <c r="D1431" t="s">
        <v>4054</v>
      </c>
      <c r="E1431" t="s">
        <v>3200</v>
      </c>
      <c r="F1431" t="s">
        <v>4055</v>
      </c>
    </row>
    <row r="1432" spans="2:6" x14ac:dyDescent="0.35">
      <c r="B1432">
        <v>3500030076</v>
      </c>
      <c r="C1432">
        <v>30</v>
      </c>
      <c r="D1432" t="s">
        <v>4030</v>
      </c>
      <c r="E1432" t="s">
        <v>3767</v>
      </c>
      <c r="F1432" t="s">
        <v>4056</v>
      </c>
    </row>
    <row r="1433" spans="2:6" x14ac:dyDescent="0.35">
      <c r="B1433">
        <v>3500030076</v>
      </c>
      <c r="C1433">
        <v>10</v>
      </c>
      <c r="D1433" t="s">
        <v>4033</v>
      </c>
      <c r="E1433" t="s">
        <v>3767</v>
      </c>
      <c r="F1433" t="s">
        <v>4057</v>
      </c>
    </row>
    <row r="1434" spans="2:6" x14ac:dyDescent="0.35">
      <c r="B1434">
        <v>3500030005</v>
      </c>
      <c r="C1434">
        <v>10</v>
      </c>
      <c r="D1434" t="s">
        <v>2475</v>
      </c>
      <c r="E1434" t="s">
        <v>3200</v>
      </c>
      <c r="F1434" t="s">
        <v>4058</v>
      </c>
    </row>
    <row r="1435" spans="2:6" x14ac:dyDescent="0.35">
      <c r="B1435">
        <v>3500029976</v>
      </c>
      <c r="C1435">
        <v>20</v>
      </c>
      <c r="D1435" t="s">
        <v>4059</v>
      </c>
      <c r="E1435" t="s">
        <v>3200</v>
      </c>
      <c r="F1435" t="s">
        <v>4060</v>
      </c>
    </row>
    <row r="1436" spans="2:6" x14ac:dyDescent="0.35">
      <c r="B1436">
        <v>3500029976</v>
      </c>
      <c r="C1436">
        <v>10</v>
      </c>
      <c r="D1436" t="s">
        <v>2831</v>
      </c>
      <c r="E1436" t="s">
        <v>3200</v>
      </c>
      <c r="F1436" t="s">
        <v>4061</v>
      </c>
    </row>
    <row r="1437" spans="2:6" x14ac:dyDescent="0.35">
      <c r="B1437">
        <v>3500029856</v>
      </c>
      <c r="C1437">
        <v>70</v>
      </c>
      <c r="D1437" t="s">
        <v>4062</v>
      </c>
      <c r="E1437" t="s">
        <v>3130</v>
      </c>
      <c r="F1437" t="s">
        <v>4063</v>
      </c>
    </row>
    <row r="1438" spans="2:6" x14ac:dyDescent="0.35">
      <c r="B1438">
        <v>3500029856</v>
      </c>
      <c r="C1438">
        <v>50</v>
      </c>
      <c r="D1438" t="s">
        <v>2541</v>
      </c>
      <c r="E1438" t="s">
        <v>3130</v>
      </c>
      <c r="F1438" t="s">
        <v>4064</v>
      </c>
    </row>
    <row r="1439" spans="2:6" x14ac:dyDescent="0.35">
      <c r="B1439">
        <v>3500029856</v>
      </c>
      <c r="C1439">
        <v>20</v>
      </c>
      <c r="D1439" t="s">
        <v>4065</v>
      </c>
      <c r="E1439" t="s">
        <v>3130</v>
      </c>
      <c r="F1439" t="s">
        <v>4066</v>
      </c>
    </row>
    <row r="1440" spans="2:6" x14ac:dyDescent="0.35">
      <c r="B1440">
        <v>3500029856</v>
      </c>
      <c r="C1440">
        <v>10</v>
      </c>
      <c r="D1440" t="s">
        <v>4067</v>
      </c>
      <c r="E1440" t="s">
        <v>3130</v>
      </c>
      <c r="F1440" t="s">
        <v>4068</v>
      </c>
    </row>
    <row r="1441" spans="2:6" x14ac:dyDescent="0.35">
      <c r="B1441">
        <v>3500029814</v>
      </c>
      <c r="C1441">
        <v>10</v>
      </c>
      <c r="D1441" t="s">
        <v>3538</v>
      </c>
      <c r="E1441" t="s">
        <v>3200</v>
      </c>
      <c r="F1441" t="s">
        <v>4069</v>
      </c>
    </row>
    <row r="1442" spans="2:6" x14ac:dyDescent="0.35">
      <c r="B1442">
        <v>3500029673</v>
      </c>
      <c r="C1442">
        <v>10</v>
      </c>
      <c r="D1442" t="s">
        <v>4070</v>
      </c>
      <c r="E1442" t="s">
        <v>4071</v>
      </c>
      <c r="F1442" t="s">
        <v>4072</v>
      </c>
    </row>
    <row r="1443" spans="2:6" x14ac:dyDescent="0.35">
      <c r="B1443">
        <v>3500029486</v>
      </c>
      <c r="C1443">
        <v>10</v>
      </c>
      <c r="D1443" t="s">
        <v>4073</v>
      </c>
      <c r="E1443" t="s">
        <v>3200</v>
      </c>
      <c r="F1443" t="s">
        <v>4074</v>
      </c>
    </row>
    <row r="1444" spans="2:6" x14ac:dyDescent="0.35">
      <c r="B1444">
        <v>3500029457</v>
      </c>
      <c r="C1444">
        <v>10</v>
      </c>
      <c r="D1444" t="s">
        <v>4075</v>
      </c>
      <c r="E1444" t="s">
        <v>4039</v>
      </c>
      <c r="F1444" t="s">
        <v>4076</v>
      </c>
    </row>
    <row r="1445" spans="2:6" x14ac:dyDescent="0.35">
      <c r="B1445">
        <v>3500029404</v>
      </c>
      <c r="C1445">
        <v>70</v>
      </c>
      <c r="D1445" t="s">
        <v>2625</v>
      </c>
      <c r="E1445" t="s">
        <v>4039</v>
      </c>
      <c r="F1445" t="s">
        <v>4077</v>
      </c>
    </row>
    <row r="1446" spans="2:6" x14ac:dyDescent="0.35">
      <c r="B1446">
        <v>3500029404</v>
      </c>
      <c r="C1446">
        <v>60</v>
      </c>
      <c r="D1446" t="s">
        <v>2580</v>
      </c>
      <c r="E1446" t="s">
        <v>4039</v>
      </c>
      <c r="F1446" t="s">
        <v>4078</v>
      </c>
    </row>
    <row r="1447" spans="2:6" x14ac:dyDescent="0.35">
      <c r="B1447">
        <v>3500029404</v>
      </c>
      <c r="C1447">
        <v>50</v>
      </c>
      <c r="D1447" t="s">
        <v>2559</v>
      </c>
      <c r="E1447" t="s">
        <v>4039</v>
      </c>
      <c r="F1447" t="s">
        <v>4079</v>
      </c>
    </row>
    <row r="1448" spans="2:6" x14ac:dyDescent="0.35">
      <c r="B1448">
        <v>3500029404</v>
      </c>
      <c r="C1448">
        <v>40</v>
      </c>
      <c r="D1448" t="s">
        <v>3688</v>
      </c>
      <c r="E1448" t="s">
        <v>4039</v>
      </c>
      <c r="F1448" t="s">
        <v>4080</v>
      </c>
    </row>
    <row r="1449" spans="2:6" x14ac:dyDescent="0.35">
      <c r="B1449">
        <v>3500029404</v>
      </c>
      <c r="C1449">
        <v>30</v>
      </c>
      <c r="D1449" t="s">
        <v>2531</v>
      </c>
      <c r="E1449" t="s">
        <v>4039</v>
      </c>
      <c r="F1449" t="s">
        <v>4081</v>
      </c>
    </row>
    <row r="1450" spans="2:6" x14ac:dyDescent="0.35">
      <c r="B1450">
        <v>3500029404</v>
      </c>
      <c r="C1450">
        <v>20</v>
      </c>
      <c r="D1450" t="s">
        <v>2688</v>
      </c>
      <c r="E1450" t="s">
        <v>4039</v>
      </c>
      <c r="F1450" t="s">
        <v>4082</v>
      </c>
    </row>
    <row r="1451" spans="2:6" x14ac:dyDescent="0.35">
      <c r="B1451">
        <v>3500029404</v>
      </c>
      <c r="C1451">
        <v>10</v>
      </c>
      <c r="D1451" t="s">
        <v>2543</v>
      </c>
      <c r="E1451" t="s">
        <v>4039</v>
      </c>
      <c r="F1451" t="s">
        <v>4083</v>
      </c>
    </row>
    <row r="1452" spans="2:6" x14ac:dyDescent="0.35">
      <c r="B1452">
        <v>3500029024</v>
      </c>
      <c r="C1452">
        <v>10</v>
      </c>
      <c r="D1452" t="s">
        <v>4084</v>
      </c>
      <c r="E1452" t="s">
        <v>4039</v>
      </c>
      <c r="F1452" t="s">
        <v>4085</v>
      </c>
    </row>
    <row r="1453" spans="2:6" x14ac:dyDescent="0.35">
      <c r="B1453">
        <v>3500029007</v>
      </c>
      <c r="C1453">
        <v>40</v>
      </c>
      <c r="D1453" t="s">
        <v>4086</v>
      </c>
      <c r="E1453" t="s">
        <v>3200</v>
      </c>
      <c r="F1453" t="s">
        <v>4087</v>
      </c>
    </row>
    <row r="1454" spans="2:6" x14ac:dyDescent="0.35">
      <c r="B1454">
        <v>3500029007</v>
      </c>
      <c r="C1454">
        <v>30</v>
      </c>
      <c r="D1454" t="s">
        <v>4088</v>
      </c>
      <c r="E1454" t="s">
        <v>3200</v>
      </c>
      <c r="F1454" t="s">
        <v>4089</v>
      </c>
    </row>
    <row r="1455" spans="2:6" x14ac:dyDescent="0.35">
      <c r="B1455">
        <v>3500029007</v>
      </c>
      <c r="C1455">
        <v>20</v>
      </c>
      <c r="D1455" t="s">
        <v>4090</v>
      </c>
      <c r="E1455" t="s">
        <v>3200</v>
      </c>
      <c r="F1455" t="s">
        <v>4091</v>
      </c>
    </row>
    <row r="1456" spans="2:6" x14ac:dyDescent="0.35">
      <c r="B1456">
        <v>3500029007</v>
      </c>
      <c r="C1456">
        <v>10</v>
      </c>
      <c r="D1456" t="s">
        <v>4092</v>
      </c>
      <c r="E1456" t="s">
        <v>3200</v>
      </c>
      <c r="F1456" t="s">
        <v>4093</v>
      </c>
    </row>
    <row r="1457" spans="2:6" x14ac:dyDescent="0.35">
      <c r="B1457">
        <v>3500028959</v>
      </c>
      <c r="C1457">
        <v>70</v>
      </c>
      <c r="D1457" t="s">
        <v>4094</v>
      </c>
      <c r="E1457" t="s">
        <v>4044</v>
      </c>
      <c r="F1457" t="s">
        <v>4095</v>
      </c>
    </row>
    <row r="1458" spans="2:6" x14ac:dyDescent="0.35">
      <c r="B1458">
        <v>3500028959</v>
      </c>
      <c r="C1458">
        <v>60</v>
      </c>
      <c r="D1458" t="s">
        <v>4096</v>
      </c>
      <c r="E1458" t="s">
        <v>4044</v>
      </c>
      <c r="F1458" t="s">
        <v>4097</v>
      </c>
    </row>
    <row r="1459" spans="2:6" x14ac:dyDescent="0.35">
      <c r="B1459">
        <v>3500028959</v>
      </c>
      <c r="C1459">
        <v>50</v>
      </c>
      <c r="D1459" t="s">
        <v>4098</v>
      </c>
      <c r="E1459" t="s">
        <v>4044</v>
      </c>
      <c r="F1459" t="s">
        <v>4099</v>
      </c>
    </row>
    <row r="1460" spans="2:6" x14ac:dyDescent="0.35">
      <c r="B1460">
        <v>3500028959</v>
      </c>
      <c r="C1460">
        <v>160</v>
      </c>
      <c r="D1460" t="s">
        <v>2927</v>
      </c>
      <c r="E1460" t="s">
        <v>4044</v>
      </c>
      <c r="F1460" t="s">
        <v>4100</v>
      </c>
    </row>
    <row r="1461" spans="2:6" x14ac:dyDescent="0.35">
      <c r="B1461">
        <v>3500028871</v>
      </c>
      <c r="C1461">
        <v>10</v>
      </c>
      <c r="D1461" t="s">
        <v>4101</v>
      </c>
      <c r="E1461" t="s">
        <v>4102</v>
      </c>
      <c r="F1461" t="s">
        <v>4103</v>
      </c>
    </row>
    <row r="1462" spans="2:6" x14ac:dyDescent="0.35">
      <c r="B1462">
        <v>3500028868</v>
      </c>
      <c r="C1462">
        <v>10</v>
      </c>
      <c r="D1462" t="s">
        <v>4104</v>
      </c>
      <c r="E1462" t="s">
        <v>4105</v>
      </c>
      <c r="F1462" t="s">
        <v>4106</v>
      </c>
    </row>
    <row r="1463" spans="2:6" x14ac:dyDescent="0.35">
      <c r="B1463">
        <v>3500028833</v>
      </c>
      <c r="C1463">
        <v>10</v>
      </c>
      <c r="D1463" t="s">
        <v>4107</v>
      </c>
      <c r="E1463" t="s">
        <v>3200</v>
      </c>
      <c r="F1463" t="s">
        <v>4108</v>
      </c>
    </row>
    <row r="1464" spans="2:6" x14ac:dyDescent="0.35">
      <c r="B1464">
        <v>3500028492</v>
      </c>
      <c r="C1464">
        <v>10</v>
      </c>
      <c r="D1464" t="s">
        <v>2992</v>
      </c>
      <c r="E1464" t="s">
        <v>4109</v>
      </c>
      <c r="F1464" t="s">
        <v>4110</v>
      </c>
    </row>
    <row r="1465" spans="2:6" x14ac:dyDescent="0.35">
      <c r="B1465">
        <v>3500028261</v>
      </c>
      <c r="C1465">
        <v>120</v>
      </c>
      <c r="D1465" t="s">
        <v>4111</v>
      </c>
      <c r="E1465" t="s">
        <v>4039</v>
      </c>
      <c r="F1465" t="s">
        <v>4112</v>
      </c>
    </row>
    <row r="1466" spans="2:6" x14ac:dyDescent="0.35">
      <c r="B1466">
        <v>3500027871</v>
      </c>
      <c r="C1466">
        <v>10</v>
      </c>
      <c r="D1466" t="s">
        <v>2506</v>
      </c>
      <c r="E1466" t="s">
        <v>4113</v>
      </c>
      <c r="F1466" t="s">
        <v>4114</v>
      </c>
    </row>
    <row r="1467" spans="2:6" x14ac:dyDescent="0.35">
      <c r="B1467">
        <v>3500027704</v>
      </c>
      <c r="C1467">
        <v>20</v>
      </c>
      <c r="D1467" t="s">
        <v>4115</v>
      </c>
      <c r="E1467" t="s">
        <v>4116</v>
      </c>
      <c r="F1467" t="s">
        <v>4117</v>
      </c>
    </row>
    <row r="1468" spans="2:6" x14ac:dyDescent="0.35">
      <c r="B1468">
        <v>3500027604</v>
      </c>
      <c r="C1468">
        <v>10</v>
      </c>
      <c r="D1468" t="s">
        <v>4118</v>
      </c>
      <c r="E1468" t="s">
        <v>3200</v>
      </c>
      <c r="F1468" t="s">
        <v>4119</v>
      </c>
    </row>
    <row r="1469" spans="2:6" x14ac:dyDescent="0.35">
      <c r="B1469">
        <v>3500027504</v>
      </c>
      <c r="C1469">
        <v>30</v>
      </c>
      <c r="D1469" t="s">
        <v>4120</v>
      </c>
      <c r="E1469" t="s">
        <v>4121</v>
      </c>
      <c r="F1469" t="s">
        <v>4122</v>
      </c>
    </row>
    <row r="1470" spans="2:6" x14ac:dyDescent="0.35">
      <c r="B1470">
        <v>3500027504</v>
      </c>
      <c r="C1470">
        <v>20</v>
      </c>
      <c r="D1470" t="s">
        <v>3677</v>
      </c>
      <c r="E1470" t="s">
        <v>4121</v>
      </c>
      <c r="F1470" t="s">
        <v>4123</v>
      </c>
    </row>
    <row r="1471" spans="2:6" x14ac:dyDescent="0.35">
      <c r="B1471">
        <v>3500027463</v>
      </c>
      <c r="C1471">
        <v>10</v>
      </c>
      <c r="D1471" t="s">
        <v>4124</v>
      </c>
      <c r="E1471" t="s">
        <v>4125</v>
      </c>
      <c r="F1471" t="s">
        <v>4126</v>
      </c>
    </row>
    <row r="1472" spans="2:6" x14ac:dyDescent="0.35">
      <c r="B1472">
        <v>3500027460</v>
      </c>
      <c r="C1472">
        <v>20</v>
      </c>
      <c r="D1472" t="s">
        <v>4127</v>
      </c>
      <c r="E1472" t="s">
        <v>4128</v>
      </c>
      <c r="F1472" t="s">
        <v>4129</v>
      </c>
    </row>
    <row r="1473" spans="2:6" x14ac:dyDescent="0.35">
      <c r="B1473">
        <v>3500027460</v>
      </c>
      <c r="C1473">
        <v>10</v>
      </c>
      <c r="D1473" t="s">
        <v>4130</v>
      </c>
      <c r="E1473" t="s">
        <v>4128</v>
      </c>
      <c r="F1473" t="s">
        <v>4131</v>
      </c>
    </row>
    <row r="1474" spans="2:6" x14ac:dyDescent="0.35">
      <c r="B1474">
        <v>3500027441</v>
      </c>
      <c r="C1474">
        <v>10</v>
      </c>
      <c r="D1474" t="s">
        <v>4132</v>
      </c>
      <c r="E1474" t="s">
        <v>4116</v>
      </c>
      <c r="F1474" t="s">
        <v>4133</v>
      </c>
    </row>
    <row r="1475" spans="2:6" x14ac:dyDescent="0.35">
      <c r="B1475">
        <v>3500027365</v>
      </c>
      <c r="C1475">
        <v>90</v>
      </c>
      <c r="D1475" t="s">
        <v>4134</v>
      </c>
      <c r="E1475" t="s">
        <v>3315</v>
      </c>
      <c r="F1475" t="s">
        <v>4135</v>
      </c>
    </row>
    <row r="1476" spans="2:6" x14ac:dyDescent="0.35">
      <c r="B1476">
        <v>3500027365</v>
      </c>
      <c r="C1476">
        <v>80</v>
      </c>
      <c r="D1476" t="s">
        <v>4136</v>
      </c>
      <c r="E1476" t="s">
        <v>3315</v>
      </c>
      <c r="F1476" t="s">
        <v>4137</v>
      </c>
    </row>
    <row r="1477" spans="2:6" x14ac:dyDescent="0.35">
      <c r="B1477">
        <v>3500027365</v>
      </c>
      <c r="C1477">
        <v>70</v>
      </c>
      <c r="D1477" t="s">
        <v>4138</v>
      </c>
      <c r="E1477" t="s">
        <v>3315</v>
      </c>
      <c r="F1477" t="s">
        <v>4139</v>
      </c>
    </row>
    <row r="1478" spans="2:6" x14ac:dyDescent="0.35">
      <c r="B1478">
        <v>3500027365</v>
      </c>
      <c r="C1478">
        <v>60</v>
      </c>
      <c r="D1478" t="s">
        <v>4140</v>
      </c>
      <c r="E1478" t="s">
        <v>4141</v>
      </c>
      <c r="F1478" t="s">
        <v>4142</v>
      </c>
    </row>
    <row r="1479" spans="2:6" x14ac:dyDescent="0.35">
      <c r="B1479">
        <v>3500027365</v>
      </c>
      <c r="C1479">
        <v>50</v>
      </c>
      <c r="D1479" t="s">
        <v>4143</v>
      </c>
      <c r="E1479" t="s">
        <v>4141</v>
      </c>
      <c r="F1479" t="s">
        <v>4144</v>
      </c>
    </row>
    <row r="1480" spans="2:6" x14ac:dyDescent="0.35">
      <c r="B1480">
        <v>3500027365</v>
      </c>
      <c r="C1480">
        <v>40</v>
      </c>
      <c r="D1480" t="s">
        <v>4145</v>
      </c>
      <c r="E1480" t="s">
        <v>3315</v>
      </c>
      <c r="F1480" t="s">
        <v>4146</v>
      </c>
    </row>
    <row r="1481" spans="2:6" x14ac:dyDescent="0.35">
      <c r="B1481">
        <v>3500027365</v>
      </c>
      <c r="C1481">
        <v>30</v>
      </c>
      <c r="D1481" t="s">
        <v>4147</v>
      </c>
      <c r="E1481" t="s">
        <v>4141</v>
      </c>
      <c r="F1481" t="s">
        <v>4148</v>
      </c>
    </row>
    <row r="1482" spans="2:6" x14ac:dyDescent="0.35">
      <c r="B1482">
        <v>3500027365</v>
      </c>
      <c r="C1482">
        <v>20</v>
      </c>
      <c r="D1482" t="s">
        <v>4149</v>
      </c>
      <c r="E1482" t="s">
        <v>4141</v>
      </c>
      <c r="F1482" t="s">
        <v>4150</v>
      </c>
    </row>
    <row r="1483" spans="2:6" x14ac:dyDescent="0.35">
      <c r="B1483">
        <v>3500027365</v>
      </c>
      <c r="C1483">
        <v>110</v>
      </c>
      <c r="D1483" t="s">
        <v>4151</v>
      </c>
      <c r="E1483" t="s">
        <v>4141</v>
      </c>
      <c r="F1483" t="s">
        <v>4152</v>
      </c>
    </row>
    <row r="1484" spans="2:6" x14ac:dyDescent="0.35">
      <c r="B1484">
        <v>3500027365</v>
      </c>
      <c r="C1484">
        <v>100</v>
      </c>
      <c r="D1484" t="s">
        <v>4153</v>
      </c>
      <c r="E1484" t="s">
        <v>3315</v>
      </c>
      <c r="F1484" t="s">
        <v>4154</v>
      </c>
    </row>
    <row r="1485" spans="2:6" x14ac:dyDescent="0.35">
      <c r="B1485">
        <v>3500027365</v>
      </c>
      <c r="C1485">
        <v>10</v>
      </c>
      <c r="D1485" t="s">
        <v>4155</v>
      </c>
      <c r="E1485" t="s">
        <v>4141</v>
      </c>
      <c r="F1485" t="s">
        <v>4156</v>
      </c>
    </row>
    <row r="1486" spans="2:6" x14ac:dyDescent="0.35">
      <c r="B1486">
        <v>3500027362</v>
      </c>
      <c r="C1486">
        <v>10</v>
      </c>
      <c r="D1486" t="s">
        <v>4157</v>
      </c>
      <c r="E1486" t="s">
        <v>4158</v>
      </c>
      <c r="F1486" t="s">
        <v>4159</v>
      </c>
    </row>
    <row r="1487" spans="2:6" x14ac:dyDescent="0.35">
      <c r="B1487">
        <v>3500027358</v>
      </c>
      <c r="C1487">
        <v>10</v>
      </c>
      <c r="D1487" t="s">
        <v>4160</v>
      </c>
      <c r="E1487" t="s">
        <v>3200</v>
      </c>
      <c r="F1487" t="s">
        <v>4161</v>
      </c>
    </row>
    <row r="1488" spans="2:6" x14ac:dyDescent="0.35">
      <c r="B1488">
        <v>3500027317</v>
      </c>
      <c r="C1488">
        <v>10</v>
      </c>
      <c r="D1488" t="s">
        <v>2475</v>
      </c>
      <c r="E1488" t="s">
        <v>4113</v>
      </c>
      <c r="F1488" t="s">
        <v>4162</v>
      </c>
    </row>
    <row r="1489" spans="2:6" x14ac:dyDescent="0.35">
      <c r="B1489">
        <v>3500027154</v>
      </c>
      <c r="C1489">
        <v>20</v>
      </c>
      <c r="D1489" t="s">
        <v>1378</v>
      </c>
      <c r="E1489" t="s">
        <v>4039</v>
      </c>
      <c r="F1489" t="s">
        <v>4163</v>
      </c>
    </row>
    <row r="1490" spans="2:6" x14ac:dyDescent="0.35">
      <c r="B1490">
        <v>3500027154</v>
      </c>
      <c r="C1490">
        <v>10</v>
      </c>
      <c r="D1490" t="s">
        <v>1379</v>
      </c>
      <c r="E1490" t="s">
        <v>4039</v>
      </c>
      <c r="F1490" t="s">
        <v>4164</v>
      </c>
    </row>
    <row r="1491" spans="2:6" x14ac:dyDescent="0.35">
      <c r="B1491">
        <v>3500027151</v>
      </c>
      <c r="C1491">
        <v>10</v>
      </c>
      <c r="D1491" t="s">
        <v>4165</v>
      </c>
      <c r="E1491" t="s">
        <v>4166</v>
      </c>
      <c r="F1491" t="s">
        <v>4167</v>
      </c>
    </row>
    <row r="1492" spans="2:6" x14ac:dyDescent="0.35">
      <c r="B1492">
        <v>3500027062</v>
      </c>
      <c r="C1492">
        <v>10</v>
      </c>
      <c r="D1492" t="s">
        <v>4041</v>
      </c>
      <c r="E1492" t="s">
        <v>3952</v>
      </c>
      <c r="F1492" t="s">
        <v>4168</v>
      </c>
    </row>
    <row r="1493" spans="2:6" x14ac:dyDescent="0.35">
      <c r="B1493">
        <v>3500026843</v>
      </c>
      <c r="C1493">
        <v>30</v>
      </c>
      <c r="D1493" t="s">
        <v>4169</v>
      </c>
      <c r="E1493" t="s">
        <v>4039</v>
      </c>
      <c r="F1493" t="s">
        <v>4170</v>
      </c>
    </row>
    <row r="1494" spans="2:6" x14ac:dyDescent="0.35">
      <c r="B1494">
        <v>3500026843</v>
      </c>
      <c r="C1494">
        <v>20</v>
      </c>
      <c r="D1494" t="s">
        <v>54</v>
      </c>
      <c r="E1494" t="s">
        <v>4039</v>
      </c>
      <c r="F1494" t="s">
        <v>4171</v>
      </c>
    </row>
    <row r="1495" spans="2:6" x14ac:dyDescent="0.35">
      <c r="B1495">
        <v>3500026843</v>
      </c>
      <c r="C1495">
        <v>10</v>
      </c>
      <c r="D1495" t="s">
        <v>53</v>
      </c>
      <c r="E1495" t="s">
        <v>4039</v>
      </c>
      <c r="F1495" t="s">
        <v>4172</v>
      </c>
    </row>
    <row r="1496" spans="2:6" x14ac:dyDescent="0.35">
      <c r="B1496">
        <v>3500026753</v>
      </c>
      <c r="C1496">
        <v>10</v>
      </c>
      <c r="D1496" t="s">
        <v>4173</v>
      </c>
      <c r="E1496" t="s">
        <v>4039</v>
      </c>
      <c r="F1496" t="s">
        <v>4174</v>
      </c>
    </row>
    <row r="1497" spans="2:6" x14ac:dyDescent="0.35">
      <c r="B1497">
        <v>3500026052</v>
      </c>
      <c r="C1497">
        <v>20</v>
      </c>
      <c r="D1497" t="s">
        <v>4175</v>
      </c>
      <c r="E1497" t="s">
        <v>4176</v>
      </c>
      <c r="F1497" t="s">
        <v>4177</v>
      </c>
    </row>
    <row r="1498" spans="2:6" x14ac:dyDescent="0.35">
      <c r="B1498">
        <v>3500025958</v>
      </c>
      <c r="C1498">
        <v>10</v>
      </c>
      <c r="D1498" t="s">
        <v>2475</v>
      </c>
      <c r="E1498" t="s">
        <v>4039</v>
      </c>
      <c r="F1498" t="s">
        <v>4178</v>
      </c>
    </row>
    <row r="1499" spans="2:6" x14ac:dyDescent="0.35">
      <c r="B1499">
        <v>3500025951</v>
      </c>
      <c r="C1499">
        <v>20</v>
      </c>
      <c r="D1499" t="s">
        <v>4179</v>
      </c>
      <c r="E1499" t="s">
        <v>4039</v>
      </c>
      <c r="F1499" t="s">
        <v>4180</v>
      </c>
    </row>
    <row r="1500" spans="2:6" x14ac:dyDescent="0.35">
      <c r="B1500">
        <v>3500025847</v>
      </c>
      <c r="C1500">
        <v>10</v>
      </c>
      <c r="D1500" t="s">
        <v>2506</v>
      </c>
      <c r="E1500" t="s">
        <v>4039</v>
      </c>
      <c r="F1500" t="s">
        <v>4181</v>
      </c>
    </row>
    <row r="1501" spans="2:6" x14ac:dyDescent="0.35">
      <c r="B1501">
        <v>3500025773</v>
      </c>
      <c r="C1501">
        <v>10</v>
      </c>
      <c r="D1501" t="s">
        <v>4182</v>
      </c>
      <c r="E1501" t="s">
        <v>4039</v>
      </c>
      <c r="F1501" t="s">
        <v>4183</v>
      </c>
    </row>
    <row r="1502" spans="2:6" x14ac:dyDescent="0.35">
      <c r="B1502">
        <v>3500025687</v>
      </c>
      <c r="C1502">
        <v>10</v>
      </c>
      <c r="D1502" t="s">
        <v>2506</v>
      </c>
      <c r="E1502" t="s">
        <v>4039</v>
      </c>
      <c r="F1502" t="s">
        <v>4184</v>
      </c>
    </row>
    <row r="1503" spans="2:6" x14ac:dyDescent="0.35">
      <c r="B1503">
        <v>3500025410</v>
      </c>
      <c r="C1503">
        <v>10</v>
      </c>
      <c r="D1503" t="s">
        <v>2475</v>
      </c>
      <c r="E1503" t="s">
        <v>4039</v>
      </c>
      <c r="F1503" t="s">
        <v>4185</v>
      </c>
    </row>
    <row r="1504" spans="2:6" x14ac:dyDescent="0.35">
      <c r="B1504">
        <v>3500025271</v>
      </c>
      <c r="C1504">
        <v>10</v>
      </c>
      <c r="D1504" t="s">
        <v>4186</v>
      </c>
      <c r="E1504" t="s">
        <v>4039</v>
      </c>
      <c r="F1504" t="s">
        <v>4187</v>
      </c>
    </row>
    <row r="1505" spans="2:6" x14ac:dyDescent="0.35">
      <c r="B1505">
        <v>3500025230</v>
      </c>
      <c r="C1505">
        <v>70</v>
      </c>
      <c r="D1505" t="s">
        <v>3345</v>
      </c>
      <c r="E1505" t="s">
        <v>4044</v>
      </c>
      <c r="F1505" t="s">
        <v>4188</v>
      </c>
    </row>
    <row r="1506" spans="2:6" x14ac:dyDescent="0.35">
      <c r="B1506">
        <v>3500025230</v>
      </c>
      <c r="C1506">
        <v>320</v>
      </c>
      <c r="D1506" t="s">
        <v>2595</v>
      </c>
      <c r="E1506" t="s">
        <v>4044</v>
      </c>
      <c r="F1506" t="s">
        <v>4189</v>
      </c>
    </row>
    <row r="1507" spans="2:6" x14ac:dyDescent="0.35">
      <c r="B1507">
        <v>3500025230</v>
      </c>
      <c r="C1507">
        <v>310</v>
      </c>
      <c r="D1507" t="s">
        <v>2553</v>
      </c>
      <c r="E1507" t="s">
        <v>4044</v>
      </c>
      <c r="F1507" t="s">
        <v>4190</v>
      </c>
    </row>
    <row r="1508" spans="2:6" x14ac:dyDescent="0.35">
      <c r="B1508">
        <v>3500025230</v>
      </c>
      <c r="C1508">
        <v>300</v>
      </c>
      <c r="D1508" t="s">
        <v>2616</v>
      </c>
      <c r="E1508" t="s">
        <v>4044</v>
      </c>
      <c r="F1508" t="s">
        <v>4191</v>
      </c>
    </row>
    <row r="1509" spans="2:6" x14ac:dyDescent="0.35">
      <c r="B1509">
        <v>3500025208</v>
      </c>
      <c r="C1509">
        <v>10</v>
      </c>
      <c r="D1509" t="s">
        <v>2607</v>
      </c>
      <c r="E1509" t="s">
        <v>4039</v>
      </c>
      <c r="F1509" t="s">
        <v>4192</v>
      </c>
    </row>
    <row r="1510" spans="2:6" x14ac:dyDescent="0.35">
      <c r="B1510">
        <v>3500025072</v>
      </c>
      <c r="C1510">
        <v>70</v>
      </c>
      <c r="D1510" t="s">
        <v>4046</v>
      </c>
      <c r="E1510" t="s">
        <v>4039</v>
      </c>
      <c r="F1510" t="s">
        <v>4193</v>
      </c>
    </row>
    <row r="1511" spans="2:6" x14ac:dyDescent="0.35">
      <c r="B1511">
        <v>3500024866</v>
      </c>
      <c r="C1511">
        <v>10</v>
      </c>
      <c r="D1511" t="s">
        <v>4194</v>
      </c>
      <c r="E1511" t="s">
        <v>4039</v>
      </c>
      <c r="F1511" t="s">
        <v>4195</v>
      </c>
    </row>
    <row r="1512" spans="2:6" x14ac:dyDescent="0.35">
      <c r="B1512">
        <v>3500024858</v>
      </c>
      <c r="C1512">
        <v>10</v>
      </c>
      <c r="D1512" t="s">
        <v>4196</v>
      </c>
      <c r="E1512" t="s">
        <v>4039</v>
      </c>
      <c r="F1512" t="s">
        <v>4197</v>
      </c>
    </row>
    <row r="1513" spans="2:6" x14ac:dyDescent="0.35">
      <c r="B1513">
        <v>3500024854</v>
      </c>
      <c r="C1513">
        <v>20</v>
      </c>
      <c r="D1513" t="s">
        <v>4198</v>
      </c>
      <c r="E1513" t="s">
        <v>4039</v>
      </c>
      <c r="F1513" t="s">
        <v>4199</v>
      </c>
    </row>
    <row r="1514" spans="2:6" x14ac:dyDescent="0.35">
      <c r="B1514">
        <v>3500024854</v>
      </c>
      <c r="C1514">
        <v>10</v>
      </c>
      <c r="D1514" t="s">
        <v>4200</v>
      </c>
      <c r="E1514" t="s">
        <v>4039</v>
      </c>
      <c r="F1514" t="s">
        <v>4201</v>
      </c>
    </row>
    <row r="1515" spans="2:6" x14ac:dyDescent="0.35">
      <c r="B1515">
        <v>3500024853</v>
      </c>
      <c r="C1515">
        <v>10</v>
      </c>
      <c r="D1515" t="s">
        <v>4202</v>
      </c>
      <c r="E1515" t="s">
        <v>4039</v>
      </c>
      <c r="F1515" t="s">
        <v>4203</v>
      </c>
    </row>
    <row r="1516" spans="2:6" x14ac:dyDescent="0.35">
      <c r="B1516">
        <v>3500024829</v>
      </c>
      <c r="C1516">
        <v>10</v>
      </c>
      <c r="D1516" t="s">
        <v>4204</v>
      </c>
      <c r="E1516" t="s">
        <v>4039</v>
      </c>
      <c r="F1516" t="s">
        <v>4205</v>
      </c>
    </row>
    <row r="1517" spans="2:6" x14ac:dyDescent="0.35">
      <c r="B1517">
        <v>3500024581</v>
      </c>
      <c r="C1517">
        <v>80</v>
      </c>
      <c r="D1517" t="s">
        <v>4206</v>
      </c>
      <c r="E1517" t="s">
        <v>4039</v>
      </c>
      <c r="F1517" t="s">
        <v>4207</v>
      </c>
    </row>
    <row r="1518" spans="2:6" x14ac:dyDescent="0.35">
      <c r="B1518">
        <v>3500024581</v>
      </c>
      <c r="C1518">
        <v>70</v>
      </c>
      <c r="D1518" t="s">
        <v>4208</v>
      </c>
      <c r="E1518" t="s">
        <v>4039</v>
      </c>
      <c r="F1518" t="s">
        <v>4209</v>
      </c>
    </row>
    <row r="1519" spans="2:6" x14ac:dyDescent="0.35">
      <c r="B1519">
        <v>3500024581</v>
      </c>
      <c r="C1519">
        <v>60</v>
      </c>
      <c r="D1519" t="s">
        <v>4210</v>
      </c>
      <c r="E1519" t="s">
        <v>4039</v>
      </c>
      <c r="F1519" t="s">
        <v>4211</v>
      </c>
    </row>
    <row r="1520" spans="2:6" x14ac:dyDescent="0.35">
      <c r="B1520">
        <v>3500024581</v>
      </c>
      <c r="C1520">
        <v>50</v>
      </c>
      <c r="D1520" t="s">
        <v>4212</v>
      </c>
      <c r="E1520" t="s">
        <v>4039</v>
      </c>
      <c r="F1520" t="s">
        <v>4213</v>
      </c>
    </row>
    <row r="1521" spans="2:6" x14ac:dyDescent="0.35">
      <c r="B1521">
        <v>3500024581</v>
      </c>
      <c r="C1521">
        <v>40</v>
      </c>
      <c r="D1521" t="s">
        <v>4214</v>
      </c>
      <c r="E1521" t="s">
        <v>4039</v>
      </c>
      <c r="F1521" t="s">
        <v>4215</v>
      </c>
    </row>
    <row r="1522" spans="2:6" x14ac:dyDescent="0.35">
      <c r="B1522">
        <v>3500024581</v>
      </c>
      <c r="C1522">
        <v>30</v>
      </c>
      <c r="D1522" t="s">
        <v>4216</v>
      </c>
      <c r="E1522" t="s">
        <v>4039</v>
      </c>
      <c r="F1522" t="s">
        <v>4217</v>
      </c>
    </row>
    <row r="1523" spans="2:6" x14ac:dyDescent="0.35">
      <c r="B1523">
        <v>3500024581</v>
      </c>
      <c r="C1523">
        <v>20</v>
      </c>
      <c r="D1523" t="s">
        <v>4218</v>
      </c>
      <c r="E1523" t="s">
        <v>4039</v>
      </c>
      <c r="F1523" t="s">
        <v>4219</v>
      </c>
    </row>
    <row r="1524" spans="2:6" x14ac:dyDescent="0.35">
      <c r="B1524">
        <v>3500024581</v>
      </c>
      <c r="C1524">
        <v>10</v>
      </c>
      <c r="D1524" t="s">
        <v>4220</v>
      </c>
      <c r="E1524" t="s">
        <v>4039</v>
      </c>
      <c r="F1524" t="s">
        <v>4221</v>
      </c>
    </row>
    <row r="1525" spans="2:6" x14ac:dyDescent="0.35">
      <c r="B1525">
        <v>3500024580</v>
      </c>
      <c r="C1525">
        <v>30</v>
      </c>
      <c r="D1525" t="s">
        <v>3784</v>
      </c>
      <c r="E1525" t="s">
        <v>4039</v>
      </c>
      <c r="F1525" t="s">
        <v>4222</v>
      </c>
    </row>
    <row r="1526" spans="2:6" x14ac:dyDescent="0.35">
      <c r="B1526">
        <v>3500024580</v>
      </c>
      <c r="C1526">
        <v>20</v>
      </c>
      <c r="D1526" t="s">
        <v>2545</v>
      </c>
      <c r="E1526" t="s">
        <v>4039</v>
      </c>
      <c r="F1526" t="s">
        <v>4223</v>
      </c>
    </row>
    <row r="1527" spans="2:6" x14ac:dyDescent="0.35">
      <c r="B1527">
        <v>3500024580</v>
      </c>
      <c r="C1527">
        <v>10</v>
      </c>
      <c r="D1527" t="s">
        <v>2805</v>
      </c>
      <c r="E1527" t="s">
        <v>4039</v>
      </c>
      <c r="F1527" t="s">
        <v>4224</v>
      </c>
    </row>
    <row r="1528" spans="2:6" x14ac:dyDescent="0.35">
      <c r="B1528">
        <v>3500024414</v>
      </c>
      <c r="C1528">
        <v>30</v>
      </c>
      <c r="D1528" t="s">
        <v>4225</v>
      </c>
      <c r="E1528" t="s">
        <v>4039</v>
      </c>
      <c r="F1528" t="s">
        <v>4226</v>
      </c>
    </row>
    <row r="1529" spans="2:6" x14ac:dyDescent="0.35">
      <c r="B1529">
        <v>3500024414</v>
      </c>
      <c r="C1529">
        <v>20</v>
      </c>
      <c r="D1529" t="s">
        <v>3692</v>
      </c>
      <c r="E1529" t="s">
        <v>4039</v>
      </c>
      <c r="F1529" t="s">
        <v>4227</v>
      </c>
    </row>
    <row r="1530" spans="2:6" x14ac:dyDescent="0.35">
      <c r="B1530">
        <v>3500024414</v>
      </c>
      <c r="C1530">
        <v>10</v>
      </c>
      <c r="D1530" t="s">
        <v>3119</v>
      </c>
      <c r="E1530" t="s">
        <v>4039</v>
      </c>
      <c r="F1530" t="s">
        <v>4228</v>
      </c>
    </row>
    <row r="1531" spans="2:6" x14ac:dyDescent="0.35">
      <c r="B1531">
        <v>3500024350</v>
      </c>
      <c r="C1531">
        <v>10</v>
      </c>
      <c r="D1531" t="s">
        <v>4229</v>
      </c>
      <c r="E1531" t="s">
        <v>4039</v>
      </c>
      <c r="F1531" t="s">
        <v>4230</v>
      </c>
    </row>
    <row r="1532" spans="2:6" x14ac:dyDescent="0.35">
      <c r="B1532">
        <v>3500024348</v>
      </c>
      <c r="C1532">
        <v>10</v>
      </c>
      <c r="D1532" t="s">
        <v>4231</v>
      </c>
      <c r="E1532" t="s">
        <v>4039</v>
      </c>
      <c r="F1532" t="s">
        <v>4232</v>
      </c>
    </row>
    <row r="1533" spans="2:6" x14ac:dyDescent="0.35">
      <c r="B1533">
        <v>3500024168</v>
      </c>
      <c r="C1533">
        <v>20</v>
      </c>
      <c r="D1533" t="s">
        <v>4233</v>
      </c>
      <c r="E1533" t="s">
        <v>4039</v>
      </c>
      <c r="F1533" t="s">
        <v>4234</v>
      </c>
    </row>
    <row r="1534" spans="2:6" x14ac:dyDescent="0.35">
      <c r="B1534">
        <v>3500023917</v>
      </c>
      <c r="C1534">
        <v>10</v>
      </c>
      <c r="D1534" t="s">
        <v>4235</v>
      </c>
      <c r="E1534" t="s">
        <v>4039</v>
      </c>
      <c r="F1534" t="s">
        <v>4236</v>
      </c>
    </row>
    <row r="1535" spans="2:6" x14ac:dyDescent="0.35">
      <c r="B1535">
        <v>3500023915</v>
      </c>
      <c r="C1535">
        <v>10</v>
      </c>
      <c r="D1535" t="s">
        <v>2972</v>
      </c>
      <c r="E1535" t="s">
        <v>4039</v>
      </c>
      <c r="F1535" t="s">
        <v>4237</v>
      </c>
    </row>
    <row r="1536" spans="2:6" x14ac:dyDescent="0.35">
      <c r="B1536">
        <v>3500023778</v>
      </c>
      <c r="C1536">
        <v>10</v>
      </c>
      <c r="D1536" t="s">
        <v>4238</v>
      </c>
      <c r="E1536" t="s">
        <v>4039</v>
      </c>
      <c r="F1536" t="s">
        <v>4239</v>
      </c>
    </row>
    <row r="1537" spans="2:6" x14ac:dyDescent="0.35">
      <c r="B1537">
        <v>3500023719</v>
      </c>
      <c r="C1537">
        <v>10</v>
      </c>
      <c r="D1537" t="s">
        <v>4240</v>
      </c>
      <c r="E1537" t="s">
        <v>4039</v>
      </c>
      <c r="F1537" t="s">
        <v>4241</v>
      </c>
    </row>
    <row r="1538" spans="2:6" x14ac:dyDescent="0.35">
      <c r="B1538">
        <v>3500023476</v>
      </c>
      <c r="C1538">
        <v>90</v>
      </c>
      <c r="D1538" t="s">
        <v>4242</v>
      </c>
      <c r="E1538" t="s">
        <v>4039</v>
      </c>
      <c r="F1538" t="s">
        <v>4243</v>
      </c>
    </row>
    <row r="1539" spans="2:6" x14ac:dyDescent="0.35">
      <c r="B1539">
        <v>3500023476</v>
      </c>
      <c r="C1539">
        <v>80</v>
      </c>
      <c r="D1539" t="s">
        <v>4244</v>
      </c>
      <c r="E1539" t="s">
        <v>4039</v>
      </c>
      <c r="F1539" t="s">
        <v>4245</v>
      </c>
    </row>
    <row r="1540" spans="2:6" x14ac:dyDescent="0.35">
      <c r="B1540">
        <v>3500023476</v>
      </c>
      <c r="C1540">
        <v>120</v>
      </c>
      <c r="D1540" t="s">
        <v>4246</v>
      </c>
      <c r="E1540" t="s">
        <v>4039</v>
      </c>
      <c r="F1540" t="s">
        <v>4247</v>
      </c>
    </row>
    <row r="1541" spans="2:6" x14ac:dyDescent="0.35">
      <c r="B1541">
        <v>3500023476</v>
      </c>
      <c r="C1541">
        <v>110</v>
      </c>
      <c r="D1541" t="s">
        <v>4248</v>
      </c>
      <c r="E1541" t="s">
        <v>4039</v>
      </c>
      <c r="F1541" t="s">
        <v>4249</v>
      </c>
    </row>
    <row r="1542" spans="2:6" x14ac:dyDescent="0.35">
      <c r="B1542">
        <v>3500023476</v>
      </c>
      <c r="C1542">
        <v>100</v>
      </c>
      <c r="D1542" t="s">
        <v>4250</v>
      </c>
      <c r="E1542" t="s">
        <v>4039</v>
      </c>
      <c r="F1542" t="s">
        <v>4251</v>
      </c>
    </row>
    <row r="1543" spans="2:6" x14ac:dyDescent="0.35">
      <c r="B1543">
        <v>3500023449</v>
      </c>
      <c r="C1543">
        <v>90</v>
      </c>
      <c r="D1543" t="s">
        <v>4252</v>
      </c>
      <c r="E1543" t="s">
        <v>4039</v>
      </c>
      <c r="F1543" t="s">
        <v>4253</v>
      </c>
    </row>
    <row r="1544" spans="2:6" x14ac:dyDescent="0.35">
      <c r="B1544">
        <v>3500023449</v>
      </c>
      <c r="C1544">
        <v>80</v>
      </c>
      <c r="D1544" t="s">
        <v>4254</v>
      </c>
      <c r="E1544" t="s">
        <v>4039</v>
      </c>
      <c r="F1544" t="s">
        <v>4255</v>
      </c>
    </row>
    <row r="1545" spans="2:6" x14ac:dyDescent="0.35">
      <c r="B1545">
        <v>3500023449</v>
      </c>
      <c r="C1545">
        <v>70</v>
      </c>
      <c r="D1545" t="s">
        <v>4256</v>
      </c>
      <c r="E1545" t="s">
        <v>4039</v>
      </c>
      <c r="F1545" t="s">
        <v>4257</v>
      </c>
    </row>
    <row r="1546" spans="2:6" x14ac:dyDescent="0.35">
      <c r="B1546">
        <v>3500023449</v>
      </c>
      <c r="C1546">
        <v>60</v>
      </c>
      <c r="D1546" t="s">
        <v>4258</v>
      </c>
      <c r="E1546" t="s">
        <v>4039</v>
      </c>
      <c r="F1546" t="s">
        <v>4259</v>
      </c>
    </row>
    <row r="1547" spans="2:6" x14ac:dyDescent="0.35">
      <c r="B1547">
        <v>3500023449</v>
      </c>
      <c r="C1547">
        <v>50</v>
      </c>
      <c r="D1547" t="s">
        <v>4260</v>
      </c>
      <c r="E1547" t="s">
        <v>4039</v>
      </c>
      <c r="F1547" t="s">
        <v>4261</v>
      </c>
    </row>
    <row r="1548" spans="2:6" x14ac:dyDescent="0.35">
      <c r="B1548">
        <v>3500023449</v>
      </c>
      <c r="C1548">
        <v>40</v>
      </c>
      <c r="D1548" t="s">
        <v>4262</v>
      </c>
      <c r="E1548" t="s">
        <v>4039</v>
      </c>
      <c r="F1548" t="s">
        <v>4263</v>
      </c>
    </row>
    <row r="1549" spans="2:6" x14ac:dyDescent="0.35">
      <c r="B1549">
        <v>3500023449</v>
      </c>
      <c r="C1549">
        <v>30</v>
      </c>
      <c r="D1549" t="s">
        <v>4264</v>
      </c>
      <c r="E1549" t="s">
        <v>4039</v>
      </c>
      <c r="F1549" t="s">
        <v>4265</v>
      </c>
    </row>
    <row r="1550" spans="2:6" x14ac:dyDescent="0.35">
      <c r="B1550">
        <v>3500023449</v>
      </c>
      <c r="C1550">
        <v>20</v>
      </c>
      <c r="D1550" t="s">
        <v>4266</v>
      </c>
      <c r="E1550" t="s">
        <v>4039</v>
      </c>
      <c r="F1550" t="s">
        <v>4267</v>
      </c>
    </row>
    <row r="1551" spans="2:6" x14ac:dyDescent="0.35">
      <c r="B1551">
        <v>3500023449</v>
      </c>
      <c r="C1551">
        <v>10</v>
      </c>
      <c r="D1551" t="s">
        <v>4268</v>
      </c>
      <c r="E1551" t="s">
        <v>4039</v>
      </c>
      <c r="F1551" t="s">
        <v>4269</v>
      </c>
    </row>
    <row r="1552" spans="2:6" x14ac:dyDescent="0.35">
      <c r="B1552">
        <v>3500023180</v>
      </c>
      <c r="C1552">
        <v>10</v>
      </c>
      <c r="D1552" t="s">
        <v>4270</v>
      </c>
      <c r="E1552" t="s">
        <v>4039</v>
      </c>
      <c r="F1552" t="s">
        <v>4271</v>
      </c>
    </row>
    <row r="1553" spans="2:6" x14ac:dyDescent="0.35">
      <c r="B1553">
        <v>3500022707</v>
      </c>
      <c r="C1553">
        <v>20</v>
      </c>
      <c r="D1553" t="s">
        <v>4272</v>
      </c>
      <c r="E1553" t="s">
        <v>4039</v>
      </c>
      <c r="F1553" t="s">
        <v>4273</v>
      </c>
    </row>
    <row r="1554" spans="2:6" x14ac:dyDescent="0.35">
      <c r="B1554">
        <v>3500022707</v>
      </c>
      <c r="C1554">
        <v>10</v>
      </c>
      <c r="D1554" t="s">
        <v>4274</v>
      </c>
      <c r="E1554" t="s">
        <v>4039</v>
      </c>
      <c r="F1554" t="s">
        <v>4275</v>
      </c>
    </row>
    <row r="1555" spans="2:6" x14ac:dyDescent="0.35">
      <c r="B1555">
        <v>3500022659</v>
      </c>
      <c r="C1555">
        <v>10</v>
      </c>
      <c r="D1555" t="s">
        <v>4276</v>
      </c>
      <c r="E1555" t="s">
        <v>4039</v>
      </c>
      <c r="F1555" t="s">
        <v>4277</v>
      </c>
    </row>
    <row r="1556" spans="2:6" x14ac:dyDescent="0.35">
      <c r="B1556">
        <v>3500022657</v>
      </c>
      <c r="C1556">
        <v>10</v>
      </c>
      <c r="D1556" t="s">
        <v>4278</v>
      </c>
      <c r="E1556" t="s">
        <v>4039</v>
      </c>
      <c r="F1556" t="s">
        <v>4279</v>
      </c>
    </row>
    <row r="1557" spans="2:6" x14ac:dyDescent="0.35">
      <c r="B1557">
        <v>3500022599</v>
      </c>
      <c r="C1557">
        <v>10</v>
      </c>
      <c r="D1557" t="s">
        <v>4280</v>
      </c>
      <c r="E1557" t="s">
        <v>4039</v>
      </c>
      <c r="F1557" t="s">
        <v>4281</v>
      </c>
    </row>
    <row r="1558" spans="2:6" x14ac:dyDescent="0.35">
      <c r="B1558">
        <v>3500022128</v>
      </c>
      <c r="C1558">
        <v>30</v>
      </c>
      <c r="D1558" t="s">
        <v>4282</v>
      </c>
      <c r="E1558" t="s">
        <v>4039</v>
      </c>
      <c r="F1558" t="s">
        <v>4283</v>
      </c>
    </row>
    <row r="1559" spans="2:6" x14ac:dyDescent="0.35">
      <c r="B1559">
        <v>3500022128</v>
      </c>
      <c r="C1559">
        <v>20</v>
      </c>
      <c r="D1559" t="s">
        <v>4284</v>
      </c>
      <c r="E1559" t="s">
        <v>4039</v>
      </c>
      <c r="F1559" t="s">
        <v>4285</v>
      </c>
    </row>
    <row r="1560" spans="2:6" x14ac:dyDescent="0.35">
      <c r="B1560">
        <v>3500022128</v>
      </c>
      <c r="C1560">
        <v>10</v>
      </c>
      <c r="D1560" t="s">
        <v>4286</v>
      </c>
      <c r="E1560" t="s">
        <v>4039</v>
      </c>
      <c r="F1560" t="s">
        <v>4287</v>
      </c>
    </row>
    <row r="1561" spans="2:6" x14ac:dyDescent="0.35">
      <c r="B1561">
        <v>3500021956</v>
      </c>
      <c r="C1561">
        <v>10</v>
      </c>
      <c r="D1561" t="s">
        <v>4288</v>
      </c>
      <c r="E1561" t="s">
        <v>4039</v>
      </c>
      <c r="F1561" t="s">
        <v>4289</v>
      </c>
    </row>
    <row r="1562" spans="2:6" x14ac:dyDescent="0.35">
      <c r="B1562">
        <v>3500021913</v>
      </c>
      <c r="C1562">
        <v>40</v>
      </c>
      <c r="D1562" t="s">
        <v>3137</v>
      </c>
      <c r="E1562" t="s">
        <v>4039</v>
      </c>
      <c r="F1562" t="s">
        <v>4290</v>
      </c>
    </row>
    <row r="1563" spans="2:6" x14ac:dyDescent="0.35">
      <c r="B1563">
        <v>3500021522</v>
      </c>
      <c r="C1563">
        <v>10</v>
      </c>
      <c r="D1563" t="s">
        <v>4291</v>
      </c>
      <c r="E1563" t="s">
        <v>4292</v>
      </c>
      <c r="F1563" t="s">
        <v>4293</v>
      </c>
    </row>
    <row r="1564" spans="2:6" x14ac:dyDescent="0.35">
      <c r="B1564">
        <v>3500021177</v>
      </c>
      <c r="C1564">
        <v>10</v>
      </c>
      <c r="D1564" t="s">
        <v>4294</v>
      </c>
      <c r="E1564" t="s">
        <v>4039</v>
      </c>
      <c r="F1564" t="s">
        <v>4295</v>
      </c>
    </row>
    <row r="1565" spans="2:6" x14ac:dyDescent="0.35">
      <c r="B1565">
        <v>3500021073</v>
      </c>
      <c r="C1565">
        <v>10</v>
      </c>
      <c r="D1565" t="s">
        <v>4296</v>
      </c>
      <c r="E1565" t="s">
        <v>4039</v>
      </c>
      <c r="F1565" t="s">
        <v>4297</v>
      </c>
    </row>
    <row r="1566" spans="2:6" x14ac:dyDescent="0.35">
      <c r="B1566">
        <v>3500021070</v>
      </c>
      <c r="C1566">
        <v>10</v>
      </c>
      <c r="D1566" t="s">
        <v>4296</v>
      </c>
      <c r="E1566" t="s">
        <v>4039</v>
      </c>
      <c r="F1566" t="s">
        <v>4298</v>
      </c>
    </row>
    <row r="1567" spans="2:6" x14ac:dyDescent="0.35">
      <c r="B1567">
        <v>3500020902</v>
      </c>
      <c r="C1567">
        <v>10</v>
      </c>
      <c r="D1567" t="s">
        <v>4299</v>
      </c>
      <c r="E1567" t="s">
        <v>4039</v>
      </c>
      <c r="F1567" t="s">
        <v>4300</v>
      </c>
    </row>
    <row r="1568" spans="2:6" x14ac:dyDescent="0.35">
      <c r="B1568">
        <v>3500020227</v>
      </c>
      <c r="C1568">
        <v>10</v>
      </c>
      <c r="D1568" t="s">
        <v>2889</v>
      </c>
      <c r="E1568" t="s">
        <v>4039</v>
      </c>
      <c r="F1568" t="s">
        <v>4301</v>
      </c>
    </row>
    <row r="1569" spans="2:6" x14ac:dyDescent="0.35">
      <c r="B1569">
        <v>3500020158</v>
      </c>
      <c r="C1569">
        <v>20</v>
      </c>
      <c r="D1569" t="s">
        <v>4302</v>
      </c>
      <c r="E1569" t="s">
        <v>3200</v>
      </c>
      <c r="F1569" t="s">
        <v>4303</v>
      </c>
    </row>
    <row r="1570" spans="2:6" x14ac:dyDescent="0.35">
      <c r="B1570">
        <v>3500019917</v>
      </c>
      <c r="C1570">
        <v>10</v>
      </c>
      <c r="D1570" t="s">
        <v>4304</v>
      </c>
      <c r="E1570" t="s">
        <v>4039</v>
      </c>
      <c r="F1570" t="s">
        <v>4305</v>
      </c>
    </row>
    <row r="1571" spans="2:6" x14ac:dyDescent="0.35">
      <c r="B1571">
        <v>3500019916</v>
      </c>
      <c r="C1571">
        <v>10</v>
      </c>
      <c r="D1571" t="s">
        <v>1379</v>
      </c>
      <c r="E1571" t="s">
        <v>4039</v>
      </c>
      <c r="F1571" t="s">
        <v>4306</v>
      </c>
    </row>
    <row r="1572" spans="2:6" x14ac:dyDescent="0.35">
      <c r="B1572">
        <v>3500019849</v>
      </c>
      <c r="C1572">
        <v>10</v>
      </c>
      <c r="D1572" t="s">
        <v>4307</v>
      </c>
      <c r="E1572" t="s">
        <v>4039</v>
      </c>
      <c r="F1572" t="s">
        <v>4308</v>
      </c>
    </row>
    <row r="1573" spans="2:6" x14ac:dyDescent="0.35">
      <c r="B1573">
        <v>3500019788</v>
      </c>
      <c r="C1573">
        <v>100</v>
      </c>
      <c r="D1573" t="s">
        <v>4309</v>
      </c>
      <c r="E1573" t="s">
        <v>4310</v>
      </c>
      <c r="F1573" t="s">
        <v>4311</v>
      </c>
    </row>
    <row r="1574" spans="2:6" x14ac:dyDescent="0.35">
      <c r="B1574">
        <v>3500019750</v>
      </c>
      <c r="C1574">
        <v>30</v>
      </c>
      <c r="D1574" t="s">
        <v>4312</v>
      </c>
      <c r="E1574" t="s">
        <v>4039</v>
      </c>
      <c r="F1574" t="s">
        <v>4313</v>
      </c>
    </row>
    <row r="1575" spans="2:6" x14ac:dyDescent="0.35">
      <c r="B1575">
        <v>3500019750</v>
      </c>
      <c r="C1575">
        <v>20</v>
      </c>
      <c r="D1575" t="s">
        <v>4314</v>
      </c>
      <c r="E1575" t="s">
        <v>4039</v>
      </c>
      <c r="F1575" t="s">
        <v>4315</v>
      </c>
    </row>
    <row r="1576" spans="2:6" x14ac:dyDescent="0.35">
      <c r="B1576">
        <v>3500019750</v>
      </c>
      <c r="C1576">
        <v>10</v>
      </c>
      <c r="D1576" t="s">
        <v>4316</v>
      </c>
      <c r="E1576" t="s">
        <v>4039</v>
      </c>
      <c r="F1576" t="s">
        <v>4317</v>
      </c>
    </row>
    <row r="1577" spans="2:6" x14ac:dyDescent="0.35">
      <c r="B1577">
        <v>3500019484</v>
      </c>
      <c r="C1577">
        <v>10</v>
      </c>
      <c r="D1577" t="s">
        <v>4318</v>
      </c>
      <c r="E1577" t="s">
        <v>4039</v>
      </c>
      <c r="F1577" t="s">
        <v>4319</v>
      </c>
    </row>
    <row r="1578" spans="2:6" x14ac:dyDescent="0.35">
      <c r="B1578">
        <v>3500019046</v>
      </c>
      <c r="C1578">
        <v>10</v>
      </c>
      <c r="D1578" t="s">
        <v>4320</v>
      </c>
      <c r="E1578" t="s">
        <v>4039</v>
      </c>
      <c r="F1578" t="s">
        <v>4321</v>
      </c>
    </row>
    <row r="1579" spans="2:6" x14ac:dyDescent="0.35">
      <c r="B1579">
        <v>3500019031</v>
      </c>
      <c r="C1579">
        <v>10</v>
      </c>
      <c r="D1579" t="s">
        <v>4322</v>
      </c>
      <c r="E1579" t="s">
        <v>4039</v>
      </c>
      <c r="F1579" t="s">
        <v>4323</v>
      </c>
    </row>
    <row r="1580" spans="2:6" x14ac:dyDescent="0.35">
      <c r="B1580">
        <v>3500019026</v>
      </c>
      <c r="C1580">
        <v>90</v>
      </c>
      <c r="D1580" t="s">
        <v>4324</v>
      </c>
      <c r="E1580" t="s">
        <v>4039</v>
      </c>
      <c r="F1580" t="s">
        <v>4325</v>
      </c>
    </row>
    <row r="1581" spans="2:6" x14ac:dyDescent="0.35">
      <c r="B1581">
        <v>3500019026</v>
      </c>
      <c r="C1581">
        <v>80</v>
      </c>
      <c r="D1581" t="s">
        <v>4326</v>
      </c>
      <c r="E1581" t="s">
        <v>4039</v>
      </c>
      <c r="F1581" t="s">
        <v>4327</v>
      </c>
    </row>
    <row r="1582" spans="2:6" x14ac:dyDescent="0.35">
      <c r="B1582">
        <v>3500019026</v>
      </c>
      <c r="C1582">
        <v>70</v>
      </c>
      <c r="D1582" t="s">
        <v>4328</v>
      </c>
      <c r="E1582" t="s">
        <v>4039</v>
      </c>
      <c r="F1582" t="s">
        <v>4329</v>
      </c>
    </row>
    <row r="1583" spans="2:6" x14ac:dyDescent="0.35">
      <c r="B1583">
        <v>3500019026</v>
      </c>
      <c r="C1583">
        <v>60</v>
      </c>
      <c r="D1583" t="s">
        <v>4330</v>
      </c>
      <c r="E1583" t="s">
        <v>4039</v>
      </c>
      <c r="F1583" t="s">
        <v>4331</v>
      </c>
    </row>
    <row r="1584" spans="2:6" x14ac:dyDescent="0.35">
      <c r="B1584">
        <v>3500019026</v>
      </c>
      <c r="C1584">
        <v>50</v>
      </c>
      <c r="D1584" t="s">
        <v>4332</v>
      </c>
      <c r="E1584" t="s">
        <v>4039</v>
      </c>
      <c r="F1584" t="s">
        <v>4333</v>
      </c>
    </row>
    <row r="1585" spans="2:6" x14ac:dyDescent="0.35">
      <c r="B1585">
        <v>3500019026</v>
      </c>
      <c r="C1585">
        <v>40</v>
      </c>
      <c r="D1585" t="s">
        <v>4334</v>
      </c>
      <c r="E1585" t="s">
        <v>4039</v>
      </c>
      <c r="F1585" t="s">
        <v>4335</v>
      </c>
    </row>
    <row r="1586" spans="2:6" x14ac:dyDescent="0.35">
      <c r="B1586">
        <v>3500019026</v>
      </c>
      <c r="C1586">
        <v>30</v>
      </c>
      <c r="D1586" t="s">
        <v>4336</v>
      </c>
      <c r="E1586" t="s">
        <v>4039</v>
      </c>
      <c r="F1586" t="s">
        <v>4337</v>
      </c>
    </row>
    <row r="1587" spans="2:6" x14ac:dyDescent="0.35">
      <c r="B1587">
        <v>3500019026</v>
      </c>
      <c r="C1587">
        <v>20</v>
      </c>
      <c r="D1587" t="s">
        <v>4338</v>
      </c>
      <c r="E1587" t="s">
        <v>4039</v>
      </c>
      <c r="F1587" t="s">
        <v>4339</v>
      </c>
    </row>
    <row r="1588" spans="2:6" x14ac:dyDescent="0.35">
      <c r="B1588">
        <v>3500019026</v>
      </c>
      <c r="C1588">
        <v>120</v>
      </c>
      <c r="D1588" t="s">
        <v>4340</v>
      </c>
      <c r="E1588" t="s">
        <v>4039</v>
      </c>
      <c r="F1588" t="s">
        <v>4341</v>
      </c>
    </row>
    <row r="1589" spans="2:6" x14ac:dyDescent="0.35">
      <c r="B1589">
        <v>3500019026</v>
      </c>
      <c r="C1589">
        <v>110</v>
      </c>
      <c r="D1589" t="s">
        <v>4342</v>
      </c>
      <c r="E1589" t="s">
        <v>4039</v>
      </c>
      <c r="F1589" t="s">
        <v>4343</v>
      </c>
    </row>
    <row r="1590" spans="2:6" x14ac:dyDescent="0.35">
      <c r="B1590">
        <v>3500019026</v>
      </c>
      <c r="C1590">
        <v>100</v>
      </c>
      <c r="D1590" t="s">
        <v>4344</v>
      </c>
      <c r="E1590" t="s">
        <v>4039</v>
      </c>
      <c r="F1590" t="s">
        <v>4345</v>
      </c>
    </row>
    <row r="1591" spans="2:6" x14ac:dyDescent="0.35">
      <c r="B1591">
        <v>3500019026</v>
      </c>
      <c r="C1591">
        <v>10</v>
      </c>
      <c r="D1591" t="s">
        <v>4346</v>
      </c>
      <c r="E1591" t="s">
        <v>4039</v>
      </c>
      <c r="F1591" t="s">
        <v>4347</v>
      </c>
    </row>
    <row r="1592" spans="2:6" x14ac:dyDescent="0.35">
      <c r="B1592">
        <v>3500018350</v>
      </c>
      <c r="C1592">
        <v>30</v>
      </c>
      <c r="D1592" t="s">
        <v>4348</v>
      </c>
      <c r="E1592" t="s">
        <v>4039</v>
      </c>
      <c r="F1592" t="s">
        <v>4349</v>
      </c>
    </row>
    <row r="1593" spans="2:6" x14ac:dyDescent="0.35">
      <c r="B1593">
        <v>3500018350</v>
      </c>
      <c r="C1593">
        <v>20</v>
      </c>
      <c r="D1593" t="s">
        <v>4350</v>
      </c>
      <c r="E1593" t="s">
        <v>4039</v>
      </c>
      <c r="F1593" t="s">
        <v>4351</v>
      </c>
    </row>
    <row r="1594" spans="2:6" x14ac:dyDescent="0.35">
      <c r="B1594">
        <v>3500018350</v>
      </c>
      <c r="C1594">
        <v>10</v>
      </c>
      <c r="D1594" t="s">
        <v>4350</v>
      </c>
      <c r="E1594" t="s">
        <v>4039</v>
      </c>
      <c r="F1594" t="s">
        <v>4351</v>
      </c>
    </row>
    <row r="1595" spans="2:6" x14ac:dyDescent="0.35">
      <c r="B1595">
        <v>3500018326</v>
      </c>
      <c r="C1595">
        <v>10</v>
      </c>
      <c r="D1595" t="s">
        <v>2475</v>
      </c>
      <c r="E1595" t="s">
        <v>4039</v>
      </c>
      <c r="F1595" t="s">
        <v>4352</v>
      </c>
    </row>
    <row r="1596" spans="2:6" x14ac:dyDescent="0.35">
      <c r="B1596">
        <v>3500018308</v>
      </c>
      <c r="C1596">
        <v>20</v>
      </c>
      <c r="D1596" t="s">
        <v>3677</v>
      </c>
      <c r="E1596" t="s">
        <v>4039</v>
      </c>
      <c r="F1596" t="s">
        <v>4353</v>
      </c>
    </row>
    <row r="1597" spans="2:6" x14ac:dyDescent="0.35">
      <c r="B1597">
        <v>3500018308</v>
      </c>
      <c r="C1597">
        <v>10</v>
      </c>
      <c r="D1597" t="s">
        <v>4354</v>
      </c>
      <c r="E1597" t="s">
        <v>4039</v>
      </c>
      <c r="F1597" t="s">
        <v>4355</v>
      </c>
    </row>
    <row r="1598" spans="2:6" x14ac:dyDescent="0.35">
      <c r="B1598">
        <v>3500018170</v>
      </c>
      <c r="C1598">
        <v>20</v>
      </c>
      <c r="D1598" t="s">
        <v>4356</v>
      </c>
      <c r="E1598" t="s">
        <v>4039</v>
      </c>
      <c r="F1598" t="s">
        <v>4357</v>
      </c>
    </row>
    <row r="1599" spans="2:6" x14ac:dyDescent="0.35">
      <c r="B1599">
        <v>3500018170</v>
      </c>
      <c r="C1599">
        <v>10</v>
      </c>
      <c r="D1599" t="s">
        <v>3684</v>
      </c>
      <c r="E1599" t="s">
        <v>4039</v>
      </c>
      <c r="F1599" t="s">
        <v>4358</v>
      </c>
    </row>
    <row r="1600" spans="2:6" x14ac:dyDescent="0.35">
      <c r="B1600">
        <v>3500017893</v>
      </c>
      <c r="C1600">
        <v>30</v>
      </c>
      <c r="D1600" t="s">
        <v>4359</v>
      </c>
      <c r="E1600" t="s">
        <v>4039</v>
      </c>
      <c r="F1600" t="s">
        <v>4360</v>
      </c>
    </row>
    <row r="1601" spans="2:6" x14ac:dyDescent="0.35">
      <c r="B1601">
        <v>3500017893</v>
      </c>
      <c r="C1601">
        <v>20</v>
      </c>
      <c r="D1601" t="s">
        <v>4361</v>
      </c>
      <c r="E1601" t="s">
        <v>4039</v>
      </c>
      <c r="F1601" t="s">
        <v>4362</v>
      </c>
    </row>
    <row r="1602" spans="2:6" x14ac:dyDescent="0.35">
      <c r="B1602">
        <v>3500017893</v>
      </c>
      <c r="C1602">
        <v>10</v>
      </c>
      <c r="D1602" t="s">
        <v>4363</v>
      </c>
      <c r="E1602" t="s">
        <v>4039</v>
      </c>
      <c r="F1602" t="s">
        <v>4364</v>
      </c>
    </row>
    <row r="1603" spans="2:6" x14ac:dyDescent="0.35">
      <c r="B1603">
        <v>3500017873</v>
      </c>
      <c r="C1603">
        <v>10</v>
      </c>
      <c r="D1603" t="s">
        <v>4365</v>
      </c>
      <c r="E1603" t="s">
        <v>4039</v>
      </c>
      <c r="F1603" t="s">
        <v>4366</v>
      </c>
    </row>
    <row r="1604" spans="2:6" x14ac:dyDescent="0.35">
      <c r="B1604">
        <v>3500017850</v>
      </c>
      <c r="C1604">
        <v>30</v>
      </c>
      <c r="D1604" t="s">
        <v>300</v>
      </c>
      <c r="E1604" t="s">
        <v>4292</v>
      </c>
      <c r="F1604" t="s">
        <v>4367</v>
      </c>
    </row>
    <row r="1605" spans="2:6" x14ac:dyDescent="0.35">
      <c r="B1605">
        <v>3500017609</v>
      </c>
      <c r="C1605">
        <v>20</v>
      </c>
      <c r="D1605" t="s">
        <v>4368</v>
      </c>
      <c r="E1605" t="s">
        <v>4039</v>
      </c>
      <c r="F1605" t="s">
        <v>4369</v>
      </c>
    </row>
    <row r="1606" spans="2:6" x14ac:dyDescent="0.35">
      <c r="B1606">
        <v>3500017337</v>
      </c>
      <c r="C1606">
        <v>10</v>
      </c>
      <c r="D1606" t="s">
        <v>4370</v>
      </c>
      <c r="E1606" t="s">
        <v>4039</v>
      </c>
      <c r="F1606" t="s">
        <v>4371</v>
      </c>
    </row>
    <row r="1607" spans="2:6" x14ac:dyDescent="0.35">
      <c r="B1607">
        <v>3500017162</v>
      </c>
      <c r="C1607">
        <v>20</v>
      </c>
      <c r="D1607" t="s">
        <v>4356</v>
      </c>
      <c r="E1607" t="s">
        <v>4039</v>
      </c>
      <c r="F1607" t="s">
        <v>4372</v>
      </c>
    </row>
    <row r="1608" spans="2:6" x14ac:dyDescent="0.35">
      <c r="B1608">
        <v>3500017127</v>
      </c>
      <c r="C1608">
        <v>20</v>
      </c>
      <c r="D1608" t="s">
        <v>303</v>
      </c>
      <c r="E1608" t="s">
        <v>4039</v>
      </c>
      <c r="F1608" t="s">
        <v>4373</v>
      </c>
    </row>
    <row r="1609" spans="2:6" x14ac:dyDescent="0.35">
      <c r="B1609">
        <v>3500017127</v>
      </c>
      <c r="C1609">
        <v>10</v>
      </c>
      <c r="D1609" t="s">
        <v>16</v>
      </c>
      <c r="E1609" t="s">
        <v>4039</v>
      </c>
      <c r="F1609" t="s">
        <v>4374</v>
      </c>
    </row>
    <row r="1610" spans="2:6" x14ac:dyDescent="0.35">
      <c r="B1610">
        <v>3500017040</v>
      </c>
      <c r="C1610">
        <v>40</v>
      </c>
      <c r="D1610" t="s">
        <v>4375</v>
      </c>
      <c r="E1610" t="s">
        <v>4039</v>
      </c>
      <c r="F1610" t="s">
        <v>4376</v>
      </c>
    </row>
    <row r="1611" spans="2:6" x14ac:dyDescent="0.35">
      <c r="B1611">
        <v>3500017040</v>
      </c>
      <c r="C1611">
        <v>30</v>
      </c>
      <c r="D1611" t="s">
        <v>4377</v>
      </c>
      <c r="E1611" t="s">
        <v>4039</v>
      </c>
      <c r="F1611" t="s">
        <v>4378</v>
      </c>
    </row>
    <row r="1612" spans="2:6" x14ac:dyDescent="0.35">
      <c r="B1612">
        <v>3500017040</v>
      </c>
      <c r="C1612">
        <v>20</v>
      </c>
      <c r="D1612" t="s">
        <v>4379</v>
      </c>
      <c r="E1612" t="s">
        <v>4039</v>
      </c>
      <c r="F1612" t="s">
        <v>4380</v>
      </c>
    </row>
    <row r="1613" spans="2:6" x14ac:dyDescent="0.35">
      <c r="B1613">
        <v>3500017040</v>
      </c>
      <c r="C1613">
        <v>10</v>
      </c>
      <c r="D1613" t="s">
        <v>4381</v>
      </c>
      <c r="E1613" t="s">
        <v>4039</v>
      </c>
      <c r="F1613" t="s">
        <v>4382</v>
      </c>
    </row>
    <row r="1614" spans="2:6" x14ac:dyDescent="0.35">
      <c r="B1614">
        <v>3500016951</v>
      </c>
      <c r="C1614">
        <v>10</v>
      </c>
      <c r="D1614" t="s">
        <v>2475</v>
      </c>
      <c r="E1614" t="s">
        <v>4039</v>
      </c>
      <c r="F1614" t="s">
        <v>4383</v>
      </c>
    </row>
    <row r="1615" spans="2:6" x14ac:dyDescent="0.35">
      <c r="B1615">
        <v>3500016769</v>
      </c>
      <c r="C1615">
        <v>90</v>
      </c>
      <c r="D1615" t="s">
        <v>4384</v>
      </c>
      <c r="E1615" t="s">
        <v>4039</v>
      </c>
      <c r="F1615" t="s">
        <v>4385</v>
      </c>
    </row>
    <row r="1616" spans="2:6" x14ac:dyDescent="0.35">
      <c r="B1616">
        <v>3500016714</v>
      </c>
      <c r="C1616">
        <v>30</v>
      </c>
      <c r="D1616" t="s">
        <v>32</v>
      </c>
      <c r="E1616" t="s">
        <v>3200</v>
      </c>
      <c r="F1616" t="s">
        <v>4386</v>
      </c>
    </row>
    <row r="1617" spans="2:6" x14ac:dyDescent="0.35">
      <c r="B1617">
        <v>3500016714</v>
      </c>
      <c r="C1617">
        <v>20</v>
      </c>
      <c r="D1617" t="s">
        <v>1569</v>
      </c>
      <c r="E1617" t="s">
        <v>3200</v>
      </c>
      <c r="F1617" t="s">
        <v>4387</v>
      </c>
    </row>
    <row r="1618" spans="2:6" x14ac:dyDescent="0.35">
      <c r="B1618">
        <v>3500016714</v>
      </c>
      <c r="C1618">
        <v>10</v>
      </c>
      <c r="D1618" t="s">
        <v>4388</v>
      </c>
      <c r="E1618" t="s">
        <v>3200</v>
      </c>
      <c r="F1618" t="s">
        <v>4389</v>
      </c>
    </row>
    <row r="1619" spans="2:6" x14ac:dyDescent="0.35">
      <c r="B1619">
        <v>3500016578</v>
      </c>
      <c r="C1619">
        <v>10</v>
      </c>
      <c r="D1619" t="s">
        <v>2506</v>
      </c>
      <c r="E1619" t="s">
        <v>4039</v>
      </c>
      <c r="F1619" t="s">
        <v>4390</v>
      </c>
    </row>
    <row r="1620" spans="2:6" x14ac:dyDescent="0.35">
      <c r="B1620">
        <v>3500016446</v>
      </c>
      <c r="C1620">
        <v>10</v>
      </c>
      <c r="D1620" t="s">
        <v>2475</v>
      </c>
      <c r="E1620" t="s">
        <v>4039</v>
      </c>
      <c r="F1620" t="s">
        <v>4391</v>
      </c>
    </row>
    <row r="1621" spans="2:6" x14ac:dyDescent="0.35">
      <c r="B1621">
        <v>3500016387</v>
      </c>
      <c r="C1621">
        <v>10</v>
      </c>
      <c r="D1621" t="s">
        <v>2475</v>
      </c>
      <c r="E1621" t="s">
        <v>4039</v>
      </c>
      <c r="F1621" t="s">
        <v>4392</v>
      </c>
    </row>
    <row r="1622" spans="2:6" x14ac:dyDescent="0.35">
      <c r="B1622">
        <v>3500016344</v>
      </c>
      <c r="C1622">
        <v>20</v>
      </c>
      <c r="D1622" t="s">
        <v>4393</v>
      </c>
      <c r="E1622" t="s">
        <v>4039</v>
      </c>
      <c r="F1622" t="s">
        <v>4394</v>
      </c>
    </row>
    <row r="1623" spans="2:6" x14ac:dyDescent="0.35">
      <c r="B1623">
        <v>3500016048</v>
      </c>
      <c r="C1623">
        <v>10</v>
      </c>
      <c r="D1623" t="s">
        <v>4395</v>
      </c>
      <c r="E1623" t="s">
        <v>4039</v>
      </c>
      <c r="F1623" t="s">
        <v>4396</v>
      </c>
    </row>
    <row r="1624" spans="2:6" x14ac:dyDescent="0.35">
      <c r="B1624">
        <v>3500015935</v>
      </c>
      <c r="C1624">
        <v>10</v>
      </c>
      <c r="D1624" t="s">
        <v>1484</v>
      </c>
      <c r="E1624" t="s">
        <v>4039</v>
      </c>
      <c r="F1624" t="s">
        <v>4397</v>
      </c>
    </row>
    <row r="1625" spans="2:6" x14ac:dyDescent="0.35">
      <c r="B1625">
        <v>3500015934</v>
      </c>
      <c r="C1625">
        <v>330</v>
      </c>
      <c r="D1625" t="s">
        <v>4398</v>
      </c>
      <c r="E1625" t="s">
        <v>4039</v>
      </c>
      <c r="F1625" t="s">
        <v>4399</v>
      </c>
    </row>
    <row r="1626" spans="2:6" x14ac:dyDescent="0.35">
      <c r="B1626">
        <v>3500015542</v>
      </c>
      <c r="C1626">
        <v>80</v>
      </c>
      <c r="D1626" t="s">
        <v>4400</v>
      </c>
      <c r="E1626" t="s">
        <v>4039</v>
      </c>
      <c r="F1626" t="s">
        <v>4401</v>
      </c>
    </row>
    <row r="1627" spans="2:6" x14ac:dyDescent="0.35">
      <c r="B1627">
        <v>3500015542</v>
      </c>
      <c r="C1627">
        <v>70</v>
      </c>
      <c r="D1627" t="s">
        <v>17</v>
      </c>
      <c r="E1627" t="s">
        <v>4039</v>
      </c>
      <c r="F1627" t="s">
        <v>4402</v>
      </c>
    </row>
    <row r="1628" spans="2:6" x14ac:dyDescent="0.35">
      <c r="B1628">
        <v>3500015041</v>
      </c>
      <c r="C1628">
        <v>10</v>
      </c>
      <c r="D1628" t="s">
        <v>4403</v>
      </c>
      <c r="E1628" t="s">
        <v>4039</v>
      </c>
      <c r="F1628" t="s">
        <v>4404</v>
      </c>
    </row>
    <row r="1629" spans="2:6" x14ac:dyDescent="0.35">
      <c r="B1629">
        <v>3500014999</v>
      </c>
      <c r="C1629">
        <v>30</v>
      </c>
      <c r="D1629" t="s">
        <v>358</v>
      </c>
      <c r="E1629" t="s">
        <v>4039</v>
      </c>
      <c r="F1629" t="s">
        <v>4405</v>
      </c>
    </row>
    <row r="1630" spans="2:6" x14ac:dyDescent="0.35">
      <c r="B1630">
        <v>3500014999</v>
      </c>
      <c r="C1630">
        <v>20</v>
      </c>
      <c r="D1630" t="s">
        <v>359</v>
      </c>
      <c r="E1630" t="s">
        <v>4039</v>
      </c>
      <c r="F1630" t="s">
        <v>4406</v>
      </c>
    </row>
    <row r="1631" spans="2:6" x14ac:dyDescent="0.35">
      <c r="B1631">
        <v>3500014997</v>
      </c>
      <c r="C1631">
        <v>10</v>
      </c>
      <c r="D1631" t="s">
        <v>4407</v>
      </c>
      <c r="E1631" t="s">
        <v>4039</v>
      </c>
      <c r="F1631" t="s">
        <v>4408</v>
      </c>
    </row>
    <row r="1632" spans="2:6" x14ac:dyDescent="0.35">
      <c r="B1632">
        <v>3500014969</v>
      </c>
      <c r="C1632">
        <v>10</v>
      </c>
      <c r="D1632" t="s">
        <v>4409</v>
      </c>
      <c r="E1632" t="s">
        <v>4039</v>
      </c>
      <c r="F1632" t="s">
        <v>4410</v>
      </c>
    </row>
    <row r="1633" spans="2:6" x14ac:dyDescent="0.35">
      <c r="B1633">
        <v>3500014863</v>
      </c>
      <c r="C1633">
        <v>10</v>
      </c>
      <c r="D1633" t="s">
        <v>4411</v>
      </c>
      <c r="E1633" t="s">
        <v>4039</v>
      </c>
      <c r="F1633" t="s">
        <v>4412</v>
      </c>
    </row>
    <row r="1634" spans="2:6" x14ac:dyDescent="0.35">
      <c r="B1634">
        <v>3500014322</v>
      </c>
      <c r="C1634">
        <v>30</v>
      </c>
      <c r="D1634" t="s">
        <v>4413</v>
      </c>
      <c r="E1634" t="s">
        <v>4039</v>
      </c>
      <c r="F1634" t="s">
        <v>4414</v>
      </c>
    </row>
    <row r="1635" spans="2:6" x14ac:dyDescent="0.35">
      <c r="B1635">
        <v>3500014322</v>
      </c>
      <c r="C1635">
        <v>20</v>
      </c>
      <c r="D1635" t="s">
        <v>4415</v>
      </c>
      <c r="E1635" t="s">
        <v>4039</v>
      </c>
      <c r="F1635" t="s">
        <v>4416</v>
      </c>
    </row>
    <row r="1636" spans="2:6" x14ac:dyDescent="0.35">
      <c r="B1636">
        <v>3500014322</v>
      </c>
      <c r="C1636">
        <v>10</v>
      </c>
      <c r="D1636" t="s">
        <v>4417</v>
      </c>
      <c r="E1636" t="s">
        <v>4039</v>
      </c>
      <c r="F1636" t="s">
        <v>4418</v>
      </c>
    </row>
    <row r="1637" spans="2:6" x14ac:dyDescent="0.35">
      <c r="B1637">
        <v>3500013473</v>
      </c>
      <c r="C1637">
        <v>180</v>
      </c>
      <c r="D1637" t="s">
        <v>4419</v>
      </c>
      <c r="E1637" t="s">
        <v>4039</v>
      </c>
      <c r="F1637" t="s">
        <v>4420</v>
      </c>
    </row>
    <row r="1638" spans="2:6" x14ac:dyDescent="0.35">
      <c r="B1638">
        <v>3500013473</v>
      </c>
      <c r="C1638">
        <v>110</v>
      </c>
      <c r="D1638" t="s">
        <v>4421</v>
      </c>
      <c r="E1638" t="s">
        <v>4039</v>
      </c>
      <c r="F1638" t="s">
        <v>4422</v>
      </c>
    </row>
    <row r="1639" spans="2:6" x14ac:dyDescent="0.35">
      <c r="B1639">
        <v>3500012790</v>
      </c>
      <c r="C1639">
        <v>10</v>
      </c>
      <c r="D1639" t="s">
        <v>4423</v>
      </c>
      <c r="E1639" t="s">
        <v>4039</v>
      </c>
      <c r="F1639" t="s">
        <v>4424</v>
      </c>
    </row>
    <row r="1640" spans="2:6" x14ac:dyDescent="0.35">
      <c r="B1640">
        <v>3500012666</v>
      </c>
      <c r="C1640">
        <v>10</v>
      </c>
      <c r="D1640" t="s">
        <v>4425</v>
      </c>
      <c r="E1640" t="s">
        <v>4039</v>
      </c>
      <c r="F1640" t="s">
        <v>4426</v>
      </c>
    </row>
    <row r="1641" spans="2:6" x14ac:dyDescent="0.35">
      <c r="B1641">
        <v>3500012120</v>
      </c>
      <c r="C1641">
        <v>10</v>
      </c>
      <c r="D1641" t="s">
        <v>4427</v>
      </c>
      <c r="E1641" t="s">
        <v>4039</v>
      </c>
      <c r="F1641" t="s">
        <v>4428</v>
      </c>
    </row>
    <row r="1642" spans="2:6" x14ac:dyDescent="0.35">
      <c r="B1642">
        <v>3500011934</v>
      </c>
      <c r="C1642">
        <v>10</v>
      </c>
      <c r="D1642" t="s">
        <v>4429</v>
      </c>
      <c r="E1642" t="s">
        <v>4039</v>
      </c>
      <c r="F1642" t="s">
        <v>4430</v>
      </c>
    </row>
    <row r="1643" spans="2:6" x14ac:dyDescent="0.35">
      <c r="B1643">
        <v>3500011629</v>
      </c>
      <c r="C1643">
        <v>90</v>
      </c>
      <c r="D1643" t="s">
        <v>4431</v>
      </c>
      <c r="E1643" t="s">
        <v>4039</v>
      </c>
      <c r="F1643" t="s">
        <v>4432</v>
      </c>
    </row>
    <row r="1644" spans="2:6" x14ac:dyDescent="0.35">
      <c r="B1644">
        <v>3500011629</v>
      </c>
      <c r="C1644">
        <v>80</v>
      </c>
      <c r="D1644" t="s">
        <v>4433</v>
      </c>
      <c r="E1644" t="s">
        <v>4039</v>
      </c>
      <c r="F1644" t="s">
        <v>4434</v>
      </c>
    </row>
    <row r="1645" spans="2:6" x14ac:dyDescent="0.35">
      <c r="B1645">
        <v>3500011629</v>
      </c>
      <c r="C1645">
        <v>70</v>
      </c>
      <c r="D1645" t="s">
        <v>4435</v>
      </c>
      <c r="E1645" t="s">
        <v>4039</v>
      </c>
      <c r="F1645" t="s">
        <v>4436</v>
      </c>
    </row>
    <row r="1646" spans="2:6" x14ac:dyDescent="0.35">
      <c r="B1646">
        <v>3500011629</v>
      </c>
      <c r="C1646">
        <v>60</v>
      </c>
      <c r="D1646" t="s">
        <v>4437</v>
      </c>
      <c r="E1646" t="s">
        <v>4039</v>
      </c>
      <c r="F1646" t="s">
        <v>4438</v>
      </c>
    </row>
    <row r="1647" spans="2:6" x14ac:dyDescent="0.35">
      <c r="B1647">
        <v>3500011629</v>
      </c>
      <c r="C1647">
        <v>50</v>
      </c>
      <c r="D1647" t="s">
        <v>4439</v>
      </c>
      <c r="E1647" t="s">
        <v>4039</v>
      </c>
      <c r="F1647" t="s">
        <v>4440</v>
      </c>
    </row>
    <row r="1648" spans="2:6" x14ac:dyDescent="0.35">
      <c r="B1648">
        <v>3500011629</v>
      </c>
      <c r="C1648">
        <v>40</v>
      </c>
      <c r="D1648" t="s">
        <v>4441</v>
      </c>
      <c r="E1648" t="s">
        <v>4039</v>
      </c>
      <c r="F1648" t="s">
        <v>4442</v>
      </c>
    </row>
    <row r="1649" spans="2:6" x14ac:dyDescent="0.35">
      <c r="B1649">
        <v>3500011629</v>
      </c>
      <c r="C1649">
        <v>30</v>
      </c>
      <c r="D1649" t="s">
        <v>4443</v>
      </c>
      <c r="E1649" t="s">
        <v>4039</v>
      </c>
      <c r="F1649" t="s">
        <v>4444</v>
      </c>
    </row>
    <row r="1650" spans="2:6" x14ac:dyDescent="0.35">
      <c r="B1650">
        <v>3500011629</v>
      </c>
      <c r="C1650">
        <v>20</v>
      </c>
      <c r="D1650" t="s">
        <v>4445</v>
      </c>
      <c r="E1650" t="s">
        <v>4039</v>
      </c>
      <c r="F1650" t="s">
        <v>4446</v>
      </c>
    </row>
    <row r="1651" spans="2:6" x14ac:dyDescent="0.35">
      <c r="B1651">
        <v>3500011629</v>
      </c>
      <c r="C1651">
        <v>110</v>
      </c>
      <c r="D1651" t="s">
        <v>4447</v>
      </c>
      <c r="E1651" t="s">
        <v>4039</v>
      </c>
      <c r="F1651" t="s">
        <v>4448</v>
      </c>
    </row>
    <row r="1652" spans="2:6" x14ac:dyDescent="0.35">
      <c r="B1652">
        <v>3500011629</v>
      </c>
      <c r="C1652">
        <v>100</v>
      </c>
      <c r="D1652" t="s">
        <v>4449</v>
      </c>
      <c r="E1652" t="s">
        <v>4039</v>
      </c>
      <c r="F1652" t="s">
        <v>4450</v>
      </c>
    </row>
    <row r="1653" spans="2:6" x14ac:dyDescent="0.35">
      <c r="B1653">
        <v>3500010950</v>
      </c>
      <c r="C1653">
        <v>10</v>
      </c>
      <c r="D1653" t="s">
        <v>4451</v>
      </c>
      <c r="E1653" t="s">
        <v>4039</v>
      </c>
      <c r="F1653" t="s">
        <v>4452</v>
      </c>
    </row>
    <row r="1654" spans="2:6" x14ac:dyDescent="0.35">
      <c r="B1654">
        <v>3500010784</v>
      </c>
      <c r="C1654">
        <v>20</v>
      </c>
      <c r="D1654" t="s">
        <v>4453</v>
      </c>
      <c r="E1654" t="s">
        <v>4039</v>
      </c>
      <c r="F1654" t="s">
        <v>4454</v>
      </c>
    </row>
    <row r="1655" spans="2:6" x14ac:dyDescent="0.35">
      <c r="B1655">
        <v>3500010784</v>
      </c>
      <c r="C1655">
        <v>10</v>
      </c>
      <c r="D1655" t="s">
        <v>4453</v>
      </c>
      <c r="E1655" t="s">
        <v>4039</v>
      </c>
      <c r="F1655" t="s">
        <v>4454</v>
      </c>
    </row>
    <row r="1656" spans="2:6" x14ac:dyDescent="0.35">
      <c r="B1656">
        <v>3500010314</v>
      </c>
      <c r="C1656">
        <v>30</v>
      </c>
      <c r="D1656" t="s">
        <v>4455</v>
      </c>
      <c r="E1656" t="s">
        <v>4039</v>
      </c>
      <c r="F1656" t="s">
        <v>4456</v>
      </c>
    </row>
    <row r="1657" spans="2:6" x14ac:dyDescent="0.35">
      <c r="B1657">
        <v>3500010314</v>
      </c>
      <c r="C1657">
        <v>20</v>
      </c>
      <c r="D1657" t="s">
        <v>4457</v>
      </c>
      <c r="E1657" t="s">
        <v>4039</v>
      </c>
      <c r="F1657" t="s">
        <v>4458</v>
      </c>
    </row>
    <row r="1658" spans="2:6" x14ac:dyDescent="0.35">
      <c r="B1658">
        <v>3500009489</v>
      </c>
      <c r="C1658">
        <v>10</v>
      </c>
      <c r="D1658" t="s">
        <v>4459</v>
      </c>
      <c r="E1658" t="s">
        <v>4039</v>
      </c>
      <c r="F1658" t="s">
        <v>4460</v>
      </c>
    </row>
    <row r="1659" spans="2:6" x14ac:dyDescent="0.35">
      <c r="B1659">
        <v>3500008778</v>
      </c>
      <c r="C1659">
        <v>10</v>
      </c>
      <c r="D1659" t="s">
        <v>2992</v>
      </c>
      <c r="E1659" t="s">
        <v>4039</v>
      </c>
      <c r="F1659" t="s">
        <v>4461</v>
      </c>
    </row>
    <row r="1660" spans="2:6" x14ac:dyDescent="0.35">
      <c r="B1660">
        <v>3500008755</v>
      </c>
      <c r="C1660">
        <v>10</v>
      </c>
      <c r="D1660" t="s">
        <v>4462</v>
      </c>
      <c r="E1660" t="s">
        <v>4039</v>
      </c>
      <c r="F1660" t="s">
        <v>4463</v>
      </c>
    </row>
    <row r="1661" spans="2:6" x14ac:dyDescent="0.35">
      <c r="B1661">
        <v>3500008753</v>
      </c>
      <c r="C1661">
        <v>10</v>
      </c>
      <c r="D1661" t="s">
        <v>4464</v>
      </c>
      <c r="E1661" t="s">
        <v>4292</v>
      </c>
      <c r="F1661" t="s">
        <v>4465</v>
      </c>
    </row>
    <row r="1662" spans="2:6" x14ac:dyDescent="0.35">
      <c r="B1662">
        <v>3500008586</v>
      </c>
      <c r="C1662">
        <v>10</v>
      </c>
      <c r="D1662" t="s">
        <v>2475</v>
      </c>
      <c r="E1662" t="s">
        <v>4039</v>
      </c>
      <c r="F1662" t="s">
        <v>4466</v>
      </c>
    </row>
    <row r="1663" spans="2:6" x14ac:dyDescent="0.35">
      <c r="B1663">
        <v>3500008578</v>
      </c>
      <c r="C1663">
        <v>10</v>
      </c>
      <c r="D1663" t="s">
        <v>4467</v>
      </c>
      <c r="E1663" t="s">
        <v>4292</v>
      </c>
      <c r="F1663" t="s">
        <v>4468</v>
      </c>
    </row>
    <row r="1664" spans="2:6" x14ac:dyDescent="0.35">
      <c r="B1664">
        <v>3500008164</v>
      </c>
      <c r="C1664">
        <v>10</v>
      </c>
      <c r="D1664" t="s">
        <v>4469</v>
      </c>
      <c r="E1664" t="s">
        <v>4292</v>
      </c>
      <c r="F1664" t="s">
        <v>4470</v>
      </c>
    </row>
    <row r="1665" spans="2:6" x14ac:dyDescent="0.35">
      <c r="B1665">
        <v>3500007676</v>
      </c>
      <c r="C1665">
        <v>10</v>
      </c>
      <c r="D1665" t="s">
        <v>4471</v>
      </c>
      <c r="E1665" t="s">
        <v>4039</v>
      </c>
      <c r="F1665" t="s">
        <v>4472</v>
      </c>
    </row>
    <row r="1666" spans="2:6" x14ac:dyDescent="0.35">
      <c r="B1666">
        <v>3500007237</v>
      </c>
      <c r="C1666">
        <v>30</v>
      </c>
      <c r="D1666" t="s">
        <v>4473</v>
      </c>
      <c r="E1666" t="s">
        <v>4039</v>
      </c>
      <c r="F1666" t="s">
        <v>4474</v>
      </c>
    </row>
    <row r="1667" spans="2:6" x14ac:dyDescent="0.35">
      <c r="B1667">
        <v>3500007237</v>
      </c>
      <c r="C1667">
        <v>20</v>
      </c>
      <c r="D1667" t="s">
        <v>4475</v>
      </c>
      <c r="E1667" t="s">
        <v>4039</v>
      </c>
      <c r="F1667" t="s">
        <v>4476</v>
      </c>
    </row>
    <row r="1668" spans="2:6" x14ac:dyDescent="0.35">
      <c r="B1668">
        <v>3500007237</v>
      </c>
      <c r="C1668">
        <v>10</v>
      </c>
      <c r="D1668" t="s">
        <v>4477</v>
      </c>
      <c r="E1668" t="s">
        <v>4039</v>
      </c>
      <c r="F1668" t="s">
        <v>4478</v>
      </c>
    </row>
    <row r="1669" spans="2:6" x14ac:dyDescent="0.35">
      <c r="B1669">
        <v>3500007195</v>
      </c>
      <c r="C1669">
        <v>20</v>
      </c>
      <c r="D1669" t="s">
        <v>2956</v>
      </c>
      <c r="E1669" t="s">
        <v>4039</v>
      </c>
      <c r="F1669" t="s">
        <v>4479</v>
      </c>
    </row>
    <row r="1670" spans="2:6" x14ac:dyDescent="0.35">
      <c r="B1670">
        <v>3500007195</v>
      </c>
      <c r="C1670">
        <v>10</v>
      </c>
      <c r="D1670" t="s">
        <v>2948</v>
      </c>
      <c r="E1670" t="s">
        <v>4039</v>
      </c>
      <c r="F1670" t="s">
        <v>4480</v>
      </c>
    </row>
    <row r="1671" spans="2:6" x14ac:dyDescent="0.35">
      <c r="B1671">
        <v>3500006938</v>
      </c>
      <c r="C1671">
        <v>10</v>
      </c>
      <c r="D1671" t="s">
        <v>4481</v>
      </c>
      <c r="E1671" t="s">
        <v>4039</v>
      </c>
      <c r="F1671" t="s">
        <v>4482</v>
      </c>
    </row>
    <row r="1672" spans="2:6" x14ac:dyDescent="0.35">
      <c r="B1672">
        <v>3500006113</v>
      </c>
      <c r="C1672">
        <v>30</v>
      </c>
      <c r="D1672" t="s">
        <v>3440</v>
      </c>
      <c r="E1672" t="s">
        <v>4292</v>
      </c>
      <c r="F1672" t="s">
        <v>4483</v>
      </c>
    </row>
    <row r="1673" spans="2:6" x14ac:dyDescent="0.35">
      <c r="B1673">
        <v>3500004608</v>
      </c>
      <c r="C1673">
        <v>20</v>
      </c>
      <c r="D1673" t="s">
        <v>4484</v>
      </c>
      <c r="E1673" t="s">
        <v>4039</v>
      </c>
      <c r="F1673" t="s">
        <v>4485</v>
      </c>
    </row>
    <row r="1674" spans="2:6" x14ac:dyDescent="0.35">
      <c r="B1674">
        <v>3500004608</v>
      </c>
      <c r="C1674">
        <v>10</v>
      </c>
      <c r="D1674" t="s">
        <v>4486</v>
      </c>
      <c r="E1674" t="s">
        <v>4039</v>
      </c>
      <c r="F1674" t="s">
        <v>4487</v>
      </c>
    </row>
    <row r="1675" spans="2:6" x14ac:dyDescent="0.35">
      <c r="B1675">
        <v>4700162550</v>
      </c>
      <c r="C1675">
        <v>10</v>
      </c>
      <c r="D1675" t="s">
        <v>4488</v>
      </c>
      <c r="E1675" t="s">
        <v>3200</v>
      </c>
      <c r="F1675" t="s">
        <v>4489</v>
      </c>
    </row>
    <row r="1676" spans="2:6" x14ac:dyDescent="0.35">
      <c r="B1676">
        <v>4700162528</v>
      </c>
      <c r="C1676">
        <v>10</v>
      </c>
      <c r="D1676" t="s">
        <v>4490</v>
      </c>
      <c r="E1676" t="s">
        <v>3200</v>
      </c>
      <c r="F1676" t="s">
        <v>4491</v>
      </c>
    </row>
    <row r="1677" spans="2:6" x14ac:dyDescent="0.35">
      <c r="B1677">
        <v>4700162429</v>
      </c>
      <c r="C1677">
        <v>10</v>
      </c>
      <c r="D1677" t="s">
        <v>1119</v>
      </c>
      <c r="E1677" t="s">
        <v>3200</v>
      </c>
      <c r="F1677" t="s">
        <v>4492</v>
      </c>
    </row>
    <row r="1678" spans="2:6" x14ac:dyDescent="0.35">
      <c r="B1678">
        <v>4700162372</v>
      </c>
      <c r="C1678">
        <v>60</v>
      </c>
      <c r="D1678" t="s">
        <v>4493</v>
      </c>
      <c r="E1678" t="s">
        <v>3200</v>
      </c>
      <c r="F1678" t="s">
        <v>4494</v>
      </c>
    </row>
    <row r="1679" spans="2:6" x14ac:dyDescent="0.35">
      <c r="B1679">
        <v>4700162372</v>
      </c>
      <c r="C1679">
        <v>50</v>
      </c>
      <c r="D1679" t="s">
        <v>4495</v>
      </c>
      <c r="E1679" t="s">
        <v>3200</v>
      </c>
      <c r="F1679" t="s">
        <v>4496</v>
      </c>
    </row>
    <row r="1680" spans="2:6" x14ac:dyDescent="0.35">
      <c r="B1680">
        <v>4700162372</v>
      </c>
      <c r="C1680">
        <v>40</v>
      </c>
      <c r="D1680" t="s">
        <v>4497</v>
      </c>
      <c r="E1680" t="s">
        <v>3200</v>
      </c>
      <c r="F1680" t="s">
        <v>4498</v>
      </c>
    </row>
    <row r="1681" spans="2:6" x14ac:dyDescent="0.35">
      <c r="B1681">
        <v>4700162372</v>
      </c>
      <c r="C1681">
        <v>30</v>
      </c>
      <c r="D1681" t="s">
        <v>4499</v>
      </c>
      <c r="E1681" t="s">
        <v>3200</v>
      </c>
      <c r="F1681" t="s">
        <v>4500</v>
      </c>
    </row>
    <row r="1682" spans="2:6" x14ac:dyDescent="0.35">
      <c r="B1682">
        <v>4700162372</v>
      </c>
      <c r="C1682">
        <v>20</v>
      </c>
      <c r="D1682" t="s">
        <v>4501</v>
      </c>
      <c r="E1682" t="s">
        <v>3200</v>
      </c>
      <c r="F1682" t="s">
        <v>4502</v>
      </c>
    </row>
    <row r="1683" spans="2:6" x14ac:dyDescent="0.35">
      <c r="B1683">
        <v>4700162372</v>
      </c>
      <c r="C1683">
        <v>10</v>
      </c>
      <c r="D1683" t="s">
        <v>4503</v>
      </c>
      <c r="E1683" t="s">
        <v>3200</v>
      </c>
      <c r="F1683" t="s">
        <v>4504</v>
      </c>
    </row>
    <row r="1684" spans="2:6" x14ac:dyDescent="0.35">
      <c r="B1684">
        <v>4700162355</v>
      </c>
      <c r="C1684">
        <v>70</v>
      </c>
      <c r="D1684" t="s">
        <v>4493</v>
      </c>
      <c r="E1684" t="s">
        <v>3200</v>
      </c>
      <c r="F1684" t="s">
        <v>4505</v>
      </c>
    </row>
    <row r="1685" spans="2:6" x14ac:dyDescent="0.35">
      <c r="B1685">
        <v>4700162355</v>
      </c>
      <c r="C1685">
        <v>60</v>
      </c>
      <c r="D1685" t="s">
        <v>4495</v>
      </c>
      <c r="E1685" t="s">
        <v>3200</v>
      </c>
      <c r="F1685" t="s">
        <v>4506</v>
      </c>
    </row>
    <row r="1686" spans="2:6" x14ac:dyDescent="0.35">
      <c r="B1686">
        <v>4700162355</v>
      </c>
      <c r="C1686">
        <v>50</v>
      </c>
      <c r="D1686" t="s">
        <v>4507</v>
      </c>
      <c r="E1686" t="s">
        <v>3200</v>
      </c>
      <c r="F1686" t="s">
        <v>4508</v>
      </c>
    </row>
    <row r="1687" spans="2:6" x14ac:dyDescent="0.35">
      <c r="B1687">
        <v>4700162355</v>
      </c>
      <c r="C1687">
        <v>40</v>
      </c>
      <c r="D1687" t="s">
        <v>4509</v>
      </c>
      <c r="E1687" t="s">
        <v>3200</v>
      </c>
      <c r="F1687" t="s">
        <v>4510</v>
      </c>
    </row>
    <row r="1688" spans="2:6" x14ac:dyDescent="0.35">
      <c r="B1688">
        <v>4700162355</v>
      </c>
      <c r="C1688">
        <v>30</v>
      </c>
      <c r="D1688" t="s">
        <v>4511</v>
      </c>
      <c r="E1688" t="s">
        <v>3200</v>
      </c>
      <c r="F1688" t="s">
        <v>4512</v>
      </c>
    </row>
    <row r="1689" spans="2:6" x14ac:dyDescent="0.35">
      <c r="B1689">
        <v>4700162355</v>
      </c>
      <c r="C1689">
        <v>20</v>
      </c>
      <c r="D1689" t="s">
        <v>4513</v>
      </c>
      <c r="E1689" t="s">
        <v>3200</v>
      </c>
      <c r="F1689" t="s">
        <v>4514</v>
      </c>
    </row>
    <row r="1690" spans="2:6" x14ac:dyDescent="0.35">
      <c r="B1690">
        <v>4700162355</v>
      </c>
      <c r="C1690">
        <v>10</v>
      </c>
      <c r="D1690" t="s">
        <v>4503</v>
      </c>
      <c r="E1690" t="s">
        <v>3200</v>
      </c>
      <c r="F1690" t="s">
        <v>4515</v>
      </c>
    </row>
    <row r="1691" spans="2:6" x14ac:dyDescent="0.35">
      <c r="B1691">
        <v>4700162308</v>
      </c>
      <c r="C1691">
        <v>30</v>
      </c>
      <c r="D1691" t="s">
        <v>817</v>
      </c>
      <c r="E1691" t="s">
        <v>68</v>
      </c>
      <c r="F1691" t="s">
        <v>4516</v>
      </c>
    </row>
    <row r="1692" spans="2:6" x14ac:dyDescent="0.35">
      <c r="B1692">
        <v>4700162308</v>
      </c>
      <c r="C1692">
        <v>20</v>
      </c>
      <c r="D1692" t="s">
        <v>808</v>
      </c>
      <c r="F1692" t="s">
        <v>4517</v>
      </c>
    </row>
    <row r="1693" spans="2:6" x14ac:dyDescent="0.35">
      <c r="B1693">
        <v>4700162308</v>
      </c>
      <c r="C1693">
        <v>10</v>
      </c>
      <c r="D1693" t="s">
        <v>807</v>
      </c>
      <c r="E1693" t="s">
        <v>68</v>
      </c>
      <c r="F1693" t="s">
        <v>4518</v>
      </c>
    </row>
    <row r="1694" spans="2:6" x14ac:dyDescent="0.35">
      <c r="B1694">
        <v>4700162303</v>
      </c>
      <c r="C1694">
        <v>10</v>
      </c>
      <c r="D1694" t="s">
        <v>827</v>
      </c>
      <c r="E1694" t="s">
        <v>68</v>
      </c>
      <c r="F1694" t="s">
        <v>4519</v>
      </c>
    </row>
    <row r="1695" spans="2:6" x14ac:dyDescent="0.35">
      <c r="B1695">
        <v>4700162282</v>
      </c>
      <c r="C1695">
        <v>10</v>
      </c>
      <c r="D1695" t="s">
        <v>4520</v>
      </c>
      <c r="E1695" t="s">
        <v>68</v>
      </c>
      <c r="F1695" t="s">
        <v>4521</v>
      </c>
    </row>
    <row r="1696" spans="2:6" x14ac:dyDescent="0.35">
      <c r="B1696">
        <v>4700162231</v>
      </c>
      <c r="C1696">
        <v>30</v>
      </c>
      <c r="D1696" t="s">
        <v>4522</v>
      </c>
      <c r="E1696" t="s">
        <v>3200</v>
      </c>
      <c r="F1696" t="s">
        <v>4523</v>
      </c>
    </row>
    <row r="1697" spans="2:6" x14ac:dyDescent="0.35">
      <c r="B1697">
        <v>4700162231</v>
      </c>
      <c r="C1697">
        <v>20</v>
      </c>
      <c r="D1697" t="s">
        <v>4524</v>
      </c>
      <c r="E1697" t="s">
        <v>3200</v>
      </c>
      <c r="F1697" t="s">
        <v>4525</v>
      </c>
    </row>
    <row r="1698" spans="2:6" x14ac:dyDescent="0.35">
      <c r="B1698">
        <v>4700162231</v>
      </c>
      <c r="C1698">
        <v>10</v>
      </c>
      <c r="D1698" t="s">
        <v>4526</v>
      </c>
      <c r="E1698" t="s">
        <v>3200</v>
      </c>
      <c r="F1698" t="s">
        <v>4527</v>
      </c>
    </row>
    <row r="1699" spans="2:6" x14ac:dyDescent="0.35">
      <c r="B1699">
        <v>4700162208</v>
      </c>
      <c r="C1699">
        <v>90</v>
      </c>
      <c r="D1699" t="s">
        <v>4528</v>
      </c>
      <c r="E1699" t="s">
        <v>68</v>
      </c>
      <c r="F1699" t="s">
        <v>4529</v>
      </c>
    </row>
    <row r="1700" spans="2:6" x14ac:dyDescent="0.35">
      <c r="B1700">
        <v>4700162208</v>
      </c>
      <c r="C1700">
        <v>80</v>
      </c>
      <c r="D1700" t="s">
        <v>4530</v>
      </c>
      <c r="E1700" t="s">
        <v>68</v>
      </c>
      <c r="F1700" t="s">
        <v>4531</v>
      </c>
    </row>
    <row r="1701" spans="2:6" x14ac:dyDescent="0.35">
      <c r="B1701">
        <v>4700162208</v>
      </c>
      <c r="C1701">
        <v>60</v>
      </c>
      <c r="D1701" t="s">
        <v>4532</v>
      </c>
      <c r="E1701" t="s">
        <v>68</v>
      </c>
      <c r="F1701" t="s">
        <v>4533</v>
      </c>
    </row>
    <row r="1702" spans="2:6" x14ac:dyDescent="0.35">
      <c r="B1702">
        <v>4700162208</v>
      </c>
      <c r="C1702">
        <v>50</v>
      </c>
      <c r="D1702" t="s">
        <v>4520</v>
      </c>
      <c r="E1702">
        <v>0</v>
      </c>
      <c r="F1702" t="s">
        <v>4534</v>
      </c>
    </row>
    <row r="1703" spans="2:6" x14ac:dyDescent="0.35">
      <c r="B1703">
        <v>4700162208</v>
      </c>
      <c r="C1703">
        <v>40</v>
      </c>
      <c r="D1703" t="s">
        <v>4535</v>
      </c>
      <c r="E1703" t="s">
        <v>68</v>
      </c>
      <c r="F1703" t="s">
        <v>4536</v>
      </c>
    </row>
    <row r="1704" spans="2:6" x14ac:dyDescent="0.35">
      <c r="B1704">
        <v>4700162208</v>
      </c>
      <c r="C1704">
        <v>30</v>
      </c>
      <c r="D1704" t="s">
        <v>4537</v>
      </c>
      <c r="E1704" t="s">
        <v>68</v>
      </c>
      <c r="F1704" t="s">
        <v>4538</v>
      </c>
    </row>
    <row r="1705" spans="2:6" x14ac:dyDescent="0.35">
      <c r="B1705">
        <v>4700162208</v>
      </c>
      <c r="C1705">
        <v>20</v>
      </c>
      <c r="D1705" t="s">
        <v>4539</v>
      </c>
      <c r="E1705" t="s">
        <v>68</v>
      </c>
      <c r="F1705" t="s">
        <v>4540</v>
      </c>
    </row>
    <row r="1706" spans="2:6" x14ac:dyDescent="0.35">
      <c r="B1706">
        <v>4700162208</v>
      </c>
      <c r="C1706">
        <v>100</v>
      </c>
      <c r="D1706" t="s">
        <v>4541</v>
      </c>
      <c r="E1706" t="s">
        <v>68</v>
      </c>
      <c r="F1706" t="s">
        <v>4542</v>
      </c>
    </row>
    <row r="1707" spans="2:6" x14ac:dyDescent="0.35">
      <c r="B1707">
        <v>4700162208</v>
      </c>
      <c r="C1707">
        <v>10</v>
      </c>
      <c r="D1707" t="s">
        <v>4543</v>
      </c>
      <c r="E1707" t="s">
        <v>68</v>
      </c>
      <c r="F1707" t="s">
        <v>4544</v>
      </c>
    </row>
    <row r="1708" spans="2:6" x14ac:dyDescent="0.35">
      <c r="B1708">
        <v>4700162195</v>
      </c>
      <c r="C1708">
        <v>10</v>
      </c>
      <c r="D1708" t="s">
        <v>4545</v>
      </c>
      <c r="E1708" t="s">
        <v>3200</v>
      </c>
      <c r="F1708" t="s">
        <v>4546</v>
      </c>
    </row>
    <row r="1709" spans="2:6" x14ac:dyDescent="0.35">
      <c r="B1709">
        <v>4700162103</v>
      </c>
      <c r="C1709">
        <v>10</v>
      </c>
      <c r="D1709" t="s">
        <v>4547</v>
      </c>
      <c r="E1709" t="s">
        <v>4548</v>
      </c>
      <c r="F1709" t="s">
        <v>4549</v>
      </c>
    </row>
    <row r="1710" spans="2:6" x14ac:dyDescent="0.35">
      <c r="B1710">
        <v>4700162035</v>
      </c>
      <c r="C1710">
        <v>90</v>
      </c>
      <c r="D1710" t="s">
        <v>4550</v>
      </c>
      <c r="E1710" t="s">
        <v>3200</v>
      </c>
      <c r="F1710" t="s">
        <v>4551</v>
      </c>
    </row>
    <row r="1711" spans="2:6" x14ac:dyDescent="0.35">
      <c r="B1711">
        <v>4700162035</v>
      </c>
      <c r="C1711">
        <v>80</v>
      </c>
      <c r="D1711" t="s">
        <v>4552</v>
      </c>
      <c r="E1711" t="s">
        <v>3200</v>
      </c>
      <c r="F1711" t="s">
        <v>4553</v>
      </c>
    </row>
    <row r="1712" spans="2:6" x14ac:dyDescent="0.35">
      <c r="B1712">
        <v>4700162035</v>
      </c>
      <c r="C1712">
        <v>70</v>
      </c>
      <c r="D1712" t="s">
        <v>4554</v>
      </c>
      <c r="E1712" t="s">
        <v>3200</v>
      </c>
      <c r="F1712" t="s">
        <v>4555</v>
      </c>
    </row>
    <row r="1713" spans="2:6" x14ac:dyDescent="0.35">
      <c r="B1713">
        <v>4700162035</v>
      </c>
      <c r="C1713">
        <v>60</v>
      </c>
      <c r="D1713" t="s">
        <v>4556</v>
      </c>
      <c r="E1713" t="s">
        <v>3200</v>
      </c>
      <c r="F1713" t="s">
        <v>4557</v>
      </c>
    </row>
    <row r="1714" spans="2:6" x14ac:dyDescent="0.35">
      <c r="B1714">
        <v>4700162035</v>
      </c>
      <c r="C1714">
        <v>50</v>
      </c>
      <c r="D1714" t="s">
        <v>4558</v>
      </c>
      <c r="E1714" t="s">
        <v>3200</v>
      </c>
      <c r="F1714" t="s">
        <v>4559</v>
      </c>
    </row>
    <row r="1715" spans="2:6" x14ac:dyDescent="0.35">
      <c r="B1715">
        <v>4700162035</v>
      </c>
      <c r="C1715">
        <v>40</v>
      </c>
      <c r="D1715" t="s">
        <v>4560</v>
      </c>
      <c r="E1715" t="s">
        <v>3200</v>
      </c>
      <c r="F1715" t="s">
        <v>4561</v>
      </c>
    </row>
    <row r="1716" spans="2:6" x14ac:dyDescent="0.35">
      <c r="B1716">
        <v>4700162035</v>
      </c>
      <c r="C1716">
        <v>30</v>
      </c>
      <c r="D1716" t="s">
        <v>4511</v>
      </c>
      <c r="E1716" t="s">
        <v>3200</v>
      </c>
      <c r="F1716" t="s">
        <v>4562</v>
      </c>
    </row>
    <row r="1717" spans="2:6" x14ac:dyDescent="0.35">
      <c r="B1717">
        <v>4700162035</v>
      </c>
      <c r="C1717">
        <v>20</v>
      </c>
      <c r="D1717" t="s">
        <v>4513</v>
      </c>
      <c r="E1717" t="s">
        <v>3200</v>
      </c>
      <c r="F1717" t="s">
        <v>4563</v>
      </c>
    </row>
    <row r="1718" spans="2:6" x14ac:dyDescent="0.35">
      <c r="B1718">
        <v>4700162035</v>
      </c>
      <c r="C1718">
        <v>150</v>
      </c>
      <c r="D1718" t="s">
        <v>4495</v>
      </c>
      <c r="E1718" t="s">
        <v>3200</v>
      </c>
      <c r="F1718" t="s">
        <v>4564</v>
      </c>
    </row>
    <row r="1719" spans="2:6" x14ac:dyDescent="0.35">
      <c r="B1719">
        <v>4700162035</v>
      </c>
      <c r="C1719">
        <v>140</v>
      </c>
      <c r="D1719" t="s">
        <v>4493</v>
      </c>
      <c r="E1719" t="s">
        <v>3200</v>
      </c>
      <c r="F1719" t="s">
        <v>4565</v>
      </c>
    </row>
    <row r="1720" spans="2:6" x14ac:dyDescent="0.35">
      <c r="B1720">
        <v>4700162035</v>
      </c>
      <c r="C1720">
        <v>130</v>
      </c>
      <c r="D1720" t="s">
        <v>4566</v>
      </c>
      <c r="E1720" t="s">
        <v>3200</v>
      </c>
      <c r="F1720" t="s">
        <v>4567</v>
      </c>
    </row>
    <row r="1721" spans="2:6" x14ac:dyDescent="0.35">
      <c r="B1721">
        <v>4700162035</v>
      </c>
      <c r="C1721">
        <v>120</v>
      </c>
      <c r="D1721" t="s">
        <v>4568</v>
      </c>
      <c r="E1721" t="s">
        <v>3200</v>
      </c>
      <c r="F1721" t="s">
        <v>4569</v>
      </c>
    </row>
    <row r="1722" spans="2:6" x14ac:dyDescent="0.35">
      <c r="B1722">
        <v>4700162035</v>
      </c>
      <c r="C1722">
        <v>110</v>
      </c>
      <c r="D1722" t="s">
        <v>4497</v>
      </c>
      <c r="E1722" t="s">
        <v>3200</v>
      </c>
      <c r="F1722" t="s">
        <v>4570</v>
      </c>
    </row>
    <row r="1723" spans="2:6" x14ac:dyDescent="0.35">
      <c r="B1723">
        <v>4700162035</v>
      </c>
      <c r="C1723">
        <v>100</v>
      </c>
      <c r="D1723" t="s">
        <v>4571</v>
      </c>
      <c r="E1723" t="s">
        <v>3200</v>
      </c>
      <c r="F1723" t="s">
        <v>4572</v>
      </c>
    </row>
    <row r="1724" spans="2:6" x14ac:dyDescent="0.35">
      <c r="B1724">
        <v>4700162035</v>
      </c>
      <c r="C1724">
        <v>10</v>
      </c>
      <c r="D1724" t="s">
        <v>4573</v>
      </c>
      <c r="E1724" t="s">
        <v>3200</v>
      </c>
      <c r="F1724" t="s">
        <v>4574</v>
      </c>
    </row>
    <row r="1725" spans="2:6" x14ac:dyDescent="0.35">
      <c r="B1725">
        <v>4700162000</v>
      </c>
      <c r="C1725">
        <v>10</v>
      </c>
      <c r="D1725" t="s">
        <v>4575</v>
      </c>
      <c r="E1725" t="s">
        <v>4576</v>
      </c>
      <c r="F1725" t="s">
        <v>4577</v>
      </c>
    </row>
    <row r="1726" spans="2:6" x14ac:dyDescent="0.35">
      <c r="B1726">
        <v>4700161995</v>
      </c>
      <c r="C1726">
        <v>10</v>
      </c>
      <c r="D1726" t="s">
        <v>294</v>
      </c>
      <c r="E1726" t="s">
        <v>4578</v>
      </c>
      <c r="F1726" t="s">
        <v>4579</v>
      </c>
    </row>
    <row r="1727" spans="2:6" x14ac:dyDescent="0.35">
      <c r="B1727">
        <v>4700161980</v>
      </c>
      <c r="C1727">
        <v>20</v>
      </c>
      <c r="D1727" t="s">
        <v>4580</v>
      </c>
      <c r="E1727" t="s">
        <v>68</v>
      </c>
      <c r="F1727" t="s">
        <v>4581</v>
      </c>
    </row>
    <row r="1728" spans="2:6" x14ac:dyDescent="0.35">
      <c r="B1728">
        <v>4700161980</v>
      </c>
      <c r="C1728">
        <v>10</v>
      </c>
      <c r="D1728" t="s">
        <v>4582</v>
      </c>
      <c r="E1728" t="s">
        <v>68</v>
      </c>
      <c r="F1728" t="s">
        <v>4583</v>
      </c>
    </row>
    <row r="1729" spans="2:6" x14ac:dyDescent="0.35">
      <c r="B1729">
        <v>4700161918</v>
      </c>
      <c r="C1729">
        <v>10</v>
      </c>
      <c r="D1729" t="s">
        <v>4584</v>
      </c>
      <c r="E1729" t="s">
        <v>68</v>
      </c>
      <c r="F1729" t="s">
        <v>4585</v>
      </c>
    </row>
    <row r="1730" spans="2:6" x14ac:dyDescent="0.35">
      <c r="B1730">
        <v>4700161827</v>
      </c>
      <c r="C1730">
        <v>10</v>
      </c>
      <c r="D1730" t="s">
        <v>1399</v>
      </c>
      <c r="E1730" t="s">
        <v>4586</v>
      </c>
      <c r="F1730" t="s">
        <v>4587</v>
      </c>
    </row>
    <row r="1731" spans="2:6" x14ac:dyDescent="0.35">
      <c r="B1731">
        <v>4700161784</v>
      </c>
      <c r="C1731">
        <v>10</v>
      </c>
      <c r="D1731" t="s">
        <v>4588</v>
      </c>
      <c r="E1731" t="s">
        <v>4589</v>
      </c>
      <c r="F1731" t="s">
        <v>4590</v>
      </c>
    </row>
    <row r="1732" spans="2:6" x14ac:dyDescent="0.35">
      <c r="B1732">
        <v>4700161636</v>
      </c>
      <c r="C1732">
        <v>10</v>
      </c>
      <c r="D1732" t="s">
        <v>1400</v>
      </c>
      <c r="E1732" t="s">
        <v>4586</v>
      </c>
      <c r="F1732" t="s">
        <v>4591</v>
      </c>
    </row>
    <row r="1733" spans="2:6" x14ac:dyDescent="0.35">
      <c r="B1733">
        <v>4700161627</v>
      </c>
      <c r="C1733">
        <v>10</v>
      </c>
      <c r="D1733" t="s">
        <v>599</v>
      </c>
      <c r="E1733" t="s">
        <v>4044</v>
      </c>
      <c r="F1733" t="s">
        <v>4592</v>
      </c>
    </row>
    <row r="1734" spans="2:6" x14ac:dyDescent="0.35">
      <c r="B1734">
        <v>4700161626</v>
      </c>
      <c r="C1734">
        <v>80</v>
      </c>
      <c r="D1734" t="s">
        <v>4593</v>
      </c>
      <c r="E1734" t="s">
        <v>3797</v>
      </c>
      <c r="F1734" t="s">
        <v>4594</v>
      </c>
    </row>
    <row r="1735" spans="2:6" x14ac:dyDescent="0.35">
      <c r="B1735">
        <v>4700161626</v>
      </c>
      <c r="C1735">
        <v>70</v>
      </c>
      <c r="D1735" t="s">
        <v>4595</v>
      </c>
      <c r="E1735" t="s">
        <v>3797</v>
      </c>
      <c r="F1735" t="s">
        <v>4596</v>
      </c>
    </row>
    <row r="1736" spans="2:6" x14ac:dyDescent="0.35">
      <c r="B1736">
        <v>4700161626</v>
      </c>
      <c r="C1736">
        <v>60</v>
      </c>
      <c r="D1736" t="s">
        <v>4597</v>
      </c>
      <c r="E1736" t="s">
        <v>3797</v>
      </c>
      <c r="F1736" t="s">
        <v>4598</v>
      </c>
    </row>
    <row r="1737" spans="2:6" x14ac:dyDescent="0.35">
      <c r="B1737">
        <v>4700161626</v>
      </c>
      <c r="C1737">
        <v>50</v>
      </c>
      <c r="D1737" t="s">
        <v>4599</v>
      </c>
      <c r="E1737" t="s">
        <v>3797</v>
      </c>
      <c r="F1737" t="s">
        <v>4600</v>
      </c>
    </row>
    <row r="1738" spans="2:6" x14ac:dyDescent="0.35">
      <c r="B1738">
        <v>4700161626</v>
      </c>
      <c r="C1738">
        <v>40</v>
      </c>
      <c r="D1738" t="s">
        <v>4601</v>
      </c>
      <c r="E1738" t="s">
        <v>3797</v>
      </c>
      <c r="F1738" t="s">
        <v>4602</v>
      </c>
    </row>
    <row r="1739" spans="2:6" x14ac:dyDescent="0.35">
      <c r="B1739">
        <v>4700161626</v>
      </c>
      <c r="C1739">
        <v>30</v>
      </c>
      <c r="D1739" t="s">
        <v>4603</v>
      </c>
      <c r="E1739" t="s">
        <v>3797</v>
      </c>
      <c r="F1739" t="s">
        <v>4604</v>
      </c>
    </row>
    <row r="1740" spans="2:6" x14ac:dyDescent="0.35">
      <c r="B1740">
        <v>4700161626</v>
      </c>
      <c r="C1740">
        <v>20</v>
      </c>
      <c r="D1740" t="s">
        <v>4605</v>
      </c>
      <c r="E1740" t="s">
        <v>3797</v>
      </c>
      <c r="F1740" t="s">
        <v>4606</v>
      </c>
    </row>
    <row r="1741" spans="2:6" x14ac:dyDescent="0.35">
      <c r="B1741">
        <v>4700161626</v>
      </c>
      <c r="C1741">
        <v>10</v>
      </c>
      <c r="D1741" t="s">
        <v>4607</v>
      </c>
      <c r="E1741" t="s">
        <v>3797</v>
      </c>
      <c r="F1741" t="s">
        <v>4608</v>
      </c>
    </row>
    <row r="1742" spans="2:6" x14ac:dyDescent="0.35">
      <c r="B1742">
        <v>4700161596</v>
      </c>
      <c r="C1742">
        <v>30</v>
      </c>
      <c r="D1742" t="s">
        <v>4609</v>
      </c>
      <c r="E1742" t="s">
        <v>3200</v>
      </c>
      <c r="F1742" t="s">
        <v>4610</v>
      </c>
    </row>
    <row r="1743" spans="2:6" x14ac:dyDescent="0.35">
      <c r="B1743">
        <v>4700161596</v>
      </c>
      <c r="C1743">
        <v>20</v>
      </c>
      <c r="D1743" t="s">
        <v>4611</v>
      </c>
      <c r="E1743" t="s">
        <v>3200</v>
      </c>
      <c r="F1743" t="s">
        <v>4612</v>
      </c>
    </row>
    <row r="1744" spans="2:6" x14ac:dyDescent="0.35">
      <c r="B1744">
        <v>4700161596</v>
      </c>
      <c r="C1744">
        <v>10</v>
      </c>
      <c r="D1744" t="s">
        <v>4613</v>
      </c>
      <c r="E1744" t="s">
        <v>3200</v>
      </c>
      <c r="F1744" t="s">
        <v>4614</v>
      </c>
    </row>
    <row r="1745" spans="2:6" x14ac:dyDescent="0.35">
      <c r="B1745">
        <v>4700161582</v>
      </c>
      <c r="C1745">
        <v>10</v>
      </c>
      <c r="D1745" t="s">
        <v>4615</v>
      </c>
      <c r="E1745" t="s">
        <v>3200</v>
      </c>
      <c r="F1745" t="s">
        <v>4616</v>
      </c>
    </row>
    <row r="1746" spans="2:6" x14ac:dyDescent="0.35">
      <c r="B1746">
        <v>4700161521</v>
      </c>
      <c r="C1746">
        <v>10</v>
      </c>
      <c r="D1746" t="s">
        <v>4617</v>
      </c>
      <c r="E1746" t="s">
        <v>4618</v>
      </c>
      <c r="F1746" t="s">
        <v>4619</v>
      </c>
    </row>
    <row r="1747" spans="2:6" x14ac:dyDescent="0.35">
      <c r="B1747">
        <v>4700161517</v>
      </c>
      <c r="C1747">
        <v>20</v>
      </c>
      <c r="D1747" t="s">
        <v>1402</v>
      </c>
      <c r="E1747" t="s">
        <v>3521</v>
      </c>
      <c r="F1747" t="s">
        <v>4620</v>
      </c>
    </row>
    <row r="1748" spans="2:6" x14ac:dyDescent="0.35">
      <c r="B1748">
        <v>4700161515</v>
      </c>
      <c r="C1748">
        <v>10</v>
      </c>
      <c r="D1748" t="s">
        <v>4621</v>
      </c>
      <c r="E1748" t="s">
        <v>3200</v>
      </c>
      <c r="F1748" t="s">
        <v>4622</v>
      </c>
    </row>
    <row r="1749" spans="2:6" x14ac:dyDescent="0.35">
      <c r="B1749">
        <v>4700161466</v>
      </c>
      <c r="C1749">
        <v>80</v>
      </c>
      <c r="D1749" t="s">
        <v>4623</v>
      </c>
      <c r="E1749" t="s">
        <v>4624</v>
      </c>
      <c r="F1749" t="s">
        <v>4625</v>
      </c>
    </row>
    <row r="1750" spans="2:6" x14ac:dyDescent="0.35">
      <c r="B1750">
        <v>4700161466</v>
      </c>
      <c r="C1750">
        <v>70</v>
      </c>
      <c r="D1750" t="s">
        <v>4626</v>
      </c>
      <c r="E1750" t="s">
        <v>4624</v>
      </c>
      <c r="F1750" t="s">
        <v>4627</v>
      </c>
    </row>
    <row r="1751" spans="2:6" x14ac:dyDescent="0.35">
      <c r="B1751">
        <v>4700161466</v>
      </c>
      <c r="C1751">
        <v>60</v>
      </c>
      <c r="D1751" t="s">
        <v>4628</v>
      </c>
      <c r="E1751" t="s">
        <v>4624</v>
      </c>
      <c r="F1751" t="s">
        <v>4629</v>
      </c>
    </row>
    <row r="1752" spans="2:6" x14ac:dyDescent="0.35">
      <c r="B1752">
        <v>4700161466</v>
      </c>
      <c r="C1752">
        <v>50</v>
      </c>
      <c r="D1752" t="s">
        <v>4630</v>
      </c>
      <c r="E1752" t="s">
        <v>4624</v>
      </c>
      <c r="F1752" t="s">
        <v>4631</v>
      </c>
    </row>
    <row r="1753" spans="2:6" x14ac:dyDescent="0.35">
      <c r="B1753">
        <v>4700161466</v>
      </c>
      <c r="C1753">
        <v>40</v>
      </c>
      <c r="D1753" t="s">
        <v>4632</v>
      </c>
      <c r="E1753" t="s">
        <v>4624</v>
      </c>
      <c r="F1753" t="s">
        <v>4633</v>
      </c>
    </row>
    <row r="1754" spans="2:6" x14ac:dyDescent="0.35">
      <c r="B1754">
        <v>4700161466</v>
      </c>
      <c r="C1754">
        <v>30</v>
      </c>
      <c r="D1754" t="s">
        <v>4634</v>
      </c>
      <c r="E1754" t="s">
        <v>4624</v>
      </c>
      <c r="F1754" t="s">
        <v>4635</v>
      </c>
    </row>
    <row r="1755" spans="2:6" x14ac:dyDescent="0.35">
      <c r="B1755">
        <v>4700161466</v>
      </c>
      <c r="C1755">
        <v>20</v>
      </c>
      <c r="D1755" t="s">
        <v>4636</v>
      </c>
      <c r="E1755" t="s">
        <v>4624</v>
      </c>
      <c r="F1755" t="s">
        <v>4637</v>
      </c>
    </row>
    <row r="1756" spans="2:6" x14ac:dyDescent="0.35">
      <c r="B1756">
        <v>4700161466</v>
      </c>
      <c r="C1756">
        <v>10</v>
      </c>
      <c r="D1756" t="s">
        <v>4638</v>
      </c>
      <c r="E1756" t="s">
        <v>4624</v>
      </c>
      <c r="F1756" t="s">
        <v>4639</v>
      </c>
    </row>
    <row r="1757" spans="2:6" x14ac:dyDescent="0.35">
      <c r="B1757">
        <v>4700161419</v>
      </c>
      <c r="C1757">
        <v>10</v>
      </c>
      <c r="D1757" t="s">
        <v>4640</v>
      </c>
      <c r="E1757" t="s">
        <v>4641</v>
      </c>
      <c r="F1757" t="s">
        <v>4642</v>
      </c>
    </row>
    <row r="1758" spans="2:6" x14ac:dyDescent="0.35">
      <c r="B1758">
        <v>4700160963</v>
      </c>
      <c r="C1758">
        <v>10</v>
      </c>
      <c r="D1758" t="s">
        <v>4643</v>
      </c>
      <c r="E1758" t="s">
        <v>4644</v>
      </c>
      <c r="F1758" t="s">
        <v>4645</v>
      </c>
    </row>
    <row r="1759" spans="2:6" x14ac:dyDescent="0.35">
      <c r="B1759">
        <v>4700160503</v>
      </c>
      <c r="C1759">
        <v>10</v>
      </c>
      <c r="D1759" t="s">
        <v>4646</v>
      </c>
      <c r="E1759" t="s">
        <v>3200</v>
      </c>
      <c r="F1759" t="s">
        <v>4647</v>
      </c>
    </row>
    <row r="1760" spans="2:6" x14ac:dyDescent="0.35">
      <c r="B1760">
        <v>4700160247</v>
      </c>
      <c r="C1760">
        <v>10</v>
      </c>
      <c r="D1760" t="s">
        <v>4648</v>
      </c>
      <c r="E1760" t="s">
        <v>4649</v>
      </c>
      <c r="F1760" t="s">
        <v>4650</v>
      </c>
    </row>
    <row r="1761" spans="2:6" x14ac:dyDescent="0.35">
      <c r="B1761">
        <v>4700160196</v>
      </c>
      <c r="C1761">
        <v>10</v>
      </c>
      <c r="D1761" t="s">
        <v>4651</v>
      </c>
      <c r="E1761" t="s">
        <v>4652</v>
      </c>
      <c r="F1761" t="s">
        <v>4653</v>
      </c>
    </row>
    <row r="1762" spans="2:6" x14ac:dyDescent="0.35">
      <c r="B1762">
        <v>4700159928</v>
      </c>
      <c r="C1762">
        <v>10</v>
      </c>
      <c r="D1762" t="s">
        <v>4654</v>
      </c>
      <c r="E1762" t="s">
        <v>3200</v>
      </c>
      <c r="F1762" t="s">
        <v>4655</v>
      </c>
    </row>
    <row r="1763" spans="2:6" x14ac:dyDescent="0.35">
      <c r="B1763">
        <v>4700159616</v>
      </c>
      <c r="C1763">
        <v>20</v>
      </c>
      <c r="D1763" t="s">
        <v>4656</v>
      </c>
      <c r="E1763" t="s">
        <v>4657</v>
      </c>
      <c r="F1763" t="s">
        <v>4658</v>
      </c>
    </row>
    <row r="1764" spans="2:6" x14ac:dyDescent="0.35">
      <c r="B1764">
        <v>4700159616</v>
      </c>
      <c r="C1764">
        <v>10</v>
      </c>
      <c r="D1764" t="s">
        <v>4659</v>
      </c>
      <c r="E1764" t="s">
        <v>4657</v>
      </c>
      <c r="F1764" t="s">
        <v>4660</v>
      </c>
    </row>
    <row r="1765" spans="2:6" x14ac:dyDescent="0.35">
      <c r="B1765">
        <v>4700158966</v>
      </c>
      <c r="C1765">
        <v>90</v>
      </c>
      <c r="D1765" t="s">
        <v>4661</v>
      </c>
      <c r="E1765" t="s">
        <v>4586</v>
      </c>
      <c r="F1765" t="s">
        <v>4662</v>
      </c>
    </row>
    <row r="1766" spans="2:6" x14ac:dyDescent="0.35">
      <c r="B1766">
        <v>4700158966</v>
      </c>
      <c r="C1766">
        <v>80</v>
      </c>
      <c r="D1766" t="s">
        <v>4663</v>
      </c>
      <c r="E1766" t="s">
        <v>4586</v>
      </c>
      <c r="F1766" t="s">
        <v>4664</v>
      </c>
    </row>
    <row r="1767" spans="2:6" x14ac:dyDescent="0.35">
      <c r="B1767">
        <v>4700158966</v>
      </c>
      <c r="C1767">
        <v>70</v>
      </c>
      <c r="D1767" t="s">
        <v>4665</v>
      </c>
      <c r="E1767" t="s">
        <v>4586</v>
      </c>
      <c r="F1767" t="s">
        <v>4666</v>
      </c>
    </row>
    <row r="1768" spans="2:6" x14ac:dyDescent="0.35">
      <c r="B1768">
        <v>4700158966</v>
      </c>
      <c r="C1768">
        <v>60</v>
      </c>
      <c r="D1768" t="s">
        <v>4667</v>
      </c>
      <c r="E1768" t="s">
        <v>4586</v>
      </c>
      <c r="F1768" t="s">
        <v>4668</v>
      </c>
    </row>
    <row r="1769" spans="2:6" x14ac:dyDescent="0.35">
      <c r="B1769">
        <v>4700158966</v>
      </c>
      <c r="C1769">
        <v>50</v>
      </c>
      <c r="D1769" t="s">
        <v>4669</v>
      </c>
      <c r="E1769" t="s">
        <v>4586</v>
      </c>
      <c r="F1769" t="s">
        <v>4670</v>
      </c>
    </row>
    <row r="1770" spans="2:6" x14ac:dyDescent="0.35">
      <c r="B1770">
        <v>4700158966</v>
      </c>
      <c r="C1770">
        <v>40</v>
      </c>
      <c r="D1770" t="s">
        <v>4671</v>
      </c>
      <c r="E1770" t="s">
        <v>4586</v>
      </c>
      <c r="F1770" t="s">
        <v>4672</v>
      </c>
    </row>
    <row r="1771" spans="2:6" x14ac:dyDescent="0.35">
      <c r="B1771">
        <v>4700158966</v>
      </c>
      <c r="C1771">
        <v>30</v>
      </c>
      <c r="D1771" t="s">
        <v>4673</v>
      </c>
      <c r="E1771" t="s">
        <v>4586</v>
      </c>
      <c r="F1771" t="s">
        <v>4674</v>
      </c>
    </row>
    <row r="1772" spans="2:6" x14ac:dyDescent="0.35">
      <c r="B1772">
        <v>4700158966</v>
      </c>
      <c r="C1772">
        <v>250</v>
      </c>
      <c r="D1772" t="s">
        <v>4675</v>
      </c>
      <c r="E1772" t="s">
        <v>4586</v>
      </c>
      <c r="F1772" t="s">
        <v>4676</v>
      </c>
    </row>
    <row r="1773" spans="2:6" x14ac:dyDescent="0.35">
      <c r="B1773">
        <v>4700158966</v>
      </c>
      <c r="C1773">
        <v>240</v>
      </c>
      <c r="D1773" t="s">
        <v>4677</v>
      </c>
      <c r="E1773" t="s">
        <v>4586</v>
      </c>
      <c r="F1773" t="s">
        <v>4678</v>
      </c>
    </row>
    <row r="1774" spans="2:6" x14ac:dyDescent="0.35">
      <c r="B1774">
        <v>4700158966</v>
      </c>
      <c r="C1774">
        <v>230</v>
      </c>
      <c r="D1774" t="s">
        <v>4679</v>
      </c>
      <c r="E1774" t="s">
        <v>4586</v>
      </c>
      <c r="F1774" t="s">
        <v>4680</v>
      </c>
    </row>
    <row r="1775" spans="2:6" x14ac:dyDescent="0.35">
      <c r="B1775">
        <v>4700158966</v>
      </c>
      <c r="C1775">
        <v>220</v>
      </c>
      <c r="D1775" t="s">
        <v>4681</v>
      </c>
      <c r="E1775" t="s">
        <v>4586</v>
      </c>
      <c r="F1775" t="s">
        <v>4682</v>
      </c>
    </row>
    <row r="1776" spans="2:6" x14ac:dyDescent="0.35">
      <c r="B1776">
        <v>4700158966</v>
      </c>
      <c r="C1776">
        <v>210</v>
      </c>
      <c r="D1776" t="s">
        <v>4683</v>
      </c>
      <c r="E1776" t="s">
        <v>4586</v>
      </c>
      <c r="F1776" t="s">
        <v>4684</v>
      </c>
    </row>
    <row r="1777" spans="2:6" x14ac:dyDescent="0.35">
      <c r="B1777">
        <v>4700158966</v>
      </c>
      <c r="C1777">
        <v>200</v>
      </c>
      <c r="D1777" t="s">
        <v>4685</v>
      </c>
      <c r="E1777" t="s">
        <v>4586</v>
      </c>
      <c r="F1777" t="s">
        <v>4686</v>
      </c>
    </row>
    <row r="1778" spans="2:6" x14ac:dyDescent="0.35">
      <c r="B1778">
        <v>4700158966</v>
      </c>
      <c r="C1778">
        <v>20</v>
      </c>
      <c r="D1778" t="s">
        <v>4687</v>
      </c>
      <c r="E1778" t="s">
        <v>4586</v>
      </c>
      <c r="F1778" t="s">
        <v>4688</v>
      </c>
    </row>
    <row r="1779" spans="2:6" x14ac:dyDescent="0.35">
      <c r="B1779">
        <v>4700158966</v>
      </c>
      <c r="C1779">
        <v>190</v>
      </c>
      <c r="D1779" t="s">
        <v>4689</v>
      </c>
      <c r="E1779" t="s">
        <v>4586</v>
      </c>
      <c r="F1779" t="s">
        <v>4690</v>
      </c>
    </row>
    <row r="1780" spans="2:6" x14ac:dyDescent="0.35">
      <c r="B1780">
        <v>4700158966</v>
      </c>
      <c r="C1780">
        <v>180</v>
      </c>
      <c r="D1780" t="s">
        <v>4691</v>
      </c>
      <c r="E1780" t="s">
        <v>4586</v>
      </c>
      <c r="F1780" t="s">
        <v>4692</v>
      </c>
    </row>
    <row r="1781" spans="2:6" x14ac:dyDescent="0.35">
      <c r="B1781">
        <v>4700158966</v>
      </c>
      <c r="C1781">
        <v>170</v>
      </c>
      <c r="D1781" t="s">
        <v>4693</v>
      </c>
      <c r="E1781" t="s">
        <v>4586</v>
      </c>
      <c r="F1781" t="s">
        <v>4694</v>
      </c>
    </row>
    <row r="1782" spans="2:6" x14ac:dyDescent="0.35">
      <c r="B1782">
        <v>4700158966</v>
      </c>
      <c r="C1782">
        <v>160</v>
      </c>
      <c r="D1782" t="s">
        <v>4679</v>
      </c>
      <c r="E1782" t="s">
        <v>4586</v>
      </c>
      <c r="F1782" t="s">
        <v>4680</v>
      </c>
    </row>
    <row r="1783" spans="2:6" x14ac:dyDescent="0.35">
      <c r="B1783">
        <v>4700158966</v>
      </c>
      <c r="C1783">
        <v>150</v>
      </c>
      <c r="D1783" t="s">
        <v>4695</v>
      </c>
      <c r="E1783" t="s">
        <v>4586</v>
      </c>
      <c r="F1783" t="s">
        <v>4696</v>
      </c>
    </row>
    <row r="1784" spans="2:6" x14ac:dyDescent="0.35">
      <c r="B1784">
        <v>4700158966</v>
      </c>
      <c r="C1784">
        <v>140</v>
      </c>
      <c r="D1784" t="s">
        <v>4697</v>
      </c>
      <c r="E1784" t="s">
        <v>4586</v>
      </c>
      <c r="F1784" t="s">
        <v>4698</v>
      </c>
    </row>
    <row r="1785" spans="2:6" x14ac:dyDescent="0.35">
      <c r="B1785">
        <v>4700158966</v>
      </c>
      <c r="C1785">
        <v>130</v>
      </c>
      <c r="D1785" t="s">
        <v>4699</v>
      </c>
      <c r="E1785" t="s">
        <v>4586</v>
      </c>
      <c r="F1785" t="s">
        <v>4700</v>
      </c>
    </row>
    <row r="1786" spans="2:6" x14ac:dyDescent="0.35">
      <c r="B1786">
        <v>4700158966</v>
      </c>
      <c r="C1786">
        <v>120</v>
      </c>
      <c r="D1786" t="s">
        <v>4701</v>
      </c>
      <c r="E1786" t="s">
        <v>4586</v>
      </c>
      <c r="F1786" t="s">
        <v>4702</v>
      </c>
    </row>
    <row r="1787" spans="2:6" x14ac:dyDescent="0.35">
      <c r="B1787">
        <v>4700158966</v>
      </c>
      <c r="C1787">
        <v>110</v>
      </c>
      <c r="D1787" t="s">
        <v>4703</v>
      </c>
      <c r="E1787" t="s">
        <v>4586</v>
      </c>
      <c r="F1787" t="s">
        <v>4704</v>
      </c>
    </row>
    <row r="1788" spans="2:6" x14ac:dyDescent="0.35">
      <c r="B1788">
        <v>4700158966</v>
      </c>
      <c r="C1788">
        <v>100</v>
      </c>
      <c r="D1788" t="s">
        <v>4705</v>
      </c>
      <c r="E1788" t="s">
        <v>4586</v>
      </c>
      <c r="F1788" t="s">
        <v>4706</v>
      </c>
    </row>
    <row r="1789" spans="2:6" x14ac:dyDescent="0.35">
      <c r="B1789">
        <v>4700158966</v>
      </c>
      <c r="C1789">
        <v>10</v>
      </c>
      <c r="D1789" t="s">
        <v>4707</v>
      </c>
      <c r="E1789" t="s">
        <v>4586</v>
      </c>
      <c r="F1789" t="s">
        <v>4708</v>
      </c>
    </row>
    <row r="1790" spans="2:6" x14ac:dyDescent="0.35">
      <c r="B1790">
        <v>4700158841</v>
      </c>
      <c r="C1790">
        <v>10</v>
      </c>
      <c r="D1790" t="s">
        <v>4709</v>
      </c>
      <c r="E1790" t="s">
        <v>4039</v>
      </c>
      <c r="F1790" t="s">
        <v>4710</v>
      </c>
    </row>
    <row r="1791" spans="2:6" x14ac:dyDescent="0.35">
      <c r="B1791">
        <v>4700158631</v>
      </c>
      <c r="C1791">
        <v>10</v>
      </c>
      <c r="D1791" t="s">
        <v>4711</v>
      </c>
      <c r="E1791" t="s">
        <v>4712</v>
      </c>
      <c r="F1791" t="s">
        <v>4713</v>
      </c>
    </row>
    <row r="1792" spans="2:6" x14ac:dyDescent="0.35">
      <c r="B1792">
        <v>4700158627</v>
      </c>
      <c r="C1792">
        <v>10</v>
      </c>
      <c r="D1792" t="s">
        <v>4711</v>
      </c>
      <c r="E1792" t="s">
        <v>4714</v>
      </c>
      <c r="F1792" t="s">
        <v>4715</v>
      </c>
    </row>
    <row r="1793" spans="2:6" x14ac:dyDescent="0.35">
      <c r="B1793">
        <v>4700158366</v>
      </c>
      <c r="C1793">
        <v>10</v>
      </c>
      <c r="D1793" t="s">
        <v>4716</v>
      </c>
      <c r="E1793" t="s">
        <v>4717</v>
      </c>
      <c r="F1793" t="s">
        <v>4718</v>
      </c>
    </row>
    <row r="1794" spans="2:6" x14ac:dyDescent="0.35">
      <c r="B1794">
        <v>4700158364</v>
      </c>
      <c r="C1794">
        <v>10</v>
      </c>
      <c r="D1794" t="s">
        <v>4719</v>
      </c>
      <c r="E1794" t="s">
        <v>4039</v>
      </c>
      <c r="F1794" t="s">
        <v>4720</v>
      </c>
    </row>
    <row r="1795" spans="2:6" x14ac:dyDescent="0.35">
      <c r="B1795">
        <v>4700158254</v>
      </c>
      <c r="C1795">
        <v>10</v>
      </c>
      <c r="D1795" t="s">
        <v>4721</v>
      </c>
      <c r="E1795" t="s">
        <v>4722</v>
      </c>
      <c r="F1795" t="s">
        <v>4723</v>
      </c>
    </row>
    <row r="1796" spans="2:6" x14ac:dyDescent="0.35">
      <c r="B1796">
        <v>4700157655</v>
      </c>
      <c r="C1796">
        <v>10</v>
      </c>
      <c r="D1796" t="s">
        <v>646</v>
      </c>
      <c r="E1796" t="s">
        <v>4724</v>
      </c>
      <c r="F1796" t="s">
        <v>4725</v>
      </c>
    </row>
    <row r="1797" spans="2:6" x14ac:dyDescent="0.35">
      <c r="B1797">
        <v>4700157396</v>
      </c>
      <c r="C1797">
        <v>40</v>
      </c>
      <c r="D1797" t="s">
        <v>4726</v>
      </c>
      <c r="E1797" t="s">
        <v>4727</v>
      </c>
      <c r="F1797" t="s">
        <v>4728</v>
      </c>
    </row>
    <row r="1798" spans="2:6" x14ac:dyDescent="0.35">
      <c r="B1798">
        <v>4700157396</v>
      </c>
      <c r="C1798">
        <v>20</v>
      </c>
      <c r="D1798" t="s">
        <v>4729</v>
      </c>
      <c r="E1798" t="s">
        <v>4727</v>
      </c>
      <c r="F1798" t="s">
        <v>4730</v>
      </c>
    </row>
    <row r="1799" spans="2:6" x14ac:dyDescent="0.35">
      <c r="B1799">
        <v>4700157396</v>
      </c>
      <c r="C1799">
        <v>10</v>
      </c>
      <c r="D1799" t="s">
        <v>4520</v>
      </c>
      <c r="E1799" t="s">
        <v>4727</v>
      </c>
      <c r="F1799" t="s">
        <v>4731</v>
      </c>
    </row>
    <row r="1800" spans="2:6" x14ac:dyDescent="0.35">
      <c r="B1800">
        <v>4700157336</v>
      </c>
      <c r="C1800">
        <v>50</v>
      </c>
      <c r="D1800" t="s">
        <v>4732</v>
      </c>
      <c r="E1800" t="s">
        <v>4733</v>
      </c>
      <c r="F1800" t="s">
        <v>4734</v>
      </c>
    </row>
    <row r="1801" spans="2:6" x14ac:dyDescent="0.35">
      <c r="B1801">
        <v>4700157336</v>
      </c>
      <c r="C1801">
        <v>40</v>
      </c>
      <c r="D1801" t="s">
        <v>4732</v>
      </c>
      <c r="E1801" t="s">
        <v>4733</v>
      </c>
      <c r="F1801" t="s">
        <v>4734</v>
      </c>
    </row>
    <row r="1802" spans="2:6" x14ac:dyDescent="0.35">
      <c r="B1802">
        <v>4700156715</v>
      </c>
      <c r="C1802">
        <v>10</v>
      </c>
      <c r="D1802" t="s">
        <v>4735</v>
      </c>
      <c r="E1802" t="s">
        <v>4724</v>
      </c>
      <c r="F1802" t="s">
        <v>4736</v>
      </c>
    </row>
    <row r="1803" spans="2:6" x14ac:dyDescent="0.35">
      <c r="B1803">
        <v>4700156684</v>
      </c>
      <c r="C1803">
        <v>10</v>
      </c>
      <c r="D1803" t="s">
        <v>4737</v>
      </c>
      <c r="E1803" t="s">
        <v>4738</v>
      </c>
      <c r="F1803" t="s">
        <v>4739</v>
      </c>
    </row>
    <row r="1804" spans="2:6" x14ac:dyDescent="0.35">
      <c r="B1804">
        <v>4700156502</v>
      </c>
      <c r="C1804">
        <v>10</v>
      </c>
      <c r="D1804" t="s">
        <v>4740</v>
      </c>
      <c r="E1804" t="s">
        <v>4741</v>
      </c>
      <c r="F1804" t="s">
        <v>4742</v>
      </c>
    </row>
    <row r="1805" spans="2:6" x14ac:dyDescent="0.35">
      <c r="B1805">
        <v>4700155702</v>
      </c>
      <c r="C1805">
        <v>20</v>
      </c>
      <c r="D1805" t="s">
        <v>4743</v>
      </c>
      <c r="E1805" t="s">
        <v>3200</v>
      </c>
      <c r="F1805" t="s">
        <v>4744</v>
      </c>
    </row>
    <row r="1806" spans="2:6" x14ac:dyDescent="0.35">
      <c r="B1806">
        <v>4700155702</v>
      </c>
      <c r="C1806">
        <v>10</v>
      </c>
      <c r="D1806" t="s">
        <v>4745</v>
      </c>
      <c r="E1806" t="s">
        <v>3200</v>
      </c>
      <c r="F1806" t="s">
        <v>4746</v>
      </c>
    </row>
    <row r="1807" spans="2:6" x14ac:dyDescent="0.35">
      <c r="B1807">
        <v>4700155320</v>
      </c>
      <c r="C1807">
        <v>10</v>
      </c>
      <c r="D1807" t="s">
        <v>4747</v>
      </c>
      <c r="E1807" t="s">
        <v>3200</v>
      </c>
      <c r="F1807" t="s">
        <v>4748</v>
      </c>
    </row>
    <row r="1808" spans="2:6" x14ac:dyDescent="0.35">
      <c r="B1808">
        <v>4700155317</v>
      </c>
      <c r="C1808">
        <v>10</v>
      </c>
      <c r="D1808" t="s">
        <v>4749</v>
      </c>
      <c r="E1808" t="s">
        <v>4750</v>
      </c>
      <c r="F1808" t="s">
        <v>4751</v>
      </c>
    </row>
    <row r="1809" spans="2:6" x14ac:dyDescent="0.35">
      <c r="B1809">
        <v>4700155042</v>
      </c>
      <c r="C1809">
        <v>10</v>
      </c>
      <c r="D1809" t="s">
        <v>4752</v>
      </c>
      <c r="E1809" t="s">
        <v>3200</v>
      </c>
      <c r="F1809" t="s">
        <v>4753</v>
      </c>
    </row>
    <row r="1810" spans="2:6" x14ac:dyDescent="0.35">
      <c r="B1810">
        <v>4700154343</v>
      </c>
      <c r="C1810">
        <v>10</v>
      </c>
      <c r="D1810" t="s">
        <v>4754</v>
      </c>
      <c r="E1810" t="s">
        <v>4039</v>
      </c>
      <c r="F1810" t="s">
        <v>4755</v>
      </c>
    </row>
    <row r="1811" spans="2:6" x14ac:dyDescent="0.35">
      <c r="B1811">
        <v>4700154109</v>
      </c>
      <c r="C1811">
        <v>10</v>
      </c>
      <c r="D1811" t="s">
        <v>4756</v>
      </c>
      <c r="E1811" t="s">
        <v>4039</v>
      </c>
      <c r="F1811" t="s">
        <v>4757</v>
      </c>
    </row>
    <row r="1812" spans="2:6" x14ac:dyDescent="0.35">
      <c r="B1812">
        <v>4700152428</v>
      </c>
      <c r="C1812">
        <v>10</v>
      </c>
      <c r="D1812" t="s">
        <v>4758</v>
      </c>
      <c r="E1812" t="s">
        <v>4039</v>
      </c>
      <c r="F1812" t="s">
        <v>4759</v>
      </c>
    </row>
    <row r="1813" spans="2:6" x14ac:dyDescent="0.35">
      <c r="B1813">
        <v>4700147358</v>
      </c>
      <c r="C1813">
        <v>10</v>
      </c>
      <c r="D1813" t="s">
        <v>4760</v>
      </c>
      <c r="E1813" t="s">
        <v>4761</v>
      </c>
      <c r="F1813" t="s">
        <v>4762</v>
      </c>
    </row>
    <row r="1814" spans="2:6" x14ac:dyDescent="0.35">
      <c r="B1814">
        <v>4700144574</v>
      </c>
      <c r="C1814">
        <v>10</v>
      </c>
      <c r="D1814" t="s">
        <v>4763</v>
      </c>
      <c r="E1814" t="s">
        <v>4764</v>
      </c>
      <c r="F1814" t="s">
        <v>4765</v>
      </c>
    </row>
    <row r="1815" spans="2:6" x14ac:dyDescent="0.35">
      <c r="B1815">
        <v>4700143367</v>
      </c>
      <c r="C1815">
        <v>90</v>
      </c>
      <c r="D1815" t="s">
        <v>4766</v>
      </c>
      <c r="E1815" t="s">
        <v>4767</v>
      </c>
      <c r="F1815" t="s">
        <v>4768</v>
      </c>
    </row>
    <row r="1816" spans="2:6" x14ac:dyDescent="0.35">
      <c r="B1816">
        <v>4502702581</v>
      </c>
      <c r="C1816">
        <v>10</v>
      </c>
      <c r="D1816" t="s">
        <v>4769</v>
      </c>
      <c r="E1816" t="s">
        <v>3200</v>
      </c>
      <c r="F1816" t="s">
        <v>4770</v>
      </c>
    </row>
    <row r="1817" spans="2:6" x14ac:dyDescent="0.35">
      <c r="B1817">
        <v>4502702534</v>
      </c>
      <c r="C1817">
        <v>10</v>
      </c>
      <c r="D1817" t="s">
        <v>4771</v>
      </c>
      <c r="E1817" t="s">
        <v>3200</v>
      </c>
      <c r="F1817" t="s">
        <v>4772</v>
      </c>
    </row>
    <row r="1818" spans="2:6" x14ac:dyDescent="0.35">
      <c r="B1818">
        <v>4502702527</v>
      </c>
      <c r="C1818">
        <v>10</v>
      </c>
      <c r="D1818" t="s">
        <v>4773</v>
      </c>
      <c r="E1818" t="s">
        <v>3200</v>
      </c>
      <c r="F1818" t="s">
        <v>4774</v>
      </c>
    </row>
    <row r="1819" spans="2:6" x14ac:dyDescent="0.35">
      <c r="B1819">
        <v>4502702263</v>
      </c>
      <c r="C1819">
        <v>10</v>
      </c>
      <c r="D1819" t="s">
        <v>160</v>
      </c>
      <c r="E1819" t="s">
        <v>2887</v>
      </c>
      <c r="F1819" t="s">
        <v>4775</v>
      </c>
    </row>
    <row r="1820" spans="2:6" x14ac:dyDescent="0.35">
      <c r="B1820">
        <v>4502702197</v>
      </c>
      <c r="C1820">
        <v>10</v>
      </c>
      <c r="D1820" t="s">
        <v>4776</v>
      </c>
      <c r="E1820" t="s">
        <v>3200</v>
      </c>
      <c r="F1820" t="s">
        <v>4777</v>
      </c>
    </row>
    <row r="1821" spans="2:6" x14ac:dyDescent="0.35">
      <c r="B1821">
        <v>4502702184</v>
      </c>
      <c r="C1821">
        <v>10</v>
      </c>
      <c r="D1821" t="s">
        <v>4778</v>
      </c>
      <c r="E1821" t="s">
        <v>2887</v>
      </c>
      <c r="F1821" t="s">
        <v>4779</v>
      </c>
    </row>
    <row r="1822" spans="2:6" x14ac:dyDescent="0.35">
      <c r="B1822">
        <v>4502702089</v>
      </c>
      <c r="C1822">
        <v>20</v>
      </c>
      <c r="D1822" t="s">
        <v>4780</v>
      </c>
      <c r="E1822" t="s">
        <v>3200</v>
      </c>
      <c r="F1822" t="s">
        <v>4781</v>
      </c>
    </row>
    <row r="1823" spans="2:6" x14ac:dyDescent="0.35">
      <c r="B1823">
        <v>4502702089</v>
      </c>
      <c r="C1823">
        <v>10</v>
      </c>
      <c r="D1823" t="s">
        <v>4782</v>
      </c>
      <c r="E1823" t="s">
        <v>3200</v>
      </c>
      <c r="F1823" t="s">
        <v>4783</v>
      </c>
    </row>
    <row r="1824" spans="2:6" x14ac:dyDescent="0.35">
      <c r="B1824">
        <v>4502702087</v>
      </c>
      <c r="C1824">
        <v>10</v>
      </c>
      <c r="D1824" t="s">
        <v>313</v>
      </c>
      <c r="E1824" t="s">
        <v>3200</v>
      </c>
      <c r="F1824" t="s">
        <v>4784</v>
      </c>
    </row>
    <row r="1825" spans="2:6" x14ac:dyDescent="0.35">
      <c r="B1825">
        <v>4502702050</v>
      </c>
      <c r="C1825">
        <v>10</v>
      </c>
      <c r="D1825" t="s">
        <v>4785</v>
      </c>
      <c r="E1825" t="s">
        <v>3200</v>
      </c>
      <c r="F1825" t="s">
        <v>4786</v>
      </c>
    </row>
    <row r="1826" spans="2:6" x14ac:dyDescent="0.35">
      <c r="B1826">
        <v>4502702038</v>
      </c>
      <c r="C1826">
        <v>10</v>
      </c>
      <c r="D1826" t="s">
        <v>4787</v>
      </c>
      <c r="E1826" t="s">
        <v>3200</v>
      </c>
      <c r="F1826" t="s">
        <v>4788</v>
      </c>
    </row>
    <row r="1827" spans="2:6" x14ac:dyDescent="0.35">
      <c r="B1827">
        <v>4502702026</v>
      </c>
      <c r="C1827">
        <v>10</v>
      </c>
      <c r="D1827" t="s">
        <v>1442</v>
      </c>
      <c r="E1827" t="s">
        <v>68</v>
      </c>
      <c r="F1827" t="s">
        <v>4789</v>
      </c>
    </row>
    <row r="1828" spans="2:6" x14ac:dyDescent="0.35">
      <c r="B1828">
        <v>4502701967</v>
      </c>
      <c r="C1828">
        <v>10</v>
      </c>
      <c r="D1828" t="s">
        <v>4790</v>
      </c>
      <c r="E1828" t="s">
        <v>3200</v>
      </c>
      <c r="F1828" t="s">
        <v>4791</v>
      </c>
    </row>
    <row r="1829" spans="2:6" x14ac:dyDescent="0.35">
      <c r="B1829">
        <v>4502701961</v>
      </c>
      <c r="C1829">
        <v>20</v>
      </c>
      <c r="D1829" t="s">
        <v>197</v>
      </c>
      <c r="E1829" t="s">
        <v>3200</v>
      </c>
      <c r="F1829" t="s">
        <v>4792</v>
      </c>
    </row>
    <row r="1830" spans="2:6" x14ac:dyDescent="0.35">
      <c r="B1830">
        <v>4502701961</v>
      </c>
      <c r="C1830">
        <v>10</v>
      </c>
      <c r="D1830" t="s">
        <v>1344</v>
      </c>
      <c r="E1830" t="s">
        <v>3200</v>
      </c>
      <c r="F1830" t="s">
        <v>4793</v>
      </c>
    </row>
    <row r="1831" spans="2:6" x14ac:dyDescent="0.35">
      <c r="B1831">
        <v>4502701955</v>
      </c>
      <c r="C1831">
        <v>20</v>
      </c>
      <c r="D1831" t="s">
        <v>1345</v>
      </c>
      <c r="E1831" t="s">
        <v>2887</v>
      </c>
      <c r="F1831" t="s">
        <v>4794</v>
      </c>
    </row>
    <row r="1832" spans="2:6" x14ac:dyDescent="0.35">
      <c r="B1832">
        <v>4502701955</v>
      </c>
      <c r="C1832">
        <v>10</v>
      </c>
      <c r="D1832" t="s">
        <v>1370</v>
      </c>
      <c r="E1832" t="s">
        <v>2887</v>
      </c>
      <c r="F1832" t="s">
        <v>4795</v>
      </c>
    </row>
    <row r="1833" spans="2:6" x14ac:dyDescent="0.35">
      <c r="B1833">
        <v>4502701890</v>
      </c>
      <c r="C1833">
        <v>10</v>
      </c>
      <c r="D1833" t="s">
        <v>4796</v>
      </c>
      <c r="E1833" t="s">
        <v>3200</v>
      </c>
      <c r="F1833" t="s">
        <v>4797</v>
      </c>
    </row>
    <row r="1834" spans="2:6" x14ac:dyDescent="0.35">
      <c r="B1834">
        <v>4502701880</v>
      </c>
      <c r="C1834">
        <v>10</v>
      </c>
      <c r="D1834" t="s">
        <v>4798</v>
      </c>
      <c r="E1834" t="s">
        <v>3200</v>
      </c>
      <c r="F1834" t="s">
        <v>4799</v>
      </c>
    </row>
    <row r="1835" spans="2:6" x14ac:dyDescent="0.35">
      <c r="B1835">
        <v>4502701857</v>
      </c>
      <c r="C1835">
        <v>10</v>
      </c>
      <c r="D1835" t="s">
        <v>760</v>
      </c>
      <c r="E1835" t="s">
        <v>3200</v>
      </c>
      <c r="F1835" t="s">
        <v>4800</v>
      </c>
    </row>
    <row r="1836" spans="2:6" x14ac:dyDescent="0.35">
      <c r="B1836">
        <v>4502701850</v>
      </c>
      <c r="C1836">
        <v>10</v>
      </c>
      <c r="D1836" t="s">
        <v>1213</v>
      </c>
      <c r="E1836" t="s">
        <v>2887</v>
      </c>
      <c r="F1836" t="s">
        <v>4801</v>
      </c>
    </row>
    <row r="1837" spans="2:6" x14ac:dyDescent="0.35">
      <c r="B1837">
        <v>4502701827</v>
      </c>
      <c r="C1837">
        <v>10</v>
      </c>
      <c r="D1837" t="s">
        <v>4802</v>
      </c>
      <c r="E1837" t="s">
        <v>3200</v>
      </c>
      <c r="F1837" t="s">
        <v>4803</v>
      </c>
    </row>
    <row r="1838" spans="2:6" x14ac:dyDescent="0.35">
      <c r="B1838">
        <v>4502701819</v>
      </c>
      <c r="C1838">
        <v>10</v>
      </c>
      <c r="D1838" t="s">
        <v>2167</v>
      </c>
      <c r="E1838" t="s">
        <v>3200</v>
      </c>
      <c r="F1838" t="s">
        <v>4804</v>
      </c>
    </row>
    <row r="1839" spans="2:6" x14ac:dyDescent="0.35">
      <c r="B1839">
        <v>4502701800</v>
      </c>
      <c r="C1839">
        <v>10</v>
      </c>
      <c r="D1839" t="s">
        <v>2148</v>
      </c>
      <c r="E1839" t="s">
        <v>3200</v>
      </c>
      <c r="F1839" t="s">
        <v>4805</v>
      </c>
    </row>
    <row r="1840" spans="2:6" x14ac:dyDescent="0.35">
      <c r="B1840">
        <v>4502701793</v>
      </c>
      <c r="C1840">
        <v>30</v>
      </c>
      <c r="D1840" t="s">
        <v>4806</v>
      </c>
      <c r="E1840" t="s">
        <v>3200</v>
      </c>
      <c r="F1840" t="s">
        <v>4807</v>
      </c>
    </row>
    <row r="1841" spans="2:6" x14ac:dyDescent="0.35">
      <c r="B1841">
        <v>4502701793</v>
      </c>
      <c r="C1841">
        <v>20</v>
      </c>
      <c r="D1841" t="s">
        <v>4808</v>
      </c>
      <c r="E1841" t="s">
        <v>3200</v>
      </c>
      <c r="F1841" t="s">
        <v>4809</v>
      </c>
    </row>
    <row r="1842" spans="2:6" x14ac:dyDescent="0.35">
      <c r="B1842">
        <v>4502701793</v>
      </c>
      <c r="C1842">
        <v>10</v>
      </c>
      <c r="D1842" t="s">
        <v>4810</v>
      </c>
      <c r="E1842" t="s">
        <v>3200</v>
      </c>
      <c r="F1842" t="s">
        <v>4811</v>
      </c>
    </row>
    <row r="1843" spans="2:6" x14ac:dyDescent="0.35">
      <c r="B1843">
        <v>4502701790</v>
      </c>
      <c r="C1843">
        <v>20</v>
      </c>
      <c r="D1843" t="s">
        <v>2121</v>
      </c>
      <c r="E1843" t="s">
        <v>3200</v>
      </c>
      <c r="F1843" t="s">
        <v>4812</v>
      </c>
    </row>
    <row r="1844" spans="2:6" x14ac:dyDescent="0.35">
      <c r="B1844">
        <v>4502701790</v>
      </c>
      <c r="C1844">
        <v>10</v>
      </c>
      <c r="D1844" t="s">
        <v>34</v>
      </c>
      <c r="E1844" t="s">
        <v>3200</v>
      </c>
      <c r="F1844" t="s">
        <v>4813</v>
      </c>
    </row>
    <row r="1845" spans="2:6" x14ac:dyDescent="0.35">
      <c r="B1845">
        <v>4502701784</v>
      </c>
      <c r="C1845">
        <v>10</v>
      </c>
      <c r="D1845" t="s">
        <v>1109</v>
      </c>
      <c r="E1845" t="s">
        <v>3200</v>
      </c>
      <c r="F1845" t="s">
        <v>4814</v>
      </c>
    </row>
    <row r="1846" spans="2:6" x14ac:dyDescent="0.35">
      <c r="B1846">
        <v>4502701765</v>
      </c>
      <c r="C1846">
        <v>10</v>
      </c>
      <c r="D1846" t="s">
        <v>2134</v>
      </c>
      <c r="E1846" t="s">
        <v>3200</v>
      </c>
      <c r="F1846" t="s">
        <v>4815</v>
      </c>
    </row>
    <row r="1847" spans="2:6" x14ac:dyDescent="0.35">
      <c r="B1847">
        <v>4502701756</v>
      </c>
      <c r="C1847">
        <v>10</v>
      </c>
      <c r="D1847" t="s">
        <v>4816</v>
      </c>
      <c r="E1847" t="s">
        <v>3200</v>
      </c>
      <c r="F1847" t="s">
        <v>4817</v>
      </c>
    </row>
    <row r="1848" spans="2:6" x14ac:dyDescent="0.35">
      <c r="B1848">
        <v>4502701745</v>
      </c>
      <c r="C1848">
        <v>50</v>
      </c>
      <c r="D1848" t="s">
        <v>4818</v>
      </c>
      <c r="E1848" t="s">
        <v>2887</v>
      </c>
      <c r="F1848" t="s">
        <v>4819</v>
      </c>
    </row>
    <row r="1849" spans="2:6" x14ac:dyDescent="0.35">
      <c r="B1849">
        <v>4502701745</v>
      </c>
      <c r="C1849">
        <v>40</v>
      </c>
      <c r="D1849" t="s">
        <v>4820</v>
      </c>
      <c r="E1849" t="s">
        <v>2887</v>
      </c>
      <c r="F1849" t="s">
        <v>4821</v>
      </c>
    </row>
    <row r="1850" spans="2:6" x14ac:dyDescent="0.35">
      <c r="B1850">
        <v>4502701745</v>
      </c>
      <c r="C1850">
        <v>30</v>
      </c>
      <c r="D1850" t="s">
        <v>4822</v>
      </c>
      <c r="E1850" t="s">
        <v>2887</v>
      </c>
      <c r="F1850" t="s">
        <v>4823</v>
      </c>
    </row>
    <row r="1851" spans="2:6" x14ac:dyDescent="0.35">
      <c r="B1851">
        <v>4502701745</v>
      </c>
      <c r="C1851">
        <v>20</v>
      </c>
      <c r="D1851" t="s">
        <v>4824</v>
      </c>
      <c r="E1851" t="s">
        <v>2887</v>
      </c>
      <c r="F1851" t="s">
        <v>4825</v>
      </c>
    </row>
    <row r="1852" spans="2:6" x14ac:dyDescent="0.35">
      <c r="B1852">
        <v>4502701745</v>
      </c>
      <c r="C1852">
        <v>10</v>
      </c>
      <c r="D1852" t="s">
        <v>4826</v>
      </c>
      <c r="E1852" t="s">
        <v>2887</v>
      </c>
      <c r="F1852" t="s">
        <v>4827</v>
      </c>
    </row>
    <row r="1853" spans="2:6" x14ac:dyDescent="0.35">
      <c r="B1853">
        <v>4502701707</v>
      </c>
      <c r="C1853">
        <v>10</v>
      </c>
      <c r="D1853" t="s">
        <v>4828</v>
      </c>
      <c r="E1853" t="s">
        <v>3200</v>
      </c>
      <c r="F1853" t="s">
        <v>4829</v>
      </c>
    </row>
    <row r="1854" spans="2:6" x14ac:dyDescent="0.35">
      <c r="B1854">
        <v>4502701590</v>
      </c>
      <c r="C1854">
        <v>10</v>
      </c>
      <c r="D1854" t="s">
        <v>4830</v>
      </c>
      <c r="E1854" t="s">
        <v>2887</v>
      </c>
      <c r="F1854" t="s">
        <v>4831</v>
      </c>
    </row>
    <row r="1855" spans="2:6" x14ac:dyDescent="0.35">
      <c r="B1855">
        <v>4502701444</v>
      </c>
      <c r="C1855">
        <v>10</v>
      </c>
      <c r="D1855" t="s">
        <v>4832</v>
      </c>
      <c r="E1855" t="s">
        <v>2887</v>
      </c>
      <c r="F1855" t="s">
        <v>4833</v>
      </c>
    </row>
    <row r="1856" spans="2:6" x14ac:dyDescent="0.35">
      <c r="B1856">
        <v>4502701443</v>
      </c>
      <c r="C1856">
        <v>10</v>
      </c>
      <c r="D1856" t="s">
        <v>4832</v>
      </c>
      <c r="E1856" t="s">
        <v>2887</v>
      </c>
      <c r="F1856" t="s">
        <v>4834</v>
      </c>
    </row>
    <row r="1857" spans="2:6" x14ac:dyDescent="0.35">
      <c r="B1857">
        <v>4502701441</v>
      </c>
      <c r="C1857">
        <v>10</v>
      </c>
      <c r="D1857" t="s">
        <v>63</v>
      </c>
      <c r="E1857" t="s">
        <v>3200</v>
      </c>
      <c r="F1857" t="s">
        <v>4835</v>
      </c>
    </row>
    <row r="1858" spans="2:6" x14ac:dyDescent="0.35">
      <c r="B1858">
        <v>4502701440</v>
      </c>
      <c r="C1858">
        <v>10</v>
      </c>
      <c r="D1858" t="s">
        <v>4836</v>
      </c>
      <c r="E1858" t="s">
        <v>3200</v>
      </c>
      <c r="F1858" t="s">
        <v>4837</v>
      </c>
    </row>
    <row r="1859" spans="2:6" x14ac:dyDescent="0.35">
      <c r="B1859">
        <v>4502701438</v>
      </c>
      <c r="C1859">
        <v>10</v>
      </c>
      <c r="D1859" t="s">
        <v>4838</v>
      </c>
      <c r="E1859" t="s">
        <v>68</v>
      </c>
      <c r="F1859" t="s">
        <v>4839</v>
      </c>
    </row>
    <row r="1860" spans="2:6" x14ac:dyDescent="0.35">
      <c r="B1860">
        <v>4502701432</v>
      </c>
      <c r="C1860">
        <v>10</v>
      </c>
      <c r="D1860" t="s">
        <v>2144</v>
      </c>
      <c r="E1860" t="s">
        <v>3200</v>
      </c>
      <c r="F1860" t="s">
        <v>4840</v>
      </c>
    </row>
    <row r="1861" spans="2:6" x14ac:dyDescent="0.35">
      <c r="B1861">
        <v>4502701415</v>
      </c>
      <c r="C1861">
        <v>10</v>
      </c>
      <c r="D1861" t="s">
        <v>30</v>
      </c>
      <c r="E1861" t="s">
        <v>3200</v>
      </c>
      <c r="F1861" t="s">
        <v>4841</v>
      </c>
    </row>
    <row r="1862" spans="2:6" x14ac:dyDescent="0.35">
      <c r="B1862">
        <v>4502701400</v>
      </c>
      <c r="C1862">
        <v>10</v>
      </c>
      <c r="D1862" t="s">
        <v>2164</v>
      </c>
      <c r="E1862" t="s">
        <v>3200</v>
      </c>
      <c r="F1862" t="s">
        <v>4842</v>
      </c>
    </row>
    <row r="1863" spans="2:6" x14ac:dyDescent="0.35">
      <c r="B1863">
        <v>4502701390</v>
      </c>
      <c r="C1863">
        <v>10</v>
      </c>
      <c r="D1863" t="s">
        <v>2131</v>
      </c>
      <c r="E1863" t="s">
        <v>2887</v>
      </c>
      <c r="F1863" t="s">
        <v>4843</v>
      </c>
    </row>
    <row r="1864" spans="2:6" x14ac:dyDescent="0.35">
      <c r="B1864">
        <v>4502701382</v>
      </c>
      <c r="C1864">
        <v>60</v>
      </c>
      <c r="D1864" t="s">
        <v>4844</v>
      </c>
      <c r="E1864" t="s">
        <v>3200</v>
      </c>
      <c r="F1864" t="s">
        <v>4845</v>
      </c>
    </row>
    <row r="1865" spans="2:6" x14ac:dyDescent="0.35">
      <c r="B1865">
        <v>4502701382</v>
      </c>
      <c r="C1865">
        <v>50</v>
      </c>
      <c r="D1865" t="s">
        <v>4846</v>
      </c>
      <c r="E1865" t="s">
        <v>3200</v>
      </c>
      <c r="F1865" t="s">
        <v>4847</v>
      </c>
    </row>
    <row r="1866" spans="2:6" x14ac:dyDescent="0.35">
      <c r="B1866">
        <v>4502701382</v>
      </c>
      <c r="C1866">
        <v>40</v>
      </c>
      <c r="D1866" t="s">
        <v>4848</v>
      </c>
      <c r="E1866" t="s">
        <v>3200</v>
      </c>
      <c r="F1866" t="s">
        <v>4849</v>
      </c>
    </row>
    <row r="1867" spans="2:6" x14ac:dyDescent="0.35">
      <c r="B1867">
        <v>4502701382</v>
      </c>
      <c r="C1867">
        <v>30</v>
      </c>
      <c r="D1867" t="s">
        <v>4850</v>
      </c>
      <c r="E1867" t="s">
        <v>3200</v>
      </c>
      <c r="F1867" t="s">
        <v>4851</v>
      </c>
    </row>
    <row r="1868" spans="2:6" x14ac:dyDescent="0.35">
      <c r="B1868">
        <v>4502701382</v>
      </c>
      <c r="C1868">
        <v>20</v>
      </c>
      <c r="D1868" t="s">
        <v>4852</v>
      </c>
      <c r="E1868" t="s">
        <v>3200</v>
      </c>
      <c r="F1868" t="s">
        <v>4853</v>
      </c>
    </row>
    <row r="1869" spans="2:6" x14ac:dyDescent="0.35">
      <c r="B1869">
        <v>4502701382</v>
      </c>
      <c r="C1869">
        <v>10</v>
      </c>
      <c r="D1869" t="s">
        <v>4854</v>
      </c>
      <c r="E1869" t="s">
        <v>3200</v>
      </c>
      <c r="F1869" t="s">
        <v>4855</v>
      </c>
    </row>
    <row r="1870" spans="2:6" x14ac:dyDescent="0.35">
      <c r="B1870">
        <v>4502701330</v>
      </c>
      <c r="C1870">
        <v>10</v>
      </c>
      <c r="D1870" t="s">
        <v>1386</v>
      </c>
      <c r="E1870" t="s">
        <v>3200</v>
      </c>
      <c r="F1870" t="s">
        <v>4856</v>
      </c>
    </row>
    <row r="1871" spans="2:6" x14ac:dyDescent="0.35">
      <c r="B1871">
        <v>4502701319</v>
      </c>
      <c r="C1871">
        <v>10</v>
      </c>
      <c r="D1871" t="s">
        <v>1528</v>
      </c>
      <c r="E1871" t="s">
        <v>3200</v>
      </c>
      <c r="F1871" t="s">
        <v>4857</v>
      </c>
    </row>
    <row r="1872" spans="2:6" x14ac:dyDescent="0.35">
      <c r="B1872">
        <v>4502701298</v>
      </c>
      <c r="C1872">
        <v>20</v>
      </c>
      <c r="D1872" t="s">
        <v>152</v>
      </c>
      <c r="E1872" t="s">
        <v>3200</v>
      </c>
      <c r="F1872" t="s">
        <v>4858</v>
      </c>
    </row>
    <row r="1873" spans="2:6" x14ac:dyDescent="0.35">
      <c r="B1873">
        <v>4502701298</v>
      </c>
      <c r="C1873">
        <v>10</v>
      </c>
      <c r="D1873" t="s">
        <v>250</v>
      </c>
      <c r="E1873" t="s">
        <v>3200</v>
      </c>
      <c r="F1873" t="s">
        <v>4859</v>
      </c>
    </row>
    <row r="1874" spans="2:6" x14ac:dyDescent="0.35">
      <c r="B1874">
        <v>4502701295</v>
      </c>
      <c r="C1874">
        <v>10</v>
      </c>
      <c r="D1874" t="s">
        <v>4860</v>
      </c>
      <c r="E1874" t="s">
        <v>3200</v>
      </c>
      <c r="F1874" t="s">
        <v>4861</v>
      </c>
    </row>
    <row r="1875" spans="2:6" x14ac:dyDescent="0.35">
      <c r="B1875">
        <v>4502701285</v>
      </c>
      <c r="C1875">
        <v>10</v>
      </c>
      <c r="D1875" t="s">
        <v>4862</v>
      </c>
      <c r="E1875" t="s">
        <v>68</v>
      </c>
      <c r="F1875" t="s">
        <v>4863</v>
      </c>
    </row>
    <row r="1876" spans="2:6" x14ac:dyDescent="0.35">
      <c r="B1876">
        <v>4502701278</v>
      </c>
      <c r="C1876">
        <v>30</v>
      </c>
      <c r="D1876" t="s">
        <v>4558</v>
      </c>
      <c r="E1876" t="s">
        <v>3200</v>
      </c>
      <c r="F1876" t="s">
        <v>4864</v>
      </c>
    </row>
    <row r="1877" spans="2:6" x14ac:dyDescent="0.35">
      <c r="B1877">
        <v>4502701278</v>
      </c>
      <c r="C1877">
        <v>20</v>
      </c>
      <c r="D1877" t="s">
        <v>4865</v>
      </c>
      <c r="E1877" t="s">
        <v>3200</v>
      </c>
      <c r="F1877" t="s">
        <v>4866</v>
      </c>
    </row>
    <row r="1878" spans="2:6" x14ac:dyDescent="0.35">
      <c r="B1878">
        <v>4502701278</v>
      </c>
      <c r="C1878">
        <v>10</v>
      </c>
      <c r="D1878" t="s">
        <v>4867</v>
      </c>
      <c r="E1878" t="s">
        <v>3200</v>
      </c>
      <c r="F1878" t="s">
        <v>4868</v>
      </c>
    </row>
    <row r="1879" spans="2:6" x14ac:dyDescent="0.35">
      <c r="B1879">
        <v>4502701172</v>
      </c>
      <c r="C1879">
        <v>20</v>
      </c>
      <c r="D1879" t="s">
        <v>412</v>
      </c>
      <c r="E1879" t="s">
        <v>3200</v>
      </c>
      <c r="F1879" t="s">
        <v>4869</v>
      </c>
    </row>
    <row r="1880" spans="2:6" x14ac:dyDescent="0.35">
      <c r="B1880">
        <v>4502701166</v>
      </c>
      <c r="C1880">
        <v>10</v>
      </c>
      <c r="D1880" t="s">
        <v>500</v>
      </c>
      <c r="E1880" t="s">
        <v>3200</v>
      </c>
      <c r="F1880" t="s">
        <v>4870</v>
      </c>
    </row>
    <row r="1881" spans="2:6" x14ac:dyDescent="0.35">
      <c r="B1881">
        <v>4502701158</v>
      </c>
      <c r="C1881">
        <v>10</v>
      </c>
      <c r="D1881" t="s">
        <v>688</v>
      </c>
      <c r="E1881" t="s">
        <v>4044</v>
      </c>
      <c r="F1881" t="s">
        <v>4871</v>
      </c>
    </row>
    <row r="1882" spans="2:6" x14ac:dyDescent="0.35">
      <c r="B1882">
        <v>4502701155</v>
      </c>
      <c r="C1882">
        <v>10</v>
      </c>
      <c r="D1882" t="s">
        <v>705</v>
      </c>
      <c r="E1882" t="s">
        <v>3200</v>
      </c>
      <c r="F1882" t="s">
        <v>4872</v>
      </c>
    </row>
    <row r="1883" spans="2:6" x14ac:dyDescent="0.35">
      <c r="B1883">
        <v>4502701141</v>
      </c>
      <c r="C1883">
        <v>10</v>
      </c>
      <c r="D1883" t="s">
        <v>4873</v>
      </c>
      <c r="E1883" t="s">
        <v>3200</v>
      </c>
      <c r="F1883" t="s">
        <v>4874</v>
      </c>
    </row>
    <row r="1884" spans="2:6" x14ac:dyDescent="0.35">
      <c r="B1884">
        <v>4502701129</v>
      </c>
      <c r="C1884">
        <v>10</v>
      </c>
      <c r="D1884" t="s">
        <v>2058</v>
      </c>
      <c r="E1884" t="s">
        <v>3200</v>
      </c>
      <c r="F1884" t="s">
        <v>4875</v>
      </c>
    </row>
    <row r="1885" spans="2:6" x14ac:dyDescent="0.35">
      <c r="B1885">
        <v>4502701108</v>
      </c>
      <c r="C1885">
        <v>10</v>
      </c>
      <c r="D1885" t="s">
        <v>1934</v>
      </c>
      <c r="E1885" t="s">
        <v>4044</v>
      </c>
      <c r="F1885" t="s">
        <v>4876</v>
      </c>
    </row>
    <row r="1886" spans="2:6" x14ac:dyDescent="0.35">
      <c r="B1886">
        <v>4502701107</v>
      </c>
      <c r="C1886">
        <v>10</v>
      </c>
      <c r="D1886" t="s">
        <v>299</v>
      </c>
      <c r="E1886" t="s">
        <v>3200</v>
      </c>
      <c r="F1886" t="s">
        <v>4877</v>
      </c>
    </row>
    <row r="1887" spans="2:6" x14ac:dyDescent="0.35">
      <c r="B1887">
        <v>4502701081</v>
      </c>
      <c r="C1887">
        <v>10</v>
      </c>
      <c r="D1887" t="s">
        <v>1900</v>
      </c>
      <c r="E1887" t="s">
        <v>3200</v>
      </c>
      <c r="F1887" t="s">
        <v>4878</v>
      </c>
    </row>
    <row r="1888" spans="2:6" x14ac:dyDescent="0.35">
      <c r="B1888">
        <v>4502700717</v>
      </c>
      <c r="C1888">
        <v>10</v>
      </c>
      <c r="D1888" t="s">
        <v>4879</v>
      </c>
      <c r="E1888" t="s">
        <v>4044</v>
      </c>
      <c r="F1888" t="s">
        <v>4880</v>
      </c>
    </row>
    <row r="1889" spans="2:6" x14ac:dyDescent="0.35">
      <c r="B1889">
        <v>4502700709</v>
      </c>
      <c r="C1889">
        <v>10</v>
      </c>
      <c r="D1889" t="s">
        <v>569</v>
      </c>
      <c r="E1889" t="s">
        <v>4881</v>
      </c>
      <c r="F1889" t="s">
        <v>4882</v>
      </c>
    </row>
    <row r="1890" spans="2:6" x14ac:dyDescent="0.35">
      <c r="B1890">
        <v>4502700700</v>
      </c>
      <c r="C1890">
        <v>10</v>
      </c>
      <c r="D1890" t="s">
        <v>1936</v>
      </c>
      <c r="E1890" t="s">
        <v>3200</v>
      </c>
      <c r="F1890" t="s">
        <v>4883</v>
      </c>
    </row>
    <row r="1891" spans="2:6" x14ac:dyDescent="0.35">
      <c r="B1891">
        <v>4502700694</v>
      </c>
      <c r="C1891">
        <v>10</v>
      </c>
      <c r="D1891" t="s">
        <v>528</v>
      </c>
      <c r="E1891" t="s">
        <v>3200</v>
      </c>
      <c r="F1891" t="s">
        <v>4884</v>
      </c>
    </row>
    <row r="1892" spans="2:6" x14ac:dyDescent="0.35">
      <c r="B1892">
        <v>4502700688</v>
      </c>
      <c r="C1892">
        <v>10</v>
      </c>
      <c r="D1892" t="s">
        <v>1443</v>
      </c>
      <c r="E1892" t="s">
        <v>3200</v>
      </c>
      <c r="F1892" t="s">
        <v>4885</v>
      </c>
    </row>
    <row r="1893" spans="2:6" x14ac:dyDescent="0.35">
      <c r="B1893">
        <v>4502700686</v>
      </c>
      <c r="C1893">
        <v>10</v>
      </c>
      <c r="D1893" t="s">
        <v>127</v>
      </c>
      <c r="E1893" t="s">
        <v>3200</v>
      </c>
      <c r="F1893" t="s">
        <v>4886</v>
      </c>
    </row>
    <row r="1894" spans="2:6" x14ac:dyDescent="0.35">
      <c r="B1894">
        <v>4502700674</v>
      </c>
      <c r="C1894">
        <v>10</v>
      </c>
      <c r="D1894" t="s">
        <v>133</v>
      </c>
      <c r="E1894" t="s">
        <v>2887</v>
      </c>
      <c r="F1894" t="s">
        <v>4887</v>
      </c>
    </row>
    <row r="1895" spans="2:6" x14ac:dyDescent="0.35">
      <c r="B1895">
        <v>4502700673</v>
      </c>
      <c r="C1895">
        <v>10</v>
      </c>
      <c r="D1895" t="s">
        <v>4888</v>
      </c>
      <c r="E1895" t="s">
        <v>3200</v>
      </c>
      <c r="F1895" t="s">
        <v>4889</v>
      </c>
    </row>
    <row r="1896" spans="2:6" x14ac:dyDescent="0.35">
      <c r="B1896">
        <v>4502700666</v>
      </c>
      <c r="C1896">
        <v>10</v>
      </c>
      <c r="D1896" t="s">
        <v>647</v>
      </c>
      <c r="E1896" t="s">
        <v>3200</v>
      </c>
      <c r="F1896" t="s">
        <v>4890</v>
      </c>
    </row>
    <row r="1897" spans="2:6" x14ac:dyDescent="0.35">
      <c r="B1897">
        <v>4502700652</v>
      </c>
      <c r="C1897">
        <v>20</v>
      </c>
      <c r="D1897" t="s">
        <v>1231</v>
      </c>
      <c r="E1897" t="s">
        <v>2887</v>
      </c>
      <c r="F1897" t="s">
        <v>4891</v>
      </c>
    </row>
    <row r="1898" spans="2:6" x14ac:dyDescent="0.35">
      <c r="B1898">
        <v>4502700652</v>
      </c>
      <c r="C1898">
        <v>10</v>
      </c>
      <c r="D1898" t="s">
        <v>99</v>
      </c>
      <c r="E1898" t="s">
        <v>2887</v>
      </c>
      <c r="F1898" t="s">
        <v>4892</v>
      </c>
    </row>
    <row r="1899" spans="2:6" x14ac:dyDescent="0.35">
      <c r="B1899">
        <v>4502700649</v>
      </c>
      <c r="C1899">
        <v>10</v>
      </c>
      <c r="D1899" t="s">
        <v>2243</v>
      </c>
      <c r="E1899" t="s">
        <v>3200</v>
      </c>
      <c r="F1899" t="s">
        <v>4893</v>
      </c>
    </row>
    <row r="1900" spans="2:6" x14ac:dyDescent="0.35">
      <c r="B1900">
        <v>4502700637</v>
      </c>
      <c r="C1900">
        <v>10</v>
      </c>
      <c r="D1900" t="s">
        <v>1229</v>
      </c>
      <c r="E1900" t="s">
        <v>4044</v>
      </c>
      <c r="F1900" t="s">
        <v>4894</v>
      </c>
    </row>
    <row r="1901" spans="2:6" x14ac:dyDescent="0.35">
      <c r="B1901">
        <v>4502700636</v>
      </c>
      <c r="C1901">
        <v>10</v>
      </c>
      <c r="D1901" t="s">
        <v>1607</v>
      </c>
      <c r="E1901" t="s">
        <v>2887</v>
      </c>
      <c r="F1901" t="s">
        <v>4895</v>
      </c>
    </row>
    <row r="1902" spans="2:6" x14ac:dyDescent="0.35">
      <c r="B1902">
        <v>4502700627</v>
      </c>
      <c r="C1902">
        <v>10</v>
      </c>
      <c r="D1902" t="s">
        <v>1234</v>
      </c>
      <c r="E1902" t="s">
        <v>68</v>
      </c>
      <c r="F1902" t="s">
        <v>4896</v>
      </c>
    </row>
    <row r="1903" spans="2:6" x14ac:dyDescent="0.35">
      <c r="B1903">
        <v>4502700623</v>
      </c>
      <c r="C1903">
        <v>20</v>
      </c>
      <c r="D1903" t="s">
        <v>4897</v>
      </c>
      <c r="E1903" t="s">
        <v>4044</v>
      </c>
      <c r="F1903" t="s">
        <v>4898</v>
      </c>
    </row>
    <row r="1904" spans="2:6" x14ac:dyDescent="0.35">
      <c r="B1904">
        <v>4502700623</v>
      </c>
      <c r="C1904">
        <v>10</v>
      </c>
      <c r="D1904" t="s">
        <v>4899</v>
      </c>
      <c r="E1904" t="s">
        <v>4044</v>
      </c>
      <c r="F1904" t="s">
        <v>4900</v>
      </c>
    </row>
    <row r="1905" spans="2:6" x14ac:dyDescent="0.35">
      <c r="B1905">
        <v>4502700604</v>
      </c>
      <c r="C1905">
        <v>30</v>
      </c>
      <c r="D1905" t="s">
        <v>4901</v>
      </c>
      <c r="E1905" t="s">
        <v>3200</v>
      </c>
      <c r="F1905" t="s">
        <v>4902</v>
      </c>
    </row>
    <row r="1906" spans="2:6" x14ac:dyDescent="0.35">
      <c r="B1906">
        <v>4502700604</v>
      </c>
      <c r="C1906">
        <v>20</v>
      </c>
      <c r="D1906" t="s">
        <v>4903</v>
      </c>
      <c r="E1906" t="s">
        <v>3200</v>
      </c>
      <c r="F1906" t="s">
        <v>4904</v>
      </c>
    </row>
    <row r="1907" spans="2:6" x14ac:dyDescent="0.35">
      <c r="B1907">
        <v>4502700604</v>
      </c>
      <c r="C1907">
        <v>10</v>
      </c>
      <c r="D1907" t="s">
        <v>4905</v>
      </c>
      <c r="E1907" t="s">
        <v>3200</v>
      </c>
      <c r="F1907" t="s">
        <v>4906</v>
      </c>
    </row>
    <row r="1908" spans="2:6" x14ac:dyDescent="0.35">
      <c r="B1908">
        <v>4502700602</v>
      </c>
      <c r="C1908">
        <v>10</v>
      </c>
      <c r="D1908" t="s">
        <v>1233</v>
      </c>
      <c r="E1908" t="s">
        <v>4044</v>
      </c>
      <c r="F1908" t="s">
        <v>4907</v>
      </c>
    </row>
    <row r="1909" spans="2:6" x14ac:dyDescent="0.35">
      <c r="B1909">
        <v>4502700545</v>
      </c>
      <c r="C1909">
        <v>10</v>
      </c>
      <c r="D1909" t="s">
        <v>1881</v>
      </c>
      <c r="E1909" t="s">
        <v>68</v>
      </c>
      <c r="F1909" t="s">
        <v>4908</v>
      </c>
    </row>
    <row r="1910" spans="2:6" x14ac:dyDescent="0.35">
      <c r="B1910">
        <v>4502700531</v>
      </c>
      <c r="C1910">
        <v>10</v>
      </c>
      <c r="D1910" t="s">
        <v>4909</v>
      </c>
      <c r="E1910" t="s">
        <v>4044</v>
      </c>
      <c r="F1910" t="s">
        <v>4910</v>
      </c>
    </row>
    <row r="1911" spans="2:6" x14ac:dyDescent="0.35">
      <c r="B1911">
        <v>4502700529</v>
      </c>
      <c r="C1911">
        <v>10</v>
      </c>
      <c r="D1911" t="s">
        <v>176</v>
      </c>
      <c r="E1911" t="s">
        <v>3094</v>
      </c>
      <c r="F1911" t="s">
        <v>4911</v>
      </c>
    </row>
    <row r="1912" spans="2:6" x14ac:dyDescent="0.35">
      <c r="B1912">
        <v>4502700506</v>
      </c>
      <c r="C1912">
        <v>10</v>
      </c>
      <c r="D1912" t="s">
        <v>1818</v>
      </c>
      <c r="E1912" t="s">
        <v>3200</v>
      </c>
      <c r="F1912" t="s">
        <v>4912</v>
      </c>
    </row>
    <row r="1913" spans="2:6" x14ac:dyDescent="0.35">
      <c r="B1913">
        <v>4502700498</v>
      </c>
      <c r="C1913">
        <v>30</v>
      </c>
      <c r="D1913" t="s">
        <v>1844</v>
      </c>
      <c r="E1913" t="s">
        <v>3200</v>
      </c>
      <c r="F1913" t="s">
        <v>4913</v>
      </c>
    </row>
    <row r="1914" spans="2:6" x14ac:dyDescent="0.35">
      <c r="B1914">
        <v>4502700498</v>
      </c>
      <c r="C1914">
        <v>20</v>
      </c>
      <c r="D1914" t="s">
        <v>1842</v>
      </c>
      <c r="E1914" t="s">
        <v>3200</v>
      </c>
      <c r="F1914" t="s">
        <v>4914</v>
      </c>
    </row>
    <row r="1915" spans="2:6" x14ac:dyDescent="0.35">
      <c r="B1915">
        <v>4502700498</v>
      </c>
      <c r="C1915">
        <v>10</v>
      </c>
      <c r="D1915" t="s">
        <v>1839</v>
      </c>
      <c r="E1915" t="s">
        <v>3200</v>
      </c>
      <c r="F1915" t="s">
        <v>4915</v>
      </c>
    </row>
    <row r="1916" spans="2:6" x14ac:dyDescent="0.35">
      <c r="B1916">
        <v>4502700357</v>
      </c>
      <c r="C1916">
        <v>50</v>
      </c>
      <c r="D1916" t="s">
        <v>1889</v>
      </c>
      <c r="E1916" t="s">
        <v>3200</v>
      </c>
      <c r="F1916" t="s">
        <v>4916</v>
      </c>
    </row>
    <row r="1917" spans="2:6" x14ac:dyDescent="0.35">
      <c r="B1917">
        <v>4502700357</v>
      </c>
      <c r="C1917">
        <v>40</v>
      </c>
      <c r="D1917" t="s">
        <v>1472</v>
      </c>
      <c r="E1917" t="s">
        <v>3200</v>
      </c>
      <c r="F1917" t="s">
        <v>4917</v>
      </c>
    </row>
    <row r="1918" spans="2:6" x14ac:dyDescent="0.35">
      <c r="B1918">
        <v>4502700357</v>
      </c>
      <c r="C1918">
        <v>30</v>
      </c>
      <c r="D1918" t="s">
        <v>1893</v>
      </c>
      <c r="E1918" t="s">
        <v>3200</v>
      </c>
      <c r="F1918" t="s">
        <v>4918</v>
      </c>
    </row>
    <row r="1919" spans="2:6" x14ac:dyDescent="0.35">
      <c r="B1919">
        <v>4502700357</v>
      </c>
      <c r="C1919">
        <v>20</v>
      </c>
      <c r="D1919" t="s">
        <v>1897</v>
      </c>
      <c r="E1919" t="s">
        <v>3200</v>
      </c>
      <c r="F1919" t="s">
        <v>4919</v>
      </c>
    </row>
    <row r="1920" spans="2:6" x14ac:dyDescent="0.35">
      <c r="B1920">
        <v>4502700357</v>
      </c>
      <c r="C1920">
        <v>10</v>
      </c>
      <c r="D1920" t="s">
        <v>1499</v>
      </c>
      <c r="E1920" t="s">
        <v>3200</v>
      </c>
      <c r="F1920" t="s">
        <v>4920</v>
      </c>
    </row>
    <row r="1921" spans="2:6" x14ac:dyDescent="0.35">
      <c r="B1921">
        <v>4502700355</v>
      </c>
      <c r="C1921">
        <v>10</v>
      </c>
      <c r="D1921" t="s">
        <v>4921</v>
      </c>
      <c r="E1921" t="s">
        <v>3200</v>
      </c>
      <c r="F1921" t="s">
        <v>4922</v>
      </c>
    </row>
    <row r="1922" spans="2:6" x14ac:dyDescent="0.35">
      <c r="B1922">
        <v>4502700349</v>
      </c>
      <c r="C1922">
        <v>10</v>
      </c>
      <c r="D1922" t="s">
        <v>1895</v>
      </c>
      <c r="E1922" t="s">
        <v>3200</v>
      </c>
      <c r="F1922" t="s">
        <v>4923</v>
      </c>
    </row>
    <row r="1923" spans="2:6" x14ac:dyDescent="0.35">
      <c r="B1923">
        <v>4502700348</v>
      </c>
      <c r="C1923">
        <v>30</v>
      </c>
      <c r="D1923" t="s">
        <v>322</v>
      </c>
      <c r="E1923" t="s">
        <v>4044</v>
      </c>
      <c r="F1923" t="s">
        <v>4924</v>
      </c>
    </row>
    <row r="1924" spans="2:6" x14ac:dyDescent="0.35">
      <c r="B1924">
        <v>4502700348</v>
      </c>
      <c r="C1924">
        <v>20</v>
      </c>
      <c r="D1924" t="s">
        <v>1228</v>
      </c>
      <c r="E1924" t="s">
        <v>4044</v>
      </c>
      <c r="F1924" t="s">
        <v>4925</v>
      </c>
    </row>
    <row r="1925" spans="2:6" x14ac:dyDescent="0.35">
      <c r="B1925">
        <v>4502700348</v>
      </c>
      <c r="C1925">
        <v>10</v>
      </c>
      <c r="D1925" t="s">
        <v>1247</v>
      </c>
      <c r="E1925" t="s">
        <v>4044</v>
      </c>
      <c r="F1925" t="s">
        <v>4926</v>
      </c>
    </row>
    <row r="1926" spans="2:6" x14ac:dyDescent="0.35">
      <c r="B1926">
        <v>4502700340</v>
      </c>
      <c r="C1926">
        <v>10</v>
      </c>
      <c r="D1926" t="s">
        <v>1887</v>
      </c>
      <c r="E1926" t="s">
        <v>4881</v>
      </c>
      <c r="F1926" t="s">
        <v>4927</v>
      </c>
    </row>
    <row r="1927" spans="2:6" x14ac:dyDescent="0.35">
      <c r="B1927">
        <v>4502700312</v>
      </c>
      <c r="C1927">
        <v>50</v>
      </c>
      <c r="D1927" t="s">
        <v>1463</v>
      </c>
      <c r="E1927" t="s">
        <v>3200</v>
      </c>
      <c r="F1927" t="s">
        <v>4928</v>
      </c>
    </row>
    <row r="1928" spans="2:6" x14ac:dyDescent="0.35">
      <c r="B1928">
        <v>4502700312</v>
      </c>
      <c r="C1928">
        <v>40</v>
      </c>
      <c r="D1928" t="s">
        <v>1462</v>
      </c>
      <c r="E1928" t="s">
        <v>3200</v>
      </c>
      <c r="F1928" t="s">
        <v>4929</v>
      </c>
    </row>
    <row r="1929" spans="2:6" x14ac:dyDescent="0.35">
      <c r="B1929">
        <v>4502700312</v>
      </c>
      <c r="C1929">
        <v>20</v>
      </c>
      <c r="D1929" t="s">
        <v>1455</v>
      </c>
      <c r="E1929" t="s">
        <v>3200</v>
      </c>
      <c r="F1929" t="s">
        <v>4930</v>
      </c>
    </row>
    <row r="1930" spans="2:6" x14ac:dyDescent="0.35">
      <c r="B1930">
        <v>4502700312</v>
      </c>
      <c r="C1930">
        <v>10</v>
      </c>
      <c r="D1930" t="s">
        <v>1455</v>
      </c>
      <c r="E1930" t="s">
        <v>3200</v>
      </c>
      <c r="F1930" t="s">
        <v>4930</v>
      </c>
    </row>
    <row r="1931" spans="2:6" x14ac:dyDescent="0.35">
      <c r="B1931">
        <v>4502700308</v>
      </c>
      <c r="C1931">
        <v>20</v>
      </c>
      <c r="D1931" t="s">
        <v>1808</v>
      </c>
      <c r="E1931" t="s">
        <v>68</v>
      </c>
      <c r="F1931" t="s">
        <v>4931</v>
      </c>
    </row>
    <row r="1932" spans="2:6" x14ac:dyDescent="0.35">
      <c r="B1932">
        <v>4502700308</v>
      </c>
      <c r="C1932">
        <v>10</v>
      </c>
      <c r="D1932" t="s">
        <v>1811</v>
      </c>
      <c r="E1932" t="s">
        <v>68</v>
      </c>
      <c r="F1932" t="s">
        <v>4932</v>
      </c>
    </row>
    <row r="1933" spans="2:6" x14ac:dyDescent="0.35">
      <c r="B1933">
        <v>4502700306</v>
      </c>
      <c r="C1933">
        <v>10</v>
      </c>
      <c r="D1933" t="s">
        <v>4933</v>
      </c>
      <c r="E1933" t="s">
        <v>3200</v>
      </c>
      <c r="F1933" t="s">
        <v>4934</v>
      </c>
    </row>
    <row r="1934" spans="2:6" x14ac:dyDescent="0.35">
      <c r="B1934">
        <v>4502700299</v>
      </c>
      <c r="C1934">
        <v>50</v>
      </c>
      <c r="D1934" t="s">
        <v>585</v>
      </c>
      <c r="E1934" t="s">
        <v>3200</v>
      </c>
      <c r="F1934" t="s">
        <v>4935</v>
      </c>
    </row>
    <row r="1935" spans="2:6" x14ac:dyDescent="0.35">
      <c r="B1935">
        <v>4502700299</v>
      </c>
      <c r="C1935">
        <v>40</v>
      </c>
      <c r="D1935" t="s">
        <v>1466</v>
      </c>
      <c r="E1935" t="s">
        <v>3200</v>
      </c>
      <c r="F1935" t="s">
        <v>4936</v>
      </c>
    </row>
    <row r="1936" spans="2:6" x14ac:dyDescent="0.35">
      <c r="B1936">
        <v>4502700299</v>
      </c>
      <c r="C1936">
        <v>20</v>
      </c>
      <c r="D1936" t="s">
        <v>559</v>
      </c>
      <c r="E1936" t="s">
        <v>3200</v>
      </c>
      <c r="F1936" t="s">
        <v>4937</v>
      </c>
    </row>
    <row r="1937" spans="2:6" x14ac:dyDescent="0.35">
      <c r="B1937">
        <v>4502700299</v>
      </c>
      <c r="C1937">
        <v>10</v>
      </c>
      <c r="D1937" t="s">
        <v>1305</v>
      </c>
      <c r="E1937" t="s">
        <v>3200</v>
      </c>
      <c r="F1937" t="s">
        <v>4938</v>
      </c>
    </row>
    <row r="1938" spans="2:6" x14ac:dyDescent="0.35">
      <c r="B1938">
        <v>4502700280</v>
      </c>
      <c r="C1938">
        <v>10</v>
      </c>
      <c r="D1938" t="s">
        <v>1211</v>
      </c>
      <c r="E1938" t="s">
        <v>4044</v>
      </c>
      <c r="F1938" t="s">
        <v>4939</v>
      </c>
    </row>
    <row r="1939" spans="2:6" x14ac:dyDescent="0.35">
      <c r="B1939">
        <v>4502700246</v>
      </c>
      <c r="C1939">
        <v>10</v>
      </c>
      <c r="D1939" t="s">
        <v>4940</v>
      </c>
      <c r="E1939" t="s">
        <v>3200</v>
      </c>
      <c r="F1939" t="s">
        <v>4941</v>
      </c>
    </row>
    <row r="1940" spans="2:6" x14ac:dyDescent="0.35">
      <c r="B1940">
        <v>4502700157</v>
      </c>
      <c r="C1940">
        <v>20</v>
      </c>
      <c r="D1940" t="s">
        <v>1871</v>
      </c>
      <c r="E1940" t="s">
        <v>3200</v>
      </c>
      <c r="F1940" t="s">
        <v>4942</v>
      </c>
    </row>
    <row r="1941" spans="2:6" x14ac:dyDescent="0.35">
      <c r="B1941">
        <v>4502700157</v>
      </c>
      <c r="C1941">
        <v>10</v>
      </c>
      <c r="D1941" t="s">
        <v>1869</v>
      </c>
      <c r="E1941" t="s">
        <v>3200</v>
      </c>
      <c r="F1941" t="s">
        <v>4943</v>
      </c>
    </row>
    <row r="1942" spans="2:6" x14ac:dyDescent="0.35">
      <c r="B1942">
        <v>4502700140</v>
      </c>
      <c r="C1942">
        <v>10</v>
      </c>
      <c r="D1942" t="s">
        <v>1864</v>
      </c>
      <c r="E1942" t="s">
        <v>2887</v>
      </c>
      <c r="F1942" t="s">
        <v>4944</v>
      </c>
    </row>
    <row r="1943" spans="2:6" x14ac:dyDescent="0.35">
      <c r="B1943">
        <v>4502700112</v>
      </c>
      <c r="C1943">
        <v>10</v>
      </c>
      <c r="D1943" t="s">
        <v>4945</v>
      </c>
      <c r="E1943" t="s">
        <v>3200</v>
      </c>
      <c r="F1943" t="s">
        <v>4946</v>
      </c>
    </row>
    <row r="1944" spans="2:6" x14ac:dyDescent="0.35">
      <c r="B1944">
        <v>4502700098</v>
      </c>
      <c r="C1944">
        <v>20</v>
      </c>
      <c r="D1944" t="s">
        <v>1557</v>
      </c>
      <c r="E1944" t="s">
        <v>3200</v>
      </c>
      <c r="F1944" t="s">
        <v>4947</v>
      </c>
    </row>
    <row r="1945" spans="2:6" x14ac:dyDescent="0.35">
      <c r="B1945">
        <v>4502700098</v>
      </c>
      <c r="C1945">
        <v>10</v>
      </c>
      <c r="D1945" t="s">
        <v>1556</v>
      </c>
      <c r="E1945" t="s">
        <v>3200</v>
      </c>
      <c r="F1945" t="s">
        <v>4948</v>
      </c>
    </row>
    <row r="1946" spans="2:6" x14ac:dyDescent="0.35">
      <c r="B1946">
        <v>4502700095</v>
      </c>
      <c r="C1946">
        <v>20</v>
      </c>
      <c r="D1946" t="s">
        <v>4949</v>
      </c>
      <c r="E1946" t="s">
        <v>4044</v>
      </c>
      <c r="F1946" t="s">
        <v>4950</v>
      </c>
    </row>
    <row r="1947" spans="2:6" x14ac:dyDescent="0.35">
      <c r="B1947">
        <v>4502700095</v>
      </c>
      <c r="C1947">
        <v>10</v>
      </c>
      <c r="D1947" t="s">
        <v>4949</v>
      </c>
      <c r="E1947" t="s">
        <v>4044</v>
      </c>
      <c r="F1947" t="s">
        <v>4950</v>
      </c>
    </row>
    <row r="1948" spans="2:6" x14ac:dyDescent="0.35">
      <c r="B1948">
        <v>4502700093</v>
      </c>
      <c r="C1948">
        <v>10</v>
      </c>
      <c r="D1948" t="s">
        <v>2104</v>
      </c>
      <c r="E1948" t="s">
        <v>3200</v>
      </c>
      <c r="F1948" t="s">
        <v>4951</v>
      </c>
    </row>
    <row r="1949" spans="2:6" x14ac:dyDescent="0.35">
      <c r="B1949">
        <v>4502700086</v>
      </c>
      <c r="C1949">
        <v>10</v>
      </c>
      <c r="D1949" t="s">
        <v>4952</v>
      </c>
      <c r="E1949" t="s">
        <v>3200</v>
      </c>
      <c r="F1949" t="s">
        <v>4953</v>
      </c>
    </row>
    <row r="1950" spans="2:6" x14ac:dyDescent="0.35">
      <c r="B1950">
        <v>4502700077</v>
      </c>
      <c r="C1950">
        <v>10</v>
      </c>
      <c r="D1950" t="s">
        <v>1484</v>
      </c>
      <c r="E1950" t="s">
        <v>3200</v>
      </c>
      <c r="F1950" t="s">
        <v>4954</v>
      </c>
    </row>
    <row r="1951" spans="2:6" x14ac:dyDescent="0.35">
      <c r="B1951">
        <v>4502700039</v>
      </c>
      <c r="C1951">
        <v>10</v>
      </c>
      <c r="D1951" t="s">
        <v>1862</v>
      </c>
      <c r="E1951" t="s">
        <v>3200</v>
      </c>
      <c r="F1951" t="s">
        <v>4955</v>
      </c>
    </row>
    <row r="1952" spans="2:6" x14ac:dyDescent="0.35">
      <c r="B1952">
        <v>4502700023</v>
      </c>
      <c r="C1952">
        <v>10</v>
      </c>
      <c r="D1952" t="s">
        <v>1797</v>
      </c>
      <c r="E1952" t="s">
        <v>3200</v>
      </c>
      <c r="F1952" t="s">
        <v>4956</v>
      </c>
    </row>
    <row r="1953" spans="2:6" x14ac:dyDescent="0.35">
      <c r="B1953">
        <v>4502700021</v>
      </c>
      <c r="C1953">
        <v>10</v>
      </c>
      <c r="D1953" t="s">
        <v>4957</v>
      </c>
      <c r="E1953" t="s">
        <v>3200</v>
      </c>
      <c r="F1953" t="s">
        <v>4958</v>
      </c>
    </row>
    <row r="1954" spans="2:6" x14ac:dyDescent="0.35">
      <c r="B1954">
        <v>4502700000</v>
      </c>
      <c r="C1954">
        <v>10</v>
      </c>
      <c r="D1954" t="s">
        <v>4959</v>
      </c>
      <c r="E1954" t="s">
        <v>4960</v>
      </c>
      <c r="F1954" t="s">
        <v>4961</v>
      </c>
    </row>
    <row r="1955" spans="2:6" x14ac:dyDescent="0.35">
      <c r="B1955">
        <v>4502699989</v>
      </c>
      <c r="C1955">
        <v>30</v>
      </c>
      <c r="D1955" t="s">
        <v>4962</v>
      </c>
      <c r="E1955" t="s">
        <v>3200</v>
      </c>
      <c r="F1955" t="s">
        <v>4963</v>
      </c>
    </row>
    <row r="1956" spans="2:6" x14ac:dyDescent="0.35">
      <c r="B1956">
        <v>4502699989</v>
      </c>
      <c r="C1956">
        <v>20</v>
      </c>
      <c r="D1956" t="s">
        <v>4964</v>
      </c>
      <c r="E1956" t="s">
        <v>3200</v>
      </c>
      <c r="F1956" t="s">
        <v>4965</v>
      </c>
    </row>
    <row r="1957" spans="2:6" x14ac:dyDescent="0.35">
      <c r="B1957">
        <v>4502699989</v>
      </c>
      <c r="C1957">
        <v>10</v>
      </c>
      <c r="D1957" t="s">
        <v>4966</v>
      </c>
      <c r="E1957" t="s">
        <v>3200</v>
      </c>
      <c r="F1957" t="s">
        <v>4967</v>
      </c>
    </row>
    <row r="1958" spans="2:6" x14ac:dyDescent="0.35">
      <c r="B1958">
        <v>4502699745</v>
      </c>
      <c r="C1958">
        <v>20</v>
      </c>
      <c r="D1958" t="s">
        <v>656</v>
      </c>
      <c r="E1958" t="s">
        <v>3200</v>
      </c>
      <c r="F1958" t="s">
        <v>4968</v>
      </c>
    </row>
    <row r="1959" spans="2:6" x14ac:dyDescent="0.35">
      <c r="B1959">
        <v>4502699745</v>
      </c>
      <c r="C1959">
        <v>10</v>
      </c>
      <c r="D1959" t="s">
        <v>771</v>
      </c>
      <c r="E1959" t="s">
        <v>3200</v>
      </c>
      <c r="F1959" t="s">
        <v>4969</v>
      </c>
    </row>
    <row r="1960" spans="2:6" x14ac:dyDescent="0.35">
      <c r="B1960">
        <v>4502699741</v>
      </c>
      <c r="C1960">
        <v>10</v>
      </c>
      <c r="D1960" t="s">
        <v>513</v>
      </c>
      <c r="E1960" t="s">
        <v>3200</v>
      </c>
      <c r="F1960" t="s">
        <v>4970</v>
      </c>
    </row>
    <row r="1961" spans="2:6" x14ac:dyDescent="0.35">
      <c r="B1961">
        <v>4502699736</v>
      </c>
      <c r="C1961">
        <v>10</v>
      </c>
      <c r="D1961" t="s">
        <v>4971</v>
      </c>
      <c r="E1961" t="s">
        <v>68</v>
      </c>
      <c r="F1961" t="s">
        <v>4972</v>
      </c>
    </row>
    <row r="1962" spans="2:6" x14ac:dyDescent="0.35">
      <c r="B1962">
        <v>4502699733</v>
      </c>
      <c r="C1962">
        <v>10</v>
      </c>
      <c r="D1962" t="s">
        <v>4973</v>
      </c>
      <c r="E1962" t="s">
        <v>3200</v>
      </c>
      <c r="F1962" t="s">
        <v>4974</v>
      </c>
    </row>
    <row r="1963" spans="2:6" x14ac:dyDescent="0.35">
      <c r="B1963">
        <v>4502699706</v>
      </c>
      <c r="C1963">
        <v>20</v>
      </c>
      <c r="D1963" t="s">
        <v>4975</v>
      </c>
      <c r="E1963" t="s">
        <v>4976</v>
      </c>
      <c r="F1963" t="s">
        <v>4977</v>
      </c>
    </row>
    <row r="1964" spans="2:6" x14ac:dyDescent="0.35">
      <c r="B1964">
        <v>4502699706</v>
      </c>
      <c r="C1964">
        <v>10</v>
      </c>
      <c r="D1964" t="s">
        <v>4978</v>
      </c>
      <c r="E1964" t="s">
        <v>4979</v>
      </c>
      <c r="F1964" t="s">
        <v>4980</v>
      </c>
    </row>
    <row r="1965" spans="2:6" x14ac:dyDescent="0.35">
      <c r="B1965">
        <v>4502699701</v>
      </c>
      <c r="C1965">
        <v>10</v>
      </c>
      <c r="D1965" t="s">
        <v>4981</v>
      </c>
      <c r="E1965" t="s">
        <v>3200</v>
      </c>
      <c r="F1965" t="s">
        <v>4982</v>
      </c>
    </row>
    <row r="1966" spans="2:6" x14ac:dyDescent="0.35">
      <c r="B1966">
        <v>4502699700</v>
      </c>
      <c r="C1966">
        <v>10</v>
      </c>
      <c r="D1966" t="s">
        <v>1650</v>
      </c>
      <c r="E1966" t="s">
        <v>3200</v>
      </c>
      <c r="F1966" t="s">
        <v>4983</v>
      </c>
    </row>
    <row r="1967" spans="2:6" x14ac:dyDescent="0.35">
      <c r="B1967">
        <v>4502699660</v>
      </c>
      <c r="C1967">
        <v>10</v>
      </c>
      <c r="D1967" t="s">
        <v>4984</v>
      </c>
      <c r="E1967" t="s">
        <v>68</v>
      </c>
      <c r="F1967" t="s">
        <v>4985</v>
      </c>
    </row>
    <row r="1968" spans="2:6" x14ac:dyDescent="0.35">
      <c r="B1968">
        <v>4502699640</v>
      </c>
      <c r="C1968">
        <v>20</v>
      </c>
      <c r="D1968" t="s">
        <v>4986</v>
      </c>
      <c r="E1968" t="s">
        <v>4987</v>
      </c>
      <c r="F1968" t="s">
        <v>4988</v>
      </c>
    </row>
    <row r="1969" spans="2:6" x14ac:dyDescent="0.35">
      <c r="B1969">
        <v>4502699640</v>
      </c>
      <c r="C1969">
        <v>10</v>
      </c>
      <c r="D1969" t="s">
        <v>4989</v>
      </c>
      <c r="E1969" t="s">
        <v>4987</v>
      </c>
      <c r="F1969" t="s">
        <v>4990</v>
      </c>
    </row>
    <row r="1970" spans="2:6" x14ac:dyDescent="0.35">
      <c r="B1970">
        <v>4502699441</v>
      </c>
      <c r="C1970">
        <v>10</v>
      </c>
      <c r="D1970" t="s">
        <v>1816</v>
      </c>
      <c r="E1970" t="s">
        <v>68</v>
      </c>
      <c r="F1970" t="s">
        <v>4991</v>
      </c>
    </row>
    <row r="1971" spans="2:6" x14ac:dyDescent="0.35">
      <c r="B1971">
        <v>4502699215</v>
      </c>
      <c r="C1971">
        <v>10</v>
      </c>
      <c r="D1971" t="s">
        <v>4992</v>
      </c>
      <c r="E1971" t="s">
        <v>3200</v>
      </c>
      <c r="F1971" t="s">
        <v>4993</v>
      </c>
    </row>
    <row r="1972" spans="2:6" x14ac:dyDescent="0.35">
      <c r="B1972">
        <v>4502699211</v>
      </c>
      <c r="C1972">
        <v>20</v>
      </c>
      <c r="D1972" t="s">
        <v>4994</v>
      </c>
      <c r="E1972" t="s">
        <v>3200</v>
      </c>
      <c r="F1972" t="s">
        <v>4995</v>
      </c>
    </row>
    <row r="1973" spans="2:6" x14ac:dyDescent="0.35">
      <c r="B1973">
        <v>4502699211</v>
      </c>
      <c r="C1973">
        <v>10</v>
      </c>
      <c r="D1973" t="s">
        <v>4996</v>
      </c>
      <c r="E1973" t="s">
        <v>3200</v>
      </c>
      <c r="F1973" t="s">
        <v>4997</v>
      </c>
    </row>
    <row r="1974" spans="2:6" x14ac:dyDescent="0.35">
      <c r="B1974">
        <v>4502699205</v>
      </c>
      <c r="C1974">
        <v>10</v>
      </c>
      <c r="D1974" t="s">
        <v>26</v>
      </c>
      <c r="E1974" t="s">
        <v>68</v>
      </c>
      <c r="F1974" t="s">
        <v>4998</v>
      </c>
    </row>
    <row r="1975" spans="2:6" x14ac:dyDescent="0.35">
      <c r="B1975">
        <v>4502699204</v>
      </c>
      <c r="C1975">
        <v>10</v>
      </c>
      <c r="D1975" t="s">
        <v>504</v>
      </c>
      <c r="E1975" t="s">
        <v>4999</v>
      </c>
      <c r="F1975" t="s">
        <v>5000</v>
      </c>
    </row>
    <row r="1976" spans="2:6" x14ac:dyDescent="0.35">
      <c r="B1976">
        <v>4502699203</v>
      </c>
      <c r="C1976">
        <v>20</v>
      </c>
      <c r="D1976" t="s">
        <v>34</v>
      </c>
      <c r="E1976" t="s">
        <v>68</v>
      </c>
      <c r="F1976" t="s">
        <v>5001</v>
      </c>
    </row>
    <row r="1977" spans="2:6" x14ac:dyDescent="0.35">
      <c r="B1977">
        <v>4502699202</v>
      </c>
      <c r="C1977">
        <v>20</v>
      </c>
      <c r="D1977" t="s">
        <v>5002</v>
      </c>
      <c r="E1977" t="s">
        <v>5003</v>
      </c>
      <c r="F1977" t="s">
        <v>5004</v>
      </c>
    </row>
    <row r="1978" spans="2:6" x14ac:dyDescent="0.35">
      <c r="B1978">
        <v>4502699202</v>
      </c>
      <c r="C1978">
        <v>10</v>
      </c>
      <c r="D1978" t="s">
        <v>1484</v>
      </c>
      <c r="E1978" t="s">
        <v>5003</v>
      </c>
      <c r="F1978" t="s">
        <v>5005</v>
      </c>
    </row>
    <row r="1979" spans="2:6" x14ac:dyDescent="0.35">
      <c r="B1979">
        <v>4502699199</v>
      </c>
      <c r="C1979">
        <v>10</v>
      </c>
      <c r="D1979" t="s">
        <v>1407</v>
      </c>
      <c r="E1979" t="s">
        <v>3200</v>
      </c>
      <c r="F1979" t="s">
        <v>5006</v>
      </c>
    </row>
    <row r="1980" spans="2:6" x14ac:dyDescent="0.35">
      <c r="B1980">
        <v>4502699155</v>
      </c>
      <c r="C1980">
        <v>10</v>
      </c>
      <c r="D1980" t="s">
        <v>5007</v>
      </c>
      <c r="E1980" t="s">
        <v>68</v>
      </c>
      <c r="F1980" t="s">
        <v>5008</v>
      </c>
    </row>
    <row r="1981" spans="2:6" x14ac:dyDescent="0.35">
      <c r="B1981">
        <v>4502699140</v>
      </c>
      <c r="C1981">
        <v>30</v>
      </c>
      <c r="D1981" t="s">
        <v>5009</v>
      </c>
      <c r="E1981" t="s">
        <v>3094</v>
      </c>
      <c r="F1981" t="s">
        <v>5010</v>
      </c>
    </row>
    <row r="1982" spans="2:6" x14ac:dyDescent="0.35">
      <c r="B1982">
        <v>4502699140</v>
      </c>
      <c r="C1982">
        <v>20</v>
      </c>
      <c r="D1982" t="s">
        <v>5011</v>
      </c>
      <c r="E1982" t="s">
        <v>3094</v>
      </c>
      <c r="F1982" t="s">
        <v>5012</v>
      </c>
    </row>
    <row r="1983" spans="2:6" x14ac:dyDescent="0.35">
      <c r="B1983">
        <v>4502699140</v>
      </c>
      <c r="C1983">
        <v>10</v>
      </c>
      <c r="D1983" t="s">
        <v>5013</v>
      </c>
      <c r="E1983" t="s">
        <v>3094</v>
      </c>
      <c r="F1983" t="s">
        <v>5014</v>
      </c>
    </row>
    <row r="1984" spans="2:6" x14ac:dyDescent="0.35">
      <c r="B1984">
        <v>4502699074</v>
      </c>
      <c r="C1984">
        <v>10</v>
      </c>
      <c r="D1984" t="s">
        <v>5015</v>
      </c>
      <c r="E1984" t="s">
        <v>3200</v>
      </c>
      <c r="F1984" t="s">
        <v>5016</v>
      </c>
    </row>
    <row r="1985" spans="2:6" x14ac:dyDescent="0.35">
      <c r="B1985">
        <v>4502698921</v>
      </c>
      <c r="C1985">
        <v>20</v>
      </c>
      <c r="D1985" t="s">
        <v>5017</v>
      </c>
      <c r="E1985" t="s">
        <v>68</v>
      </c>
      <c r="F1985" t="s">
        <v>5018</v>
      </c>
    </row>
    <row r="1986" spans="2:6" x14ac:dyDescent="0.35">
      <c r="B1986">
        <v>4502698921</v>
      </c>
      <c r="C1986">
        <v>10</v>
      </c>
      <c r="D1986" t="s">
        <v>5019</v>
      </c>
      <c r="E1986" t="s">
        <v>68</v>
      </c>
      <c r="F1986" t="s">
        <v>5020</v>
      </c>
    </row>
    <row r="1987" spans="2:6" x14ac:dyDescent="0.35">
      <c r="B1987">
        <v>4502698869</v>
      </c>
      <c r="C1987">
        <v>10</v>
      </c>
      <c r="D1987" t="s">
        <v>5021</v>
      </c>
      <c r="E1987" t="s">
        <v>3200</v>
      </c>
      <c r="F1987" t="s">
        <v>5022</v>
      </c>
    </row>
    <row r="1988" spans="2:6" x14ac:dyDescent="0.35">
      <c r="B1988">
        <v>4502698848</v>
      </c>
      <c r="C1988">
        <v>20</v>
      </c>
      <c r="D1988" t="s">
        <v>5023</v>
      </c>
      <c r="E1988" t="s">
        <v>3200</v>
      </c>
      <c r="F1988" t="s">
        <v>5024</v>
      </c>
    </row>
    <row r="1989" spans="2:6" x14ac:dyDescent="0.35">
      <c r="B1989">
        <v>4502698848</v>
      </c>
      <c r="C1989">
        <v>10</v>
      </c>
      <c r="D1989" t="s">
        <v>5025</v>
      </c>
      <c r="E1989" t="s">
        <v>3200</v>
      </c>
      <c r="F1989" t="s">
        <v>5026</v>
      </c>
    </row>
    <row r="1990" spans="2:6" x14ac:dyDescent="0.35">
      <c r="B1990">
        <v>4502698822</v>
      </c>
      <c r="C1990">
        <v>10</v>
      </c>
      <c r="D1990" t="s">
        <v>576</v>
      </c>
      <c r="E1990" t="s">
        <v>68</v>
      </c>
      <c r="F1990" t="s">
        <v>5027</v>
      </c>
    </row>
    <row r="1991" spans="2:6" x14ac:dyDescent="0.35">
      <c r="B1991">
        <v>4502698776</v>
      </c>
      <c r="C1991">
        <v>10</v>
      </c>
      <c r="D1991" t="s">
        <v>5028</v>
      </c>
      <c r="E1991" t="s">
        <v>3200</v>
      </c>
      <c r="F1991" t="s">
        <v>5029</v>
      </c>
    </row>
    <row r="1992" spans="2:6" x14ac:dyDescent="0.35">
      <c r="B1992">
        <v>4502698726</v>
      </c>
      <c r="C1992">
        <v>10</v>
      </c>
      <c r="D1992" t="s">
        <v>5030</v>
      </c>
      <c r="E1992" t="s">
        <v>68</v>
      </c>
      <c r="F1992" t="s">
        <v>5031</v>
      </c>
    </row>
    <row r="1993" spans="2:6" x14ac:dyDescent="0.35">
      <c r="B1993">
        <v>4502698547</v>
      </c>
      <c r="C1993">
        <v>30</v>
      </c>
      <c r="D1993" t="s">
        <v>1811</v>
      </c>
      <c r="E1993" t="s">
        <v>68</v>
      </c>
      <c r="F1993" t="s">
        <v>5032</v>
      </c>
    </row>
    <row r="1994" spans="2:6" x14ac:dyDescent="0.35">
      <c r="B1994">
        <v>4502698547</v>
      </c>
      <c r="C1994">
        <v>20</v>
      </c>
      <c r="D1994" t="s">
        <v>1808</v>
      </c>
      <c r="E1994" t="s">
        <v>68</v>
      </c>
      <c r="F1994" t="s">
        <v>5033</v>
      </c>
    </row>
    <row r="1995" spans="2:6" x14ac:dyDescent="0.35">
      <c r="B1995">
        <v>4502698547</v>
      </c>
      <c r="C1995">
        <v>10</v>
      </c>
      <c r="D1995" t="s">
        <v>5034</v>
      </c>
      <c r="E1995" t="s">
        <v>68</v>
      </c>
      <c r="F1995" t="s">
        <v>5035</v>
      </c>
    </row>
    <row r="1996" spans="2:6" x14ac:dyDescent="0.35">
      <c r="B1996">
        <v>4502698445</v>
      </c>
      <c r="C1996">
        <v>10</v>
      </c>
      <c r="D1996" t="s">
        <v>5036</v>
      </c>
      <c r="E1996" t="s">
        <v>3200</v>
      </c>
      <c r="F1996" t="s">
        <v>5037</v>
      </c>
    </row>
    <row r="1997" spans="2:6" x14ac:dyDescent="0.35">
      <c r="B1997">
        <v>4502698425</v>
      </c>
      <c r="C1997">
        <v>40</v>
      </c>
      <c r="D1997" t="s">
        <v>5038</v>
      </c>
      <c r="E1997" t="s">
        <v>5039</v>
      </c>
      <c r="F1997" t="s">
        <v>5040</v>
      </c>
    </row>
    <row r="1998" spans="2:6" x14ac:dyDescent="0.35">
      <c r="B1998">
        <v>4502698425</v>
      </c>
      <c r="C1998">
        <v>30</v>
      </c>
      <c r="D1998" t="s">
        <v>5041</v>
      </c>
      <c r="E1998" t="s">
        <v>5039</v>
      </c>
      <c r="F1998" t="s">
        <v>5042</v>
      </c>
    </row>
    <row r="1999" spans="2:6" x14ac:dyDescent="0.35">
      <c r="B1999">
        <v>4502698425</v>
      </c>
      <c r="C1999">
        <v>20</v>
      </c>
      <c r="D1999" t="s">
        <v>5043</v>
      </c>
      <c r="E1999" t="s">
        <v>5039</v>
      </c>
      <c r="F1999" t="s">
        <v>5044</v>
      </c>
    </row>
    <row r="2000" spans="2:6" x14ac:dyDescent="0.35">
      <c r="B2000">
        <v>4502698425</v>
      </c>
      <c r="C2000">
        <v>10</v>
      </c>
      <c r="D2000" t="s">
        <v>5045</v>
      </c>
      <c r="E2000" t="s">
        <v>5039</v>
      </c>
      <c r="F2000" t="s">
        <v>5046</v>
      </c>
    </row>
    <row r="2001" spans="2:6" x14ac:dyDescent="0.35">
      <c r="B2001">
        <v>4502698421</v>
      </c>
      <c r="C2001">
        <v>10</v>
      </c>
      <c r="D2001" t="s">
        <v>279</v>
      </c>
      <c r="E2001" t="s">
        <v>2887</v>
      </c>
      <c r="F2001" t="s">
        <v>5047</v>
      </c>
    </row>
    <row r="2002" spans="2:6" x14ac:dyDescent="0.35">
      <c r="B2002">
        <v>4502698398</v>
      </c>
      <c r="C2002">
        <v>10</v>
      </c>
      <c r="D2002" t="s">
        <v>5048</v>
      </c>
      <c r="E2002" t="s">
        <v>3200</v>
      </c>
      <c r="F2002" t="s">
        <v>5049</v>
      </c>
    </row>
    <row r="2003" spans="2:6" x14ac:dyDescent="0.35">
      <c r="B2003">
        <v>4502698292</v>
      </c>
      <c r="C2003">
        <v>10</v>
      </c>
      <c r="D2003" t="s">
        <v>1106</v>
      </c>
      <c r="E2003" t="s">
        <v>3200</v>
      </c>
      <c r="F2003" t="s">
        <v>5050</v>
      </c>
    </row>
    <row r="2004" spans="2:6" x14ac:dyDescent="0.35">
      <c r="B2004">
        <v>4502698264</v>
      </c>
      <c r="C2004">
        <v>10</v>
      </c>
      <c r="D2004" t="s">
        <v>211</v>
      </c>
      <c r="E2004" t="s">
        <v>3200</v>
      </c>
      <c r="F2004" t="s">
        <v>5051</v>
      </c>
    </row>
    <row r="2005" spans="2:6" x14ac:dyDescent="0.35">
      <c r="B2005">
        <v>4502698229</v>
      </c>
      <c r="C2005">
        <v>20</v>
      </c>
      <c r="D2005" t="s">
        <v>269</v>
      </c>
      <c r="E2005" t="s">
        <v>3200</v>
      </c>
      <c r="F2005" t="s">
        <v>5052</v>
      </c>
    </row>
    <row r="2006" spans="2:6" x14ac:dyDescent="0.35">
      <c r="B2006">
        <v>4502698229</v>
      </c>
      <c r="C2006">
        <v>10</v>
      </c>
      <c r="D2006" t="s">
        <v>321</v>
      </c>
      <c r="E2006" t="s">
        <v>2887</v>
      </c>
      <c r="F2006" t="s">
        <v>5053</v>
      </c>
    </row>
    <row r="2007" spans="2:6" x14ac:dyDescent="0.35">
      <c r="B2007">
        <v>4502698213</v>
      </c>
      <c r="C2007">
        <v>40</v>
      </c>
      <c r="D2007" t="s">
        <v>5054</v>
      </c>
      <c r="E2007" t="s">
        <v>3200</v>
      </c>
      <c r="F2007" t="s">
        <v>5055</v>
      </c>
    </row>
    <row r="2008" spans="2:6" x14ac:dyDescent="0.35">
      <c r="B2008">
        <v>4502698213</v>
      </c>
      <c r="C2008">
        <v>30</v>
      </c>
      <c r="D2008" t="s">
        <v>5056</v>
      </c>
      <c r="E2008" t="s">
        <v>3200</v>
      </c>
      <c r="F2008" t="s">
        <v>5057</v>
      </c>
    </row>
    <row r="2009" spans="2:6" x14ac:dyDescent="0.35">
      <c r="B2009">
        <v>4502698213</v>
      </c>
      <c r="C2009">
        <v>20</v>
      </c>
      <c r="D2009" t="s">
        <v>5058</v>
      </c>
      <c r="E2009" t="s">
        <v>3200</v>
      </c>
      <c r="F2009" t="s">
        <v>5059</v>
      </c>
    </row>
    <row r="2010" spans="2:6" x14ac:dyDescent="0.35">
      <c r="B2010">
        <v>4502698213</v>
      </c>
      <c r="C2010">
        <v>10</v>
      </c>
      <c r="D2010" t="s">
        <v>5060</v>
      </c>
      <c r="E2010" t="s">
        <v>3200</v>
      </c>
      <c r="F2010" t="s">
        <v>5061</v>
      </c>
    </row>
    <row r="2011" spans="2:6" x14ac:dyDescent="0.35">
      <c r="B2011">
        <v>4502698208</v>
      </c>
      <c r="C2011">
        <v>10</v>
      </c>
      <c r="D2011" t="s">
        <v>1424</v>
      </c>
      <c r="E2011" t="s">
        <v>3200</v>
      </c>
      <c r="F2011" t="s">
        <v>5062</v>
      </c>
    </row>
    <row r="2012" spans="2:6" x14ac:dyDescent="0.35">
      <c r="B2012">
        <v>4502698150</v>
      </c>
      <c r="C2012">
        <v>10</v>
      </c>
      <c r="D2012" t="s">
        <v>3857</v>
      </c>
      <c r="E2012" t="s">
        <v>2887</v>
      </c>
      <c r="F2012" t="s">
        <v>5063</v>
      </c>
    </row>
    <row r="2013" spans="2:6" x14ac:dyDescent="0.35">
      <c r="B2013">
        <v>4502698059</v>
      </c>
      <c r="C2013">
        <v>30</v>
      </c>
      <c r="D2013" t="s">
        <v>1208</v>
      </c>
      <c r="E2013" t="s">
        <v>3200</v>
      </c>
      <c r="F2013" t="s">
        <v>5064</v>
      </c>
    </row>
    <row r="2014" spans="2:6" x14ac:dyDescent="0.35">
      <c r="B2014">
        <v>4502698059</v>
      </c>
      <c r="C2014">
        <v>10</v>
      </c>
      <c r="D2014" t="s">
        <v>1434</v>
      </c>
      <c r="E2014" t="s">
        <v>3200</v>
      </c>
      <c r="F2014" t="s">
        <v>5065</v>
      </c>
    </row>
    <row r="2015" spans="2:6" x14ac:dyDescent="0.35">
      <c r="B2015">
        <v>4502698052</v>
      </c>
      <c r="C2015">
        <v>10</v>
      </c>
      <c r="D2015" t="s">
        <v>5066</v>
      </c>
      <c r="E2015" t="s">
        <v>3200</v>
      </c>
      <c r="F2015" t="s">
        <v>5067</v>
      </c>
    </row>
    <row r="2016" spans="2:6" x14ac:dyDescent="0.35">
      <c r="B2016">
        <v>4502698044</v>
      </c>
      <c r="C2016">
        <v>10</v>
      </c>
      <c r="D2016" t="s">
        <v>5068</v>
      </c>
      <c r="E2016" t="s">
        <v>3200</v>
      </c>
      <c r="F2016" t="s">
        <v>5069</v>
      </c>
    </row>
    <row r="2017" spans="2:6" x14ac:dyDescent="0.35">
      <c r="B2017">
        <v>4502698027</v>
      </c>
      <c r="C2017">
        <v>10</v>
      </c>
      <c r="D2017" t="s">
        <v>5070</v>
      </c>
      <c r="E2017" t="s">
        <v>68</v>
      </c>
      <c r="F2017" t="s">
        <v>5071</v>
      </c>
    </row>
    <row r="2018" spans="2:6" x14ac:dyDescent="0.35">
      <c r="B2018">
        <v>4502697730</v>
      </c>
      <c r="C2018">
        <v>10</v>
      </c>
      <c r="D2018" t="s">
        <v>5072</v>
      </c>
      <c r="E2018" t="s">
        <v>3200</v>
      </c>
      <c r="F2018" t="s">
        <v>5073</v>
      </c>
    </row>
    <row r="2019" spans="2:6" x14ac:dyDescent="0.35">
      <c r="B2019">
        <v>4502697695</v>
      </c>
      <c r="C2019">
        <v>50</v>
      </c>
      <c r="D2019" t="s">
        <v>5074</v>
      </c>
      <c r="E2019" t="s">
        <v>4576</v>
      </c>
      <c r="F2019" t="s">
        <v>5075</v>
      </c>
    </row>
    <row r="2020" spans="2:6" x14ac:dyDescent="0.35">
      <c r="B2020">
        <v>4502697695</v>
      </c>
      <c r="C2020">
        <v>40</v>
      </c>
      <c r="D2020" t="s">
        <v>5076</v>
      </c>
      <c r="E2020" t="s">
        <v>4576</v>
      </c>
      <c r="F2020" t="s">
        <v>5077</v>
      </c>
    </row>
    <row r="2021" spans="2:6" x14ac:dyDescent="0.35">
      <c r="B2021">
        <v>4502697695</v>
      </c>
      <c r="C2021">
        <v>30</v>
      </c>
      <c r="D2021" t="s">
        <v>5078</v>
      </c>
      <c r="E2021" t="s">
        <v>4576</v>
      </c>
      <c r="F2021" t="s">
        <v>5079</v>
      </c>
    </row>
    <row r="2022" spans="2:6" x14ac:dyDescent="0.35">
      <c r="B2022">
        <v>4502697695</v>
      </c>
      <c r="C2022">
        <v>20</v>
      </c>
      <c r="D2022" t="s">
        <v>5080</v>
      </c>
      <c r="E2022" t="s">
        <v>4576</v>
      </c>
      <c r="F2022" t="s">
        <v>5081</v>
      </c>
    </row>
    <row r="2023" spans="2:6" x14ac:dyDescent="0.35">
      <c r="B2023">
        <v>4502697695</v>
      </c>
      <c r="C2023">
        <v>10</v>
      </c>
      <c r="D2023" t="s">
        <v>5082</v>
      </c>
      <c r="E2023" t="s">
        <v>4576</v>
      </c>
      <c r="F2023" t="s">
        <v>5083</v>
      </c>
    </row>
    <row r="2024" spans="2:6" x14ac:dyDescent="0.35">
      <c r="B2024">
        <v>4502697673</v>
      </c>
      <c r="C2024">
        <v>90</v>
      </c>
      <c r="D2024" t="s">
        <v>5084</v>
      </c>
      <c r="E2024" t="s">
        <v>2887</v>
      </c>
      <c r="F2024" t="s">
        <v>5085</v>
      </c>
    </row>
    <row r="2025" spans="2:6" x14ac:dyDescent="0.35">
      <c r="B2025">
        <v>4502697673</v>
      </c>
      <c r="C2025">
        <v>80</v>
      </c>
      <c r="D2025" t="s">
        <v>5086</v>
      </c>
      <c r="E2025" t="s">
        <v>2887</v>
      </c>
      <c r="F2025" t="s">
        <v>5087</v>
      </c>
    </row>
    <row r="2026" spans="2:6" x14ac:dyDescent="0.35">
      <c r="B2026">
        <v>4502697673</v>
      </c>
      <c r="C2026">
        <v>70</v>
      </c>
      <c r="D2026" t="s">
        <v>5088</v>
      </c>
      <c r="E2026" t="s">
        <v>2887</v>
      </c>
      <c r="F2026" t="s">
        <v>5089</v>
      </c>
    </row>
    <row r="2027" spans="2:6" x14ac:dyDescent="0.35">
      <c r="B2027">
        <v>4502697673</v>
      </c>
      <c r="C2027">
        <v>60</v>
      </c>
      <c r="D2027" t="s">
        <v>5090</v>
      </c>
      <c r="E2027" t="s">
        <v>2887</v>
      </c>
      <c r="F2027" t="s">
        <v>5091</v>
      </c>
    </row>
    <row r="2028" spans="2:6" x14ac:dyDescent="0.35">
      <c r="B2028">
        <v>4502697673</v>
      </c>
      <c r="C2028">
        <v>50</v>
      </c>
      <c r="D2028" t="s">
        <v>5092</v>
      </c>
      <c r="E2028" t="s">
        <v>2887</v>
      </c>
      <c r="F2028" t="s">
        <v>5093</v>
      </c>
    </row>
    <row r="2029" spans="2:6" x14ac:dyDescent="0.35">
      <c r="B2029">
        <v>4502697673</v>
      </c>
      <c r="C2029">
        <v>40</v>
      </c>
      <c r="D2029" t="s">
        <v>5094</v>
      </c>
      <c r="E2029" t="s">
        <v>2887</v>
      </c>
      <c r="F2029" t="s">
        <v>5095</v>
      </c>
    </row>
    <row r="2030" spans="2:6" x14ac:dyDescent="0.35">
      <c r="B2030">
        <v>4502697673</v>
      </c>
      <c r="C2030">
        <v>30</v>
      </c>
      <c r="D2030" t="s">
        <v>5096</v>
      </c>
      <c r="E2030" t="s">
        <v>2887</v>
      </c>
      <c r="F2030" t="s">
        <v>5097</v>
      </c>
    </row>
    <row r="2031" spans="2:6" x14ac:dyDescent="0.35">
      <c r="B2031">
        <v>4502697673</v>
      </c>
      <c r="C2031">
        <v>20</v>
      </c>
      <c r="D2031" t="s">
        <v>5098</v>
      </c>
      <c r="E2031" t="s">
        <v>2887</v>
      </c>
      <c r="F2031" t="s">
        <v>5099</v>
      </c>
    </row>
    <row r="2032" spans="2:6" x14ac:dyDescent="0.35">
      <c r="B2032">
        <v>4502697673</v>
      </c>
      <c r="C2032">
        <v>10</v>
      </c>
      <c r="D2032" t="s">
        <v>5100</v>
      </c>
      <c r="E2032" t="s">
        <v>2887</v>
      </c>
      <c r="F2032" t="s">
        <v>5101</v>
      </c>
    </row>
    <row r="2033" spans="2:6" x14ac:dyDescent="0.35">
      <c r="B2033">
        <v>4502697666</v>
      </c>
      <c r="C2033">
        <v>10</v>
      </c>
      <c r="D2033" t="s">
        <v>5102</v>
      </c>
      <c r="E2033" t="s">
        <v>3200</v>
      </c>
      <c r="F2033" t="s">
        <v>5103</v>
      </c>
    </row>
    <row r="2034" spans="2:6" x14ac:dyDescent="0.35">
      <c r="B2034">
        <v>4502697655</v>
      </c>
      <c r="C2034">
        <v>10</v>
      </c>
      <c r="D2034" t="s">
        <v>5104</v>
      </c>
      <c r="E2034" t="s">
        <v>3200</v>
      </c>
      <c r="F2034" t="s">
        <v>5105</v>
      </c>
    </row>
    <row r="2035" spans="2:6" x14ac:dyDescent="0.35">
      <c r="B2035">
        <v>4502697594</v>
      </c>
      <c r="C2035">
        <v>10</v>
      </c>
      <c r="D2035" t="s">
        <v>5106</v>
      </c>
      <c r="E2035" t="s">
        <v>2887</v>
      </c>
      <c r="F2035" t="s">
        <v>5107</v>
      </c>
    </row>
    <row r="2036" spans="2:6" x14ac:dyDescent="0.35">
      <c r="B2036">
        <v>4502697528</v>
      </c>
      <c r="C2036">
        <v>20</v>
      </c>
      <c r="D2036" t="s">
        <v>5108</v>
      </c>
      <c r="E2036" t="s">
        <v>3200</v>
      </c>
      <c r="F2036" t="s">
        <v>5109</v>
      </c>
    </row>
    <row r="2037" spans="2:6" x14ac:dyDescent="0.35">
      <c r="B2037">
        <v>4502697528</v>
      </c>
      <c r="C2037">
        <v>10</v>
      </c>
      <c r="D2037" t="s">
        <v>5110</v>
      </c>
      <c r="E2037" t="s">
        <v>3200</v>
      </c>
      <c r="F2037" t="s">
        <v>5111</v>
      </c>
    </row>
    <row r="2038" spans="2:6" x14ac:dyDescent="0.35">
      <c r="B2038">
        <v>4502697522</v>
      </c>
      <c r="C2038">
        <v>20</v>
      </c>
      <c r="D2038" t="s">
        <v>5112</v>
      </c>
      <c r="E2038" t="s">
        <v>3200</v>
      </c>
      <c r="F2038" t="s">
        <v>5113</v>
      </c>
    </row>
    <row r="2039" spans="2:6" x14ac:dyDescent="0.35">
      <c r="B2039">
        <v>4502697522</v>
      </c>
      <c r="C2039">
        <v>10</v>
      </c>
      <c r="D2039" t="s">
        <v>5114</v>
      </c>
      <c r="E2039" t="s">
        <v>3200</v>
      </c>
      <c r="F2039" t="s">
        <v>5115</v>
      </c>
    </row>
    <row r="2040" spans="2:6" x14ac:dyDescent="0.35">
      <c r="B2040">
        <v>4502697506</v>
      </c>
      <c r="C2040">
        <v>10</v>
      </c>
      <c r="D2040" t="s">
        <v>5116</v>
      </c>
      <c r="E2040" t="s">
        <v>3200</v>
      </c>
      <c r="F2040" t="s">
        <v>5117</v>
      </c>
    </row>
    <row r="2041" spans="2:6" x14ac:dyDescent="0.35">
      <c r="B2041">
        <v>4502697406</v>
      </c>
      <c r="C2041">
        <v>10</v>
      </c>
      <c r="D2041" t="s">
        <v>638</v>
      </c>
      <c r="E2041" t="s">
        <v>4044</v>
      </c>
      <c r="F2041" t="s">
        <v>5118</v>
      </c>
    </row>
    <row r="2042" spans="2:6" x14ac:dyDescent="0.35">
      <c r="B2042">
        <v>4502697197</v>
      </c>
      <c r="C2042">
        <v>10</v>
      </c>
      <c r="D2042" t="s">
        <v>5119</v>
      </c>
      <c r="E2042" t="s">
        <v>3200</v>
      </c>
      <c r="F2042" t="s">
        <v>5120</v>
      </c>
    </row>
    <row r="2043" spans="2:6" x14ac:dyDescent="0.35">
      <c r="B2043">
        <v>4502697092</v>
      </c>
      <c r="C2043">
        <v>70</v>
      </c>
      <c r="D2043" t="s">
        <v>5121</v>
      </c>
      <c r="E2043" t="s">
        <v>4044</v>
      </c>
      <c r="F2043" t="s">
        <v>5122</v>
      </c>
    </row>
    <row r="2044" spans="2:6" x14ac:dyDescent="0.35">
      <c r="B2044">
        <v>4502697092</v>
      </c>
      <c r="C2044">
        <v>60</v>
      </c>
      <c r="D2044" t="s">
        <v>5123</v>
      </c>
      <c r="E2044" t="s">
        <v>4044</v>
      </c>
      <c r="F2044" t="s">
        <v>5124</v>
      </c>
    </row>
    <row r="2045" spans="2:6" x14ac:dyDescent="0.35">
      <c r="B2045">
        <v>4502697092</v>
      </c>
      <c r="C2045">
        <v>50</v>
      </c>
      <c r="D2045" t="s">
        <v>5125</v>
      </c>
      <c r="E2045" t="s">
        <v>4044</v>
      </c>
      <c r="F2045" t="s">
        <v>5126</v>
      </c>
    </row>
    <row r="2046" spans="2:6" x14ac:dyDescent="0.35">
      <c r="B2046">
        <v>4502697092</v>
      </c>
      <c r="C2046">
        <v>40</v>
      </c>
      <c r="D2046" t="s">
        <v>5127</v>
      </c>
      <c r="E2046" t="s">
        <v>4044</v>
      </c>
      <c r="F2046" t="s">
        <v>5128</v>
      </c>
    </row>
    <row r="2047" spans="2:6" x14ac:dyDescent="0.35">
      <c r="B2047">
        <v>4502697092</v>
      </c>
      <c r="C2047">
        <v>30</v>
      </c>
      <c r="D2047" t="s">
        <v>5129</v>
      </c>
      <c r="E2047" t="s">
        <v>4044</v>
      </c>
      <c r="F2047" t="s">
        <v>5130</v>
      </c>
    </row>
    <row r="2048" spans="2:6" x14ac:dyDescent="0.35">
      <c r="B2048">
        <v>4502697092</v>
      </c>
      <c r="C2048">
        <v>20</v>
      </c>
      <c r="D2048" t="s">
        <v>5131</v>
      </c>
      <c r="E2048" t="s">
        <v>4044</v>
      </c>
      <c r="F2048" t="s">
        <v>5132</v>
      </c>
    </row>
    <row r="2049" spans="2:6" x14ac:dyDescent="0.35">
      <c r="B2049">
        <v>4502697092</v>
      </c>
      <c r="C2049">
        <v>10</v>
      </c>
      <c r="D2049" t="s">
        <v>5133</v>
      </c>
      <c r="E2049" t="s">
        <v>4044</v>
      </c>
      <c r="F2049" t="s">
        <v>5134</v>
      </c>
    </row>
    <row r="2050" spans="2:6" x14ac:dyDescent="0.35">
      <c r="B2050">
        <v>4502697082</v>
      </c>
      <c r="C2050">
        <v>20</v>
      </c>
      <c r="D2050" t="s">
        <v>5135</v>
      </c>
      <c r="E2050" t="s">
        <v>3200</v>
      </c>
      <c r="F2050" t="s">
        <v>5136</v>
      </c>
    </row>
    <row r="2051" spans="2:6" x14ac:dyDescent="0.35">
      <c r="B2051">
        <v>4502697082</v>
      </c>
      <c r="C2051">
        <v>10</v>
      </c>
      <c r="D2051" t="s">
        <v>5137</v>
      </c>
      <c r="E2051" t="s">
        <v>3200</v>
      </c>
      <c r="F2051" t="s">
        <v>5138</v>
      </c>
    </row>
    <row r="2052" spans="2:6" x14ac:dyDescent="0.35">
      <c r="B2052">
        <v>4502697060</v>
      </c>
      <c r="C2052">
        <v>10</v>
      </c>
      <c r="D2052" t="s">
        <v>609</v>
      </c>
      <c r="E2052" t="s">
        <v>3200</v>
      </c>
      <c r="F2052" t="s">
        <v>5139</v>
      </c>
    </row>
    <row r="2053" spans="2:6" x14ac:dyDescent="0.35">
      <c r="B2053">
        <v>4502697037</v>
      </c>
      <c r="C2053">
        <v>10</v>
      </c>
      <c r="D2053" t="s">
        <v>5140</v>
      </c>
      <c r="E2053" t="s">
        <v>68</v>
      </c>
      <c r="F2053" t="s">
        <v>5141</v>
      </c>
    </row>
    <row r="2054" spans="2:6" x14ac:dyDescent="0.35">
      <c r="B2054">
        <v>4502697024</v>
      </c>
      <c r="C2054">
        <v>10</v>
      </c>
      <c r="D2054" t="s">
        <v>745</v>
      </c>
      <c r="E2054" t="s">
        <v>3200</v>
      </c>
      <c r="F2054" t="s">
        <v>5142</v>
      </c>
    </row>
    <row r="2055" spans="2:6" x14ac:dyDescent="0.35">
      <c r="B2055">
        <v>4502696998</v>
      </c>
      <c r="C2055">
        <v>10</v>
      </c>
      <c r="D2055" t="s">
        <v>5143</v>
      </c>
      <c r="E2055" t="s">
        <v>3200</v>
      </c>
      <c r="F2055" t="s">
        <v>5144</v>
      </c>
    </row>
    <row r="2056" spans="2:6" x14ac:dyDescent="0.35">
      <c r="B2056">
        <v>4502696821</v>
      </c>
      <c r="C2056">
        <v>10</v>
      </c>
      <c r="D2056" t="s">
        <v>5145</v>
      </c>
      <c r="E2056" t="s">
        <v>68</v>
      </c>
      <c r="F2056" t="s">
        <v>5146</v>
      </c>
    </row>
    <row r="2057" spans="2:6" x14ac:dyDescent="0.35">
      <c r="B2057">
        <v>4502696797</v>
      </c>
      <c r="C2057">
        <v>10</v>
      </c>
      <c r="D2057" t="s">
        <v>5147</v>
      </c>
      <c r="E2057" t="s">
        <v>3200</v>
      </c>
      <c r="F2057" t="s">
        <v>5148</v>
      </c>
    </row>
    <row r="2058" spans="2:6" x14ac:dyDescent="0.35">
      <c r="B2058">
        <v>4502696465</v>
      </c>
      <c r="C2058">
        <v>10</v>
      </c>
      <c r="D2058" t="s">
        <v>1484</v>
      </c>
      <c r="E2058" t="s">
        <v>3200</v>
      </c>
      <c r="F2058" t="s">
        <v>5149</v>
      </c>
    </row>
    <row r="2059" spans="2:6" x14ac:dyDescent="0.35">
      <c r="B2059">
        <v>4502696457</v>
      </c>
      <c r="C2059">
        <v>10</v>
      </c>
      <c r="D2059" t="s">
        <v>1484</v>
      </c>
      <c r="E2059" t="s">
        <v>3200</v>
      </c>
      <c r="F2059" t="s">
        <v>5150</v>
      </c>
    </row>
    <row r="2060" spans="2:6" x14ac:dyDescent="0.35">
      <c r="B2060">
        <v>4502696166</v>
      </c>
      <c r="C2060">
        <v>10</v>
      </c>
      <c r="D2060" t="s">
        <v>5151</v>
      </c>
      <c r="E2060" t="s">
        <v>3200</v>
      </c>
      <c r="F2060" t="s">
        <v>5152</v>
      </c>
    </row>
    <row r="2061" spans="2:6" x14ac:dyDescent="0.35">
      <c r="B2061">
        <v>4502696147</v>
      </c>
      <c r="C2061">
        <v>10</v>
      </c>
      <c r="D2061" t="s">
        <v>5153</v>
      </c>
      <c r="E2061" t="s">
        <v>68</v>
      </c>
      <c r="F2061" t="s">
        <v>5154</v>
      </c>
    </row>
    <row r="2062" spans="2:6" x14ac:dyDescent="0.35">
      <c r="B2062">
        <v>4502696135</v>
      </c>
      <c r="C2062">
        <v>10</v>
      </c>
      <c r="D2062" t="s">
        <v>5155</v>
      </c>
      <c r="E2062" t="s">
        <v>5156</v>
      </c>
      <c r="F2062" t="s">
        <v>5157</v>
      </c>
    </row>
    <row r="2063" spans="2:6" x14ac:dyDescent="0.35">
      <c r="B2063">
        <v>4502696132</v>
      </c>
      <c r="C2063">
        <v>10</v>
      </c>
      <c r="D2063" t="s">
        <v>5158</v>
      </c>
      <c r="E2063" t="s">
        <v>3200</v>
      </c>
      <c r="F2063" t="s">
        <v>5159</v>
      </c>
    </row>
    <row r="2064" spans="2:6" x14ac:dyDescent="0.35">
      <c r="B2064">
        <v>4502696124</v>
      </c>
      <c r="C2064">
        <v>10</v>
      </c>
      <c r="D2064" t="s">
        <v>5160</v>
      </c>
      <c r="E2064" t="s">
        <v>68</v>
      </c>
      <c r="F2064" t="s">
        <v>5161</v>
      </c>
    </row>
    <row r="2065" spans="2:6" x14ac:dyDescent="0.35">
      <c r="B2065">
        <v>4502696104</v>
      </c>
      <c r="C2065">
        <v>20</v>
      </c>
      <c r="D2065" t="s">
        <v>5162</v>
      </c>
      <c r="E2065" t="s">
        <v>68</v>
      </c>
      <c r="F2065" t="s">
        <v>5163</v>
      </c>
    </row>
    <row r="2066" spans="2:6" x14ac:dyDescent="0.35">
      <c r="B2066">
        <v>4502696104</v>
      </c>
      <c r="C2066">
        <v>10</v>
      </c>
      <c r="D2066" t="s">
        <v>5164</v>
      </c>
      <c r="E2066" t="s">
        <v>68</v>
      </c>
      <c r="F2066" t="s">
        <v>5165</v>
      </c>
    </row>
    <row r="2067" spans="2:6" x14ac:dyDescent="0.35">
      <c r="B2067">
        <v>4502696027</v>
      </c>
      <c r="C2067">
        <v>10</v>
      </c>
      <c r="D2067" t="s">
        <v>1217</v>
      </c>
      <c r="E2067" t="s">
        <v>4310</v>
      </c>
      <c r="F2067" t="s">
        <v>5166</v>
      </c>
    </row>
    <row r="2068" spans="2:6" x14ac:dyDescent="0.35">
      <c r="B2068">
        <v>4502696026</v>
      </c>
      <c r="C2068">
        <v>10</v>
      </c>
      <c r="D2068" t="s">
        <v>4011</v>
      </c>
      <c r="E2068" t="s">
        <v>4310</v>
      </c>
      <c r="F2068" t="s">
        <v>5167</v>
      </c>
    </row>
    <row r="2069" spans="2:6" x14ac:dyDescent="0.35">
      <c r="B2069">
        <v>4502696023</v>
      </c>
      <c r="C2069">
        <v>20</v>
      </c>
      <c r="D2069" t="s">
        <v>743</v>
      </c>
      <c r="E2069" t="s">
        <v>68</v>
      </c>
      <c r="F2069" t="s">
        <v>5168</v>
      </c>
    </row>
    <row r="2070" spans="2:6" x14ac:dyDescent="0.35">
      <c r="B2070">
        <v>4502696023</v>
      </c>
      <c r="C2070">
        <v>10</v>
      </c>
      <c r="D2070" t="s">
        <v>747</v>
      </c>
      <c r="E2070" t="s">
        <v>68</v>
      </c>
      <c r="F2070" t="s">
        <v>5169</v>
      </c>
    </row>
    <row r="2071" spans="2:6" x14ac:dyDescent="0.35">
      <c r="B2071">
        <v>4502696017</v>
      </c>
      <c r="C2071">
        <v>10</v>
      </c>
      <c r="D2071" t="s">
        <v>4011</v>
      </c>
      <c r="E2071" t="s">
        <v>4310</v>
      </c>
      <c r="F2071" t="s">
        <v>5170</v>
      </c>
    </row>
    <row r="2072" spans="2:6" x14ac:dyDescent="0.35">
      <c r="B2072">
        <v>4502696014</v>
      </c>
      <c r="C2072">
        <v>10</v>
      </c>
      <c r="D2072" t="s">
        <v>125</v>
      </c>
      <c r="E2072" t="s">
        <v>4764</v>
      </c>
      <c r="F2072" t="s">
        <v>5171</v>
      </c>
    </row>
    <row r="2073" spans="2:6" x14ac:dyDescent="0.35">
      <c r="B2073">
        <v>4502695982</v>
      </c>
      <c r="C2073">
        <v>10</v>
      </c>
      <c r="D2073" t="s">
        <v>5172</v>
      </c>
      <c r="E2073" t="s">
        <v>68</v>
      </c>
      <c r="F2073" t="s">
        <v>5173</v>
      </c>
    </row>
    <row r="2074" spans="2:6" x14ac:dyDescent="0.35">
      <c r="B2074">
        <v>4502695981</v>
      </c>
      <c r="C2074">
        <v>10</v>
      </c>
      <c r="D2074" t="s">
        <v>4084</v>
      </c>
      <c r="E2074" t="s">
        <v>4310</v>
      </c>
      <c r="F2074" t="s">
        <v>5174</v>
      </c>
    </row>
    <row r="2075" spans="2:6" x14ac:dyDescent="0.35">
      <c r="B2075">
        <v>4502695889</v>
      </c>
      <c r="C2075">
        <v>10</v>
      </c>
      <c r="D2075" t="s">
        <v>5175</v>
      </c>
      <c r="E2075" t="s">
        <v>3200</v>
      </c>
      <c r="F2075" t="s">
        <v>5176</v>
      </c>
    </row>
    <row r="2076" spans="2:6" x14ac:dyDescent="0.35">
      <c r="B2076">
        <v>4502695870</v>
      </c>
      <c r="C2076">
        <v>20</v>
      </c>
      <c r="D2076" t="s">
        <v>5177</v>
      </c>
      <c r="E2076" t="s">
        <v>4044</v>
      </c>
      <c r="F2076" t="s">
        <v>5178</v>
      </c>
    </row>
    <row r="2077" spans="2:6" x14ac:dyDescent="0.35">
      <c r="B2077">
        <v>4502695870</v>
      </c>
      <c r="C2077">
        <v>10</v>
      </c>
      <c r="D2077" t="s">
        <v>5177</v>
      </c>
      <c r="E2077" t="s">
        <v>4044</v>
      </c>
      <c r="F2077" t="s">
        <v>5178</v>
      </c>
    </row>
    <row r="2078" spans="2:6" x14ac:dyDescent="0.35">
      <c r="B2078">
        <v>4502695247</v>
      </c>
      <c r="C2078">
        <v>10</v>
      </c>
      <c r="D2078" t="s">
        <v>1304</v>
      </c>
      <c r="E2078" t="s">
        <v>5179</v>
      </c>
      <c r="F2078" t="s">
        <v>5180</v>
      </c>
    </row>
    <row r="2079" spans="2:6" x14ac:dyDescent="0.35">
      <c r="B2079">
        <v>4502695214</v>
      </c>
      <c r="C2079">
        <v>10</v>
      </c>
      <c r="D2079" t="s">
        <v>432</v>
      </c>
      <c r="E2079" t="s">
        <v>3200</v>
      </c>
      <c r="F2079" t="s">
        <v>5181</v>
      </c>
    </row>
    <row r="2080" spans="2:6" x14ac:dyDescent="0.35">
      <c r="B2080">
        <v>4502695119</v>
      </c>
      <c r="C2080">
        <v>10</v>
      </c>
      <c r="D2080" t="s">
        <v>5182</v>
      </c>
      <c r="E2080" t="s">
        <v>4044</v>
      </c>
      <c r="F2080" t="s">
        <v>5183</v>
      </c>
    </row>
    <row r="2081" spans="2:6" x14ac:dyDescent="0.35">
      <c r="B2081">
        <v>4502694993</v>
      </c>
      <c r="C2081">
        <v>10</v>
      </c>
      <c r="D2081" t="s">
        <v>5184</v>
      </c>
      <c r="E2081" t="s">
        <v>4976</v>
      </c>
      <c r="F2081" t="s">
        <v>5185</v>
      </c>
    </row>
    <row r="2082" spans="2:6" x14ac:dyDescent="0.35">
      <c r="B2082">
        <v>4502694958</v>
      </c>
      <c r="C2082">
        <v>10</v>
      </c>
      <c r="D2082" t="s">
        <v>5186</v>
      </c>
      <c r="E2082" t="s">
        <v>3646</v>
      </c>
      <c r="F2082" t="s">
        <v>5187</v>
      </c>
    </row>
    <row r="2083" spans="2:6" x14ac:dyDescent="0.35">
      <c r="B2083">
        <v>4502694947</v>
      </c>
      <c r="C2083">
        <v>10</v>
      </c>
      <c r="D2083" t="s">
        <v>5188</v>
      </c>
      <c r="E2083" t="s">
        <v>5189</v>
      </c>
      <c r="F2083" t="s">
        <v>5190</v>
      </c>
    </row>
    <row r="2084" spans="2:6" x14ac:dyDescent="0.35">
      <c r="B2084">
        <v>4502694883</v>
      </c>
      <c r="C2084">
        <v>10</v>
      </c>
      <c r="D2084" t="s">
        <v>1124</v>
      </c>
      <c r="E2084" t="s">
        <v>5191</v>
      </c>
      <c r="F2084" t="s">
        <v>5192</v>
      </c>
    </row>
    <row r="2085" spans="2:6" x14ac:dyDescent="0.35">
      <c r="B2085">
        <v>4502694877</v>
      </c>
      <c r="C2085">
        <v>20</v>
      </c>
      <c r="D2085" t="s">
        <v>5193</v>
      </c>
      <c r="E2085" t="s">
        <v>3094</v>
      </c>
      <c r="F2085" t="s">
        <v>5194</v>
      </c>
    </row>
    <row r="2086" spans="2:6" x14ac:dyDescent="0.35">
      <c r="B2086">
        <v>4502694877</v>
      </c>
      <c r="C2086">
        <v>10</v>
      </c>
      <c r="D2086" t="s">
        <v>2295</v>
      </c>
      <c r="E2086" t="s">
        <v>3094</v>
      </c>
      <c r="F2086" t="s">
        <v>5195</v>
      </c>
    </row>
    <row r="2087" spans="2:6" x14ac:dyDescent="0.35">
      <c r="B2087">
        <v>4502694826</v>
      </c>
      <c r="C2087">
        <v>10</v>
      </c>
      <c r="D2087" t="s">
        <v>741</v>
      </c>
      <c r="E2087" t="s">
        <v>3200</v>
      </c>
      <c r="F2087" t="s">
        <v>5196</v>
      </c>
    </row>
    <row r="2088" spans="2:6" x14ac:dyDescent="0.35">
      <c r="B2088">
        <v>4502694824</v>
      </c>
      <c r="C2088">
        <v>20</v>
      </c>
      <c r="D2088" t="s">
        <v>5197</v>
      </c>
      <c r="E2088" t="s">
        <v>3200</v>
      </c>
      <c r="F2088" t="s">
        <v>5198</v>
      </c>
    </row>
    <row r="2089" spans="2:6" x14ac:dyDescent="0.35">
      <c r="B2089">
        <v>4502694824</v>
      </c>
      <c r="C2089">
        <v>10</v>
      </c>
      <c r="D2089" t="s">
        <v>5199</v>
      </c>
      <c r="E2089" t="s">
        <v>3200</v>
      </c>
      <c r="F2089" t="s">
        <v>5200</v>
      </c>
    </row>
    <row r="2090" spans="2:6" x14ac:dyDescent="0.35">
      <c r="B2090">
        <v>4502694817</v>
      </c>
      <c r="C2090">
        <v>20</v>
      </c>
      <c r="D2090" t="s">
        <v>5201</v>
      </c>
      <c r="E2090" t="s">
        <v>3200</v>
      </c>
      <c r="F2090" t="s">
        <v>5202</v>
      </c>
    </row>
    <row r="2091" spans="2:6" x14ac:dyDescent="0.35">
      <c r="B2091">
        <v>4502694817</v>
      </c>
      <c r="C2091">
        <v>10</v>
      </c>
      <c r="D2091" t="s">
        <v>5203</v>
      </c>
      <c r="E2091" t="s">
        <v>3200</v>
      </c>
      <c r="F2091" t="s">
        <v>5204</v>
      </c>
    </row>
    <row r="2092" spans="2:6" x14ac:dyDescent="0.35">
      <c r="B2092">
        <v>4502694813</v>
      </c>
      <c r="C2092">
        <v>40</v>
      </c>
      <c r="D2092" t="s">
        <v>5205</v>
      </c>
      <c r="E2092" t="s">
        <v>3200</v>
      </c>
      <c r="F2092" t="s">
        <v>5206</v>
      </c>
    </row>
    <row r="2093" spans="2:6" x14ac:dyDescent="0.35">
      <c r="B2093">
        <v>4502694813</v>
      </c>
      <c r="C2093">
        <v>30</v>
      </c>
      <c r="D2093" t="s">
        <v>5205</v>
      </c>
      <c r="E2093" t="s">
        <v>3200</v>
      </c>
      <c r="F2093" t="s">
        <v>5206</v>
      </c>
    </row>
    <row r="2094" spans="2:6" x14ac:dyDescent="0.35">
      <c r="B2094">
        <v>4502694813</v>
      </c>
      <c r="C2094">
        <v>20</v>
      </c>
      <c r="D2094" t="s">
        <v>5205</v>
      </c>
      <c r="E2094" t="s">
        <v>3200</v>
      </c>
      <c r="F2094" t="s">
        <v>5206</v>
      </c>
    </row>
    <row r="2095" spans="2:6" x14ac:dyDescent="0.35">
      <c r="B2095">
        <v>4502694813</v>
      </c>
      <c r="C2095">
        <v>10</v>
      </c>
      <c r="D2095" t="s">
        <v>5205</v>
      </c>
      <c r="E2095" t="s">
        <v>3200</v>
      </c>
      <c r="F2095" t="s">
        <v>5206</v>
      </c>
    </row>
    <row r="2096" spans="2:6" x14ac:dyDescent="0.35">
      <c r="B2096">
        <v>4502694793</v>
      </c>
      <c r="C2096">
        <v>60</v>
      </c>
      <c r="D2096" t="s">
        <v>5207</v>
      </c>
      <c r="E2096" t="s">
        <v>3197</v>
      </c>
      <c r="F2096" t="s">
        <v>5208</v>
      </c>
    </row>
    <row r="2097" spans="2:6" x14ac:dyDescent="0.35">
      <c r="B2097">
        <v>4502694793</v>
      </c>
      <c r="C2097">
        <v>370</v>
      </c>
      <c r="D2097" t="s">
        <v>5209</v>
      </c>
      <c r="E2097" t="s">
        <v>3197</v>
      </c>
      <c r="F2097" t="s">
        <v>5210</v>
      </c>
    </row>
    <row r="2098" spans="2:6" x14ac:dyDescent="0.35">
      <c r="B2098">
        <v>4502694793</v>
      </c>
      <c r="C2098">
        <v>310</v>
      </c>
      <c r="D2098" t="s">
        <v>5211</v>
      </c>
      <c r="E2098" t="s">
        <v>3197</v>
      </c>
      <c r="F2098" t="s">
        <v>5212</v>
      </c>
    </row>
    <row r="2099" spans="2:6" x14ac:dyDescent="0.35">
      <c r="B2099">
        <v>4502694793</v>
      </c>
      <c r="C2099">
        <v>270</v>
      </c>
      <c r="D2099" t="s">
        <v>5213</v>
      </c>
      <c r="E2099" t="s">
        <v>3197</v>
      </c>
      <c r="F2099" t="s">
        <v>5214</v>
      </c>
    </row>
    <row r="2100" spans="2:6" x14ac:dyDescent="0.35">
      <c r="B2100">
        <v>4502694793</v>
      </c>
      <c r="C2100">
        <v>240</v>
      </c>
      <c r="D2100" t="s">
        <v>5215</v>
      </c>
      <c r="E2100" t="s">
        <v>3197</v>
      </c>
      <c r="F2100" t="s">
        <v>5216</v>
      </c>
    </row>
    <row r="2101" spans="2:6" x14ac:dyDescent="0.35">
      <c r="B2101">
        <v>4502694793</v>
      </c>
      <c r="C2101">
        <v>180</v>
      </c>
      <c r="D2101" t="s">
        <v>5217</v>
      </c>
      <c r="E2101" t="s">
        <v>3200</v>
      </c>
      <c r="F2101" t="s">
        <v>5218</v>
      </c>
    </row>
    <row r="2102" spans="2:6" x14ac:dyDescent="0.35">
      <c r="B2102">
        <v>4502694793</v>
      </c>
      <c r="C2102">
        <v>160</v>
      </c>
      <c r="D2102" t="s">
        <v>5219</v>
      </c>
      <c r="E2102" t="s">
        <v>3197</v>
      </c>
      <c r="F2102" t="s">
        <v>5220</v>
      </c>
    </row>
    <row r="2103" spans="2:6" x14ac:dyDescent="0.35">
      <c r="B2103">
        <v>4502694763</v>
      </c>
      <c r="C2103">
        <v>10</v>
      </c>
      <c r="D2103" t="s">
        <v>3958</v>
      </c>
      <c r="E2103" t="s">
        <v>3200</v>
      </c>
      <c r="F2103" t="s">
        <v>5221</v>
      </c>
    </row>
    <row r="2104" spans="2:6" x14ac:dyDescent="0.35">
      <c r="B2104">
        <v>4502694671</v>
      </c>
      <c r="C2104">
        <v>10</v>
      </c>
      <c r="D2104" t="s">
        <v>1224</v>
      </c>
      <c r="E2104" t="s">
        <v>3200</v>
      </c>
      <c r="F2104" t="s">
        <v>5222</v>
      </c>
    </row>
    <row r="2105" spans="2:6" x14ac:dyDescent="0.35">
      <c r="B2105">
        <v>4502694661</v>
      </c>
      <c r="C2105">
        <v>10</v>
      </c>
      <c r="D2105" t="s">
        <v>5223</v>
      </c>
      <c r="E2105" t="s">
        <v>3200</v>
      </c>
      <c r="F2105" t="s">
        <v>5224</v>
      </c>
    </row>
    <row r="2106" spans="2:6" x14ac:dyDescent="0.35">
      <c r="B2106">
        <v>4502694626</v>
      </c>
      <c r="C2106">
        <v>30</v>
      </c>
      <c r="D2106" t="s">
        <v>1588</v>
      </c>
      <c r="E2106" t="s">
        <v>3200</v>
      </c>
      <c r="F2106" t="s">
        <v>5225</v>
      </c>
    </row>
    <row r="2107" spans="2:6" x14ac:dyDescent="0.35">
      <c r="B2107">
        <v>4502694572</v>
      </c>
      <c r="C2107">
        <v>20</v>
      </c>
      <c r="D2107" t="s">
        <v>5226</v>
      </c>
      <c r="E2107" t="s">
        <v>2887</v>
      </c>
      <c r="F2107" t="s">
        <v>5227</v>
      </c>
    </row>
    <row r="2108" spans="2:6" x14ac:dyDescent="0.35">
      <c r="B2108">
        <v>4502694572</v>
      </c>
      <c r="C2108">
        <v>10</v>
      </c>
      <c r="D2108" t="s">
        <v>5228</v>
      </c>
      <c r="E2108" t="s">
        <v>2887</v>
      </c>
      <c r="F2108" t="s">
        <v>5229</v>
      </c>
    </row>
    <row r="2109" spans="2:6" x14ac:dyDescent="0.35">
      <c r="B2109">
        <v>4502694446</v>
      </c>
      <c r="C2109">
        <v>10</v>
      </c>
      <c r="D2109" t="s">
        <v>1141</v>
      </c>
      <c r="E2109" t="s">
        <v>3200</v>
      </c>
      <c r="F2109" t="s">
        <v>5230</v>
      </c>
    </row>
    <row r="2110" spans="2:6" x14ac:dyDescent="0.35">
      <c r="B2110">
        <v>4502694418</v>
      </c>
      <c r="C2110">
        <v>40</v>
      </c>
      <c r="D2110" t="s">
        <v>5231</v>
      </c>
      <c r="E2110" t="s">
        <v>3200</v>
      </c>
      <c r="F2110" t="s">
        <v>5232</v>
      </c>
    </row>
    <row r="2111" spans="2:6" x14ac:dyDescent="0.35">
      <c r="B2111">
        <v>4502694418</v>
      </c>
      <c r="C2111">
        <v>30</v>
      </c>
      <c r="D2111" t="s">
        <v>5233</v>
      </c>
      <c r="E2111" t="s">
        <v>3200</v>
      </c>
      <c r="F2111" t="s">
        <v>5234</v>
      </c>
    </row>
    <row r="2112" spans="2:6" x14ac:dyDescent="0.35">
      <c r="B2112">
        <v>4502694418</v>
      </c>
      <c r="C2112">
        <v>20</v>
      </c>
      <c r="D2112" t="s">
        <v>5235</v>
      </c>
      <c r="E2112" t="s">
        <v>3200</v>
      </c>
      <c r="F2112" t="s">
        <v>5236</v>
      </c>
    </row>
    <row r="2113" spans="2:6" x14ac:dyDescent="0.35">
      <c r="B2113">
        <v>4502694418</v>
      </c>
      <c r="C2113">
        <v>10</v>
      </c>
      <c r="D2113" t="s">
        <v>5237</v>
      </c>
      <c r="E2113" t="s">
        <v>3200</v>
      </c>
      <c r="F2113" t="s">
        <v>5238</v>
      </c>
    </row>
    <row r="2114" spans="2:6" x14ac:dyDescent="0.35">
      <c r="B2114">
        <v>4502694410</v>
      </c>
      <c r="C2114">
        <v>10</v>
      </c>
      <c r="D2114" t="s">
        <v>5239</v>
      </c>
      <c r="E2114" t="s">
        <v>3200</v>
      </c>
      <c r="F2114" t="s">
        <v>5240</v>
      </c>
    </row>
    <row r="2115" spans="2:6" x14ac:dyDescent="0.35">
      <c r="B2115">
        <v>4502694409</v>
      </c>
      <c r="C2115">
        <v>10</v>
      </c>
      <c r="D2115" t="s">
        <v>5241</v>
      </c>
      <c r="E2115" t="s">
        <v>4176</v>
      </c>
      <c r="F2115" t="s">
        <v>5242</v>
      </c>
    </row>
    <row r="2116" spans="2:6" x14ac:dyDescent="0.35">
      <c r="B2116">
        <v>4502694380</v>
      </c>
      <c r="C2116">
        <v>10</v>
      </c>
      <c r="D2116" t="s">
        <v>5243</v>
      </c>
      <c r="E2116" t="s">
        <v>2985</v>
      </c>
      <c r="F2116" t="s">
        <v>5244</v>
      </c>
    </row>
    <row r="2117" spans="2:6" x14ac:dyDescent="0.35">
      <c r="B2117">
        <v>4502694378</v>
      </c>
      <c r="C2117">
        <v>10</v>
      </c>
      <c r="D2117" t="s">
        <v>1217</v>
      </c>
      <c r="E2117" t="s">
        <v>4310</v>
      </c>
      <c r="F2117" t="s">
        <v>5245</v>
      </c>
    </row>
    <row r="2118" spans="2:6" x14ac:dyDescent="0.35">
      <c r="B2118">
        <v>4502694309</v>
      </c>
      <c r="C2118">
        <v>10</v>
      </c>
      <c r="D2118" t="s">
        <v>5246</v>
      </c>
      <c r="E2118" t="s">
        <v>4310</v>
      </c>
      <c r="F2118" t="s">
        <v>5247</v>
      </c>
    </row>
    <row r="2119" spans="2:6" x14ac:dyDescent="0.35">
      <c r="B2119">
        <v>4502693670</v>
      </c>
      <c r="C2119">
        <v>10</v>
      </c>
      <c r="D2119" t="s">
        <v>5248</v>
      </c>
      <c r="E2119" t="s">
        <v>68</v>
      </c>
      <c r="F2119" t="s">
        <v>5249</v>
      </c>
    </row>
    <row r="2120" spans="2:6" x14ac:dyDescent="0.35">
      <c r="B2120">
        <v>4502693669</v>
      </c>
      <c r="C2120">
        <v>10</v>
      </c>
      <c r="D2120" t="s">
        <v>1484</v>
      </c>
      <c r="E2120" t="s">
        <v>3200</v>
      </c>
      <c r="F2120" t="s">
        <v>5250</v>
      </c>
    </row>
    <row r="2121" spans="2:6" x14ac:dyDescent="0.35">
      <c r="B2121">
        <v>4502693668</v>
      </c>
      <c r="C2121">
        <v>10</v>
      </c>
      <c r="D2121" t="s">
        <v>1169</v>
      </c>
      <c r="E2121" t="s">
        <v>68</v>
      </c>
      <c r="F2121" t="s">
        <v>5251</v>
      </c>
    </row>
    <row r="2122" spans="2:6" x14ac:dyDescent="0.35">
      <c r="B2122">
        <v>4502692788</v>
      </c>
      <c r="C2122">
        <v>10</v>
      </c>
      <c r="D2122" t="s">
        <v>5252</v>
      </c>
      <c r="E2122" t="s">
        <v>68</v>
      </c>
      <c r="F2122" t="s">
        <v>5253</v>
      </c>
    </row>
    <row r="2123" spans="2:6" x14ac:dyDescent="0.35">
      <c r="B2123">
        <v>4502692460</v>
      </c>
      <c r="C2123">
        <v>10</v>
      </c>
      <c r="D2123" t="s">
        <v>1942</v>
      </c>
      <c r="E2123" t="s">
        <v>3200</v>
      </c>
      <c r="F2123" t="s">
        <v>5254</v>
      </c>
    </row>
    <row r="2124" spans="2:6" x14ac:dyDescent="0.35">
      <c r="B2124">
        <v>4502692417</v>
      </c>
      <c r="C2124">
        <v>10</v>
      </c>
      <c r="D2124" t="s">
        <v>5255</v>
      </c>
      <c r="E2124" t="s">
        <v>3200</v>
      </c>
      <c r="F2124" t="s">
        <v>5256</v>
      </c>
    </row>
    <row r="2125" spans="2:6" x14ac:dyDescent="0.35">
      <c r="B2125">
        <v>4502692364</v>
      </c>
      <c r="C2125">
        <v>10</v>
      </c>
      <c r="D2125" t="s">
        <v>5257</v>
      </c>
      <c r="E2125" t="s">
        <v>3200</v>
      </c>
      <c r="F2125" t="s">
        <v>5258</v>
      </c>
    </row>
    <row r="2126" spans="2:6" x14ac:dyDescent="0.35">
      <c r="B2126">
        <v>4502692340</v>
      </c>
      <c r="C2126">
        <v>10</v>
      </c>
      <c r="D2126" t="s">
        <v>5259</v>
      </c>
      <c r="E2126" t="s">
        <v>4310</v>
      </c>
      <c r="F2126" t="s">
        <v>5260</v>
      </c>
    </row>
    <row r="2127" spans="2:6" x14ac:dyDescent="0.35">
      <c r="B2127">
        <v>4502692307</v>
      </c>
      <c r="C2127">
        <v>10</v>
      </c>
      <c r="D2127" t="s">
        <v>5261</v>
      </c>
      <c r="E2127" t="s">
        <v>3200</v>
      </c>
      <c r="F2127" t="s">
        <v>5262</v>
      </c>
    </row>
    <row r="2128" spans="2:6" x14ac:dyDescent="0.35">
      <c r="B2128">
        <v>4502692098</v>
      </c>
      <c r="C2128">
        <v>10</v>
      </c>
      <c r="D2128" t="s">
        <v>40</v>
      </c>
      <c r="E2128" t="s">
        <v>3200</v>
      </c>
      <c r="F2128" t="s">
        <v>5263</v>
      </c>
    </row>
    <row r="2129" spans="2:6" x14ac:dyDescent="0.35">
      <c r="B2129">
        <v>4502692092</v>
      </c>
      <c r="C2129">
        <v>10</v>
      </c>
      <c r="D2129" t="s">
        <v>56</v>
      </c>
      <c r="E2129" t="s">
        <v>2922</v>
      </c>
      <c r="F2129" t="s">
        <v>5264</v>
      </c>
    </row>
    <row r="2130" spans="2:6" x14ac:dyDescent="0.35">
      <c r="B2130">
        <v>4502691893</v>
      </c>
      <c r="C2130">
        <v>10</v>
      </c>
      <c r="D2130" t="s">
        <v>5265</v>
      </c>
      <c r="E2130" t="s">
        <v>3200</v>
      </c>
      <c r="F2130" t="s">
        <v>5266</v>
      </c>
    </row>
    <row r="2131" spans="2:6" x14ac:dyDescent="0.35">
      <c r="B2131">
        <v>4502691781</v>
      </c>
      <c r="C2131">
        <v>30</v>
      </c>
      <c r="D2131" t="s">
        <v>5267</v>
      </c>
      <c r="E2131" t="s">
        <v>4881</v>
      </c>
      <c r="F2131" t="s">
        <v>5268</v>
      </c>
    </row>
    <row r="2132" spans="2:6" x14ac:dyDescent="0.35">
      <c r="B2132">
        <v>4502691781</v>
      </c>
      <c r="C2132">
        <v>20</v>
      </c>
      <c r="D2132" t="s">
        <v>5269</v>
      </c>
      <c r="E2132" t="s">
        <v>4881</v>
      </c>
      <c r="F2132" t="s">
        <v>5270</v>
      </c>
    </row>
    <row r="2133" spans="2:6" x14ac:dyDescent="0.35">
      <c r="B2133">
        <v>4502691781</v>
      </c>
      <c r="C2133">
        <v>10</v>
      </c>
      <c r="D2133" t="s">
        <v>5271</v>
      </c>
      <c r="E2133" t="s">
        <v>4881</v>
      </c>
      <c r="F2133" t="s">
        <v>5272</v>
      </c>
    </row>
    <row r="2134" spans="2:6" x14ac:dyDescent="0.35">
      <c r="B2134">
        <v>4502691689</v>
      </c>
      <c r="C2134">
        <v>10</v>
      </c>
      <c r="D2134" t="s">
        <v>5273</v>
      </c>
      <c r="E2134" t="s">
        <v>5274</v>
      </c>
      <c r="F2134" t="s">
        <v>5275</v>
      </c>
    </row>
    <row r="2135" spans="2:6" x14ac:dyDescent="0.35">
      <c r="B2135">
        <v>4502691686</v>
      </c>
      <c r="C2135">
        <v>10</v>
      </c>
      <c r="D2135" t="s">
        <v>5276</v>
      </c>
      <c r="E2135" t="s">
        <v>5274</v>
      </c>
      <c r="F2135" t="s">
        <v>5277</v>
      </c>
    </row>
    <row r="2136" spans="2:6" x14ac:dyDescent="0.35">
      <c r="B2136">
        <v>4502691474</v>
      </c>
      <c r="C2136">
        <v>10</v>
      </c>
      <c r="D2136" t="s">
        <v>5278</v>
      </c>
      <c r="E2136" t="s">
        <v>5279</v>
      </c>
      <c r="F2136" t="s">
        <v>5280</v>
      </c>
    </row>
    <row r="2137" spans="2:6" x14ac:dyDescent="0.35">
      <c r="B2137">
        <v>4502691448</v>
      </c>
      <c r="C2137">
        <v>30</v>
      </c>
      <c r="D2137" t="s">
        <v>5281</v>
      </c>
      <c r="E2137" t="s">
        <v>4976</v>
      </c>
      <c r="F2137" t="s">
        <v>5282</v>
      </c>
    </row>
    <row r="2138" spans="2:6" x14ac:dyDescent="0.35">
      <c r="B2138">
        <v>4502691396</v>
      </c>
      <c r="C2138">
        <v>10</v>
      </c>
      <c r="D2138" t="s">
        <v>5283</v>
      </c>
      <c r="E2138" t="s">
        <v>68</v>
      </c>
      <c r="F2138" t="s">
        <v>5284</v>
      </c>
    </row>
    <row r="2139" spans="2:6" x14ac:dyDescent="0.35">
      <c r="B2139">
        <v>4502691252</v>
      </c>
      <c r="C2139">
        <v>10</v>
      </c>
      <c r="D2139" t="s">
        <v>5285</v>
      </c>
      <c r="E2139" t="s">
        <v>3200</v>
      </c>
      <c r="F2139" t="s">
        <v>5286</v>
      </c>
    </row>
    <row r="2140" spans="2:6" x14ac:dyDescent="0.35">
      <c r="B2140">
        <v>4502691241</v>
      </c>
      <c r="C2140">
        <v>10</v>
      </c>
      <c r="D2140" t="s">
        <v>1117</v>
      </c>
      <c r="E2140" t="s">
        <v>2987</v>
      </c>
      <c r="F2140" t="s">
        <v>5287</v>
      </c>
    </row>
    <row r="2141" spans="2:6" x14ac:dyDescent="0.35">
      <c r="B2141">
        <v>4502691203</v>
      </c>
      <c r="C2141">
        <v>10</v>
      </c>
      <c r="D2141" t="s">
        <v>5288</v>
      </c>
      <c r="E2141" t="s">
        <v>4044</v>
      </c>
      <c r="F2141" t="s">
        <v>5289</v>
      </c>
    </row>
    <row r="2142" spans="2:6" x14ac:dyDescent="0.35">
      <c r="B2142">
        <v>4502690992</v>
      </c>
      <c r="C2142">
        <v>10</v>
      </c>
      <c r="D2142" t="s">
        <v>5290</v>
      </c>
      <c r="E2142" t="s">
        <v>2887</v>
      </c>
      <c r="F2142" t="s">
        <v>5291</v>
      </c>
    </row>
    <row r="2143" spans="2:6" x14ac:dyDescent="0.35">
      <c r="B2143">
        <v>4502690865</v>
      </c>
      <c r="C2143">
        <v>40</v>
      </c>
      <c r="D2143" t="s">
        <v>5292</v>
      </c>
      <c r="E2143" t="s">
        <v>2887</v>
      </c>
      <c r="F2143" t="s">
        <v>5293</v>
      </c>
    </row>
    <row r="2144" spans="2:6" x14ac:dyDescent="0.35">
      <c r="B2144">
        <v>4502690865</v>
      </c>
      <c r="C2144">
        <v>30</v>
      </c>
      <c r="D2144" t="s">
        <v>5294</v>
      </c>
      <c r="E2144" t="s">
        <v>2887</v>
      </c>
      <c r="F2144" t="s">
        <v>5295</v>
      </c>
    </row>
    <row r="2145" spans="2:6" x14ac:dyDescent="0.35">
      <c r="B2145">
        <v>4502690865</v>
      </c>
      <c r="C2145">
        <v>20</v>
      </c>
      <c r="D2145" t="s">
        <v>5296</v>
      </c>
      <c r="E2145" t="s">
        <v>2887</v>
      </c>
      <c r="F2145" t="s">
        <v>5297</v>
      </c>
    </row>
    <row r="2146" spans="2:6" x14ac:dyDescent="0.35">
      <c r="B2146">
        <v>4502690865</v>
      </c>
      <c r="C2146">
        <v>10</v>
      </c>
      <c r="D2146" t="s">
        <v>5298</v>
      </c>
      <c r="E2146" t="s">
        <v>2887</v>
      </c>
      <c r="F2146" t="s">
        <v>5299</v>
      </c>
    </row>
    <row r="2147" spans="2:6" x14ac:dyDescent="0.35">
      <c r="B2147">
        <v>4502690862</v>
      </c>
      <c r="C2147">
        <v>10</v>
      </c>
      <c r="D2147" t="s">
        <v>5300</v>
      </c>
      <c r="E2147" t="s">
        <v>3200</v>
      </c>
      <c r="F2147" t="s">
        <v>5301</v>
      </c>
    </row>
    <row r="2148" spans="2:6" x14ac:dyDescent="0.35">
      <c r="B2148">
        <v>4502690861</v>
      </c>
      <c r="C2148">
        <v>90</v>
      </c>
      <c r="D2148" t="s">
        <v>5302</v>
      </c>
      <c r="E2148" t="s">
        <v>3649</v>
      </c>
      <c r="F2148" t="s">
        <v>5303</v>
      </c>
    </row>
    <row r="2149" spans="2:6" x14ac:dyDescent="0.35">
      <c r="B2149">
        <v>4502690861</v>
      </c>
      <c r="C2149">
        <v>70</v>
      </c>
      <c r="D2149" t="s">
        <v>5304</v>
      </c>
      <c r="E2149" t="s">
        <v>3649</v>
      </c>
      <c r="F2149" t="s">
        <v>5305</v>
      </c>
    </row>
    <row r="2150" spans="2:6" x14ac:dyDescent="0.35">
      <c r="B2150">
        <v>4502690861</v>
      </c>
      <c r="C2150">
        <v>50</v>
      </c>
      <c r="D2150" t="s">
        <v>5306</v>
      </c>
      <c r="E2150" t="s">
        <v>3649</v>
      </c>
      <c r="F2150" t="s">
        <v>5307</v>
      </c>
    </row>
    <row r="2151" spans="2:6" x14ac:dyDescent="0.35">
      <c r="B2151">
        <v>4502690861</v>
      </c>
      <c r="C2151">
        <v>40</v>
      </c>
      <c r="D2151" t="s">
        <v>5308</v>
      </c>
      <c r="E2151" t="s">
        <v>3649</v>
      </c>
      <c r="F2151" t="s">
        <v>5309</v>
      </c>
    </row>
    <row r="2152" spans="2:6" x14ac:dyDescent="0.35">
      <c r="B2152">
        <v>4502690861</v>
      </c>
      <c r="C2152">
        <v>30</v>
      </c>
      <c r="D2152" t="s">
        <v>5310</v>
      </c>
      <c r="E2152" t="s">
        <v>3649</v>
      </c>
      <c r="F2152" t="s">
        <v>5311</v>
      </c>
    </row>
    <row r="2153" spans="2:6" x14ac:dyDescent="0.35">
      <c r="B2153">
        <v>4502690861</v>
      </c>
      <c r="C2153">
        <v>150</v>
      </c>
      <c r="D2153" t="s">
        <v>5312</v>
      </c>
      <c r="E2153" t="s">
        <v>3649</v>
      </c>
      <c r="F2153" t="s">
        <v>5313</v>
      </c>
    </row>
    <row r="2154" spans="2:6" x14ac:dyDescent="0.35">
      <c r="B2154">
        <v>4502690861</v>
      </c>
      <c r="C2154">
        <v>130</v>
      </c>
      <c r="D2154" t="s">
        <v>5314</v>
      </c>
      <c r="E2154" t="s">
        <v>3649</v>
      </c>
      <c r="F2154" t="s">
        <v>5315</v>
      </c>
    </row>
    <row r="2155" spans="2:6" x14ac:dyDescent="0.35">
      <c r="B2155">
        <v>4502690861</v>
      </c>
      <c r="C2155">
        <v>120</v>
      </c>
      <c r="D2155" t="s">
        <v>5316</v>
      </c>
      <c r="E2155" t="s">
        <v>3649</v>
      </c>
      <c r="F2155" t="s">
        <v>5317</v>
      </c>
    </row>
    <row r="2156" spans="2:6" x14ac:dyDescent="0.35">
      <c r="B2156">
        <v>4502690861</v>
      </c>
      <c r="C2156">
        <v>110</v>
      </c>
      <c r="D2156" t="s">
        <v>5318</v>
      </c>
      <c r="E2156" t="s">
        <v>3649</v>
      </c>
      <c r="F2156" t="s">
        <v>5319</v>
      </c>
    </row>
    <row r="2157" spans="2:6" x14ac:dyDescent="0.35">
      <c r="B2157">
        <v>4502690847</v>
      </c>
      <c r="C2157">
        <v>20</v>
      </c>
      <c r="D2157" t="s">
        <v>5023</v>
      </c>
      <c r="E2157" t="s">
        <v>68</v>
      </c>
      <c r="F2157" t="s">
        <v>5320</v>
      </c>
    </row>
    <row r="2158" spans="2:6" x14ac:dyDescent="0.35">
      <c r="B2158">
        <v>4502690847</v>
      </c>
      <c r="C2158">
        <v>10</v>
      </c>
      <c r="D2158" t="s">
        <v>5025</v>
      </c>
      <c r="E2158" t="s">
        <v>68</v>
      </c>
      <c r="F2158" t="s">
        <v>5321</v>
      </c>
    </row>
    <row r="2159" spans="2:6" x14ac:dyDescent="0.35">
      <c r="B2159">
        <v>4502690761</v>
      </c>
      <c r="C2159">
        <v>50</v>
      </c>
      <c r="D2159" t="s">
        <v>5322</v>
      </c>
      <c r="E2159" t="s">
        <v>2887</v>
      </c>
      <c r="F2159" t="s">
        <v>5323</v>
      </c>
    </row>
    <row r="2160" spans="2:6" x14ac:dyDescent="0.35">
      <c r="B2160">
        <v>4502690761</v>
      </c>
      <c r="C2160">
        <v>40</v>
      </c>
      <c r="D2160" t="s">
        <v>5324</v>
      </c>
      <c r="E2160" t="s">
        <v>2887</v>
      </c>
      <c r="F2160" t="s">
        <v>5325</v>
      </c>
    </row>
    <row r="2161" spans="2:6" x14ac:dyDescent="0.35">
      <c r="B2161">
        <v>4502690761</v>
      </c>
      <c r="C2161">
        <v>30</v>
      </c>
      <c r="D2161" t="s">
        <v>5322</v>
      </c>
      <c r="E2161" t="s">
        <v>2887</v>
      </c>
      <c r="F2161" t="s">
        <v>5323</v>
      </c>
    </row>
    <row r="2162" spans="2:6" x14ac:dyDescent="0.35">
      <c r="B2162">
        <v>4502690761</v>
      </c>
      <c r="C2162">
        <v>20</v>
      </c>
      <c r="D2162" t="s">
        <v>5326</v>
      </c>
      <c r="E2162" t="s">
        <v>2887</v>
      </c>
      <c r="F2162" t="s">
        <v>5327</v>
      </c>
    </row>
    <row r="2163" spans="2:6" x14ac:dyDescent="0.35">
      <c r="B2163">
        <v>4502690761</v>
      </c>
      <c r="C2163">
        <v>10</v>
      </c>
      <c r="D2163" t="s">
        <v>5328</v>
      </c>
      <c r="E2163" t="s">
        <v>2887</v>
      </c>
      <c r="F2163" t="s">
        <v>5329</v>
      </c>
    </row>
    <row r="2164" spans="2:6" x14ac:dyDescent="0.35">
      <c r="B2164">
        <v>4502690633</v>
      </c>
      <c r="C2164">
        <v>20</v>
      </c>
      <c r="D2164" t="s">
        <v>120</v>
      </c>
      <c r="E2164" t="s">
        <v>2922</v>
      </c>
      <c r="F2164" t="s">
        <v>5330</v>
      </c>
    </row>
    <row r="2165" spans="2:6" x14ac:dyDescent="0.35">
      <c r="B2165">
        <v>4502690619</v>
      </c>
      <c r="C2165">
        <v>60</v>
      </c>
      <c r="D2165" t="s">
        <v>5331</v>
      </c>
      <c r="E2165" t="s">
        <v>3200</v>
      </c>
      <c r="F2165" t="s">
        <v>5332</v>
      </c>
    </row>
    <row r="2166" spans="2:6" x14ac:dyDescent="0.35">
      <c r="B2166">
        <v>4502690619</v>
      </c>
      <c r="C2166">
        <v>50</v>
      </c>
      <c r="D2166" t="s">
        <v>5333</v>
      </c>
      <c r="E2166" t="s">
        <v>3200</v>
      </c>
      <c r="F2166" t="s">
        <v>5334</v>
      </c>
    </row>
    <row r="2167" spans="2:6" x14ac:dyDescent="0.35">
      <c r="B2167">
        <v>4502690619</v>
      </c>
      <c r="C2167">
        <v>40</v>
      </c>
      <c r="D2167" t="s">
        <v>5335</v>
      </c>
      <c r="E2167" t="s">
        <v>3200</v>
      </c>
      <c r="F2167" t="s">
        <v>5336</v>
      </c>
    </row>
    <row r="2168" spans="2:6" x14ac:dyDescent="0.35">
      <c r="B2168">
        <v>4502690619</v>
      </c>
      <c r="C2168">
        <v>30</v>
      </c>
      <c r="D2168" t="s">
        <v>5337</v>
      </c>
      <c r="E2168" t="s">
        <v>3200</v>
      </c>
      <c r="F2168" t="s">
        <v>5338</v>
      </c>
    </row>
    <row r="2169" spans="2:6" x14ac:dyDescent="0.35">
      <c r="B2169">
        <v>4502690619</v>
      </c>
      <c r="C2169">
        <v>20</v>
      </c>
      <c r="D2169" t="s">
        <v>5339</v>
      </c>
      <c r="E2169" t="s">
        <v>3200</v>
      </c>
      <c r="F2169" t="s">
        <v>5340</v>
      </c>
    </row>
    <row r="2170" spans="2:6" x14ac:dyDescent="0.35">
      <c r="B2170">
        <v>4502690619</v>
      </c>
      <c r="C2170">
        <v>10</v>
      </c>
      <c r="D2170" t="s">
        <v>5341</v>
      </c>
      <c r="E2170" t="s">
        <v>3200</v>
      </c>
      <c r="F2170" t="s">
        <v>5342</v>
      </c>
    </row>
    <row r="2171" spans="2:6" x14ac:dyDescent="0.35">
      <c r="B2171">
        <v>4502690612</v>
      </c>
      <c r="C2171">
        <v>10</v>
      </c>
      <c r="D2171" t="s">
        <v>5343</v>
      </c>
      <c r="E2171" t="s">
        <v>68</v>
      </c>
      <c r="F2171" t="s">
        <v>5344</v>
      </c>
    </row>
    <row r="2172" spans="2:6" x14ac:dyDescent="0.35">
      <c r="B2172">
        <v>4502690587</v>
      </c>
      <c r="C2172">
        <v>10</v>
      </c>
      <c r="D2172" t="s">
        <v>1244</v>
      </c>
      <c r="E2172" t="s">
        <v>3200</v>
      </c>
      <c r="F2172" t="s">
        <v>5345</v>
      </c>
    </row>
    <row r="2173" spans="2:6" x14ac:dyDescent="0.35">
      <c r="B2173">
        <v>4502690584</v>
      </c>
      <c r="C2173">
        <v>10</v>
      </c>
      <c r="D2173" t="s">
        <v>5346</v>
      </c>
      <c r="E2173" t="s">
        <v>3200</v>
      </c>
      <c r="F2173" t="s">
        <v>5347</v>
      </c>
    </row>
    <row r="2174" spans="2:6" x14ac:dyDescent="0.35">
      <c r="B2174">
        <v>4502690583</v>
      </c>
      <c r="C2174">
        <v>10</v>
      </c>
      <c r="D2174" t="s">
        <v>5348</v>
      </c>
      <c r="E2174" t="s">
        <v>3200</v>
      </c>
      <c r="F2174" t="s">
        <v>5349</v>
      </c>
    </row>
    <row r="2175" spans="2:6" x14ac:dyDescent="0.35">
      <c r="B2175">
        <v>4502690566</v>
      </c>
      <c r="C2175">
        <v>40</v>
      </c>
      <c r="D2175" t="s">
        <v>5350</v>
      </c>
      <c r="E2175" t="s">
        <v>3200</v>
      </c>
      <c r="F2175" t="s">
        <v>5351</v>
      </c>
    </row>
    <row r="2176" spans="2:6" x14ac:dyDescent="0.35">
      <c r="B2176">
        <v>4502690566</v>
      </c>
      <c r="C2176">
        <v>10</v>
      </c>
      <c r="D2176" t="s">
        <v>5352</v>
      </c>
      <c r="E2176" t="s">
        <v>3200</v>
      </c>
      <c r="F2176" t="s">
        <v>5353</v>
      </c>
    </row>
    <row r="2177" spans="2:6" x14ac:dyDescent="0.35">
      <c r="B2177">
        <v>4502690272</v>
      </c>
      <c r="C2177">
        <v>10</v>
      </c>
      <c r="D2177" t="s">
        <v>5354</v>
      </c>
      <c r="E2177" t="s">
        <v>2922</v>
      </c>
      <c r="F2177" t="s">
        <v>5355</v>
      </c>
    </row>
    <row r="2178" spans="2:6" x14ac:dyDescent="0.35">
      <c r="B2178">
        <v>4502690193</v>
      </c>
      <c r="C2178">
        <v>10</v>
      </c>
      <c r="D2178" t="s">
        <v>457</v>
      </c>
      <c r="E2178" t="s">
        <v>5356</v>
      </c>
      <c r="F2178" t="s">
        <v>5357</v>
      </c>
    </row>
    <row r="2179" spans="2:6" x14ac:dyDescent="0.35">
      <c r="B2179">
        <v>4502689525</v>
      </c>
      <c r="C2179">
        <v>10</v>
      </c>
      <c r="D2179" t="s">
        <v>5358</v>
      </c>
      <c r="E2179" t="s">
        <v>3197</v>
      </c>
      <c r="F2179" t="s">
        <v>5359</v>
      </c>
    </row>
    <row r="2180" spans="2:6" x14ac:dyDescent="0.35">
      <c r="B2180">
        <v>4502689389</v>
      </c>
      <c r="C2180">
        <v>10</v>
      </c>
      <c r="D2180" t="s">
        <v>5360</v>
      </c>
      <c r="E2180" t="s">
        <v>3200</v>
      </c>
      <c r="F2180" t="s">
        <v>5361</v>
      </c>
    </row>
    <row r="2181" spans="2:6" x14ac:dyDescent="0.35">
      <c r="B2181">
        <v>4502689188</v>
      </c>
      <c r="C2181">
        <v>20</v>
      </c>
      <c r="D2181" t="s">
        <v>5362</v>
      </c>
      <c r="E2181" t="s">
        <v>4044</v>
      </c>
      <c r="F2181" t="s">
        <v>5363</v>
      </c>
    </row>
    <row r="2182" spans="2:6" x14ac:dyDescent="0.35">
      <c r="B2182">
        <v>4502689155</v>
      </c>
      <c r="C2182">
        <v>10</v>
      </c>
      <c r="D2182" t="s">
        <v>144</v>
      </c>
      <c r="E2182" t="s">
        <v>3200</v>
      </c>
      <c r="F2182" t="s">
        <v>5364</v>
      </c>
    </row>
    <row r="2183" spans="2:6" x14ac:dyDescent="0.35">
      <c r="B2183">
        <v>4502689086</v>
      </c>
      <c r="C2183">
        <v>20</v>
      </c>
      <c r="D2183" t="s">
        <v>5365</v>
      </c>
      <c r="E2183" t="s">
        <v>5366</v>
      </c>
      <c r="F2183" t="s">
        <v>5367</v>
      </c>
    </row>
    <row r="2184" spans="2:6" x14ac:dyDescent="0.35">
      <c r="B2184">
        <v>4502689086</v>
      </c>
      <c r="C2184">
        <v>10</v>
      </c>
      <c r="D2184" t="s">
        <v>5368</v>
      </c>
      <c r="E2184" t="s">
        <v>5366</v>
      </c>
      <c r="F2184" t="s">
        <v>5369</v>
      </c>
    </row>
    <row r="2185" spans="2:6" x14ac:dyDescent="0.35">
      <c r="B2185">
        <v>4502689043</v>
      </c>
      <c r="C2185">
        <v>10</v>
      </c>
      <c r="D2185" t="s">
        <v>5370</v>
      </c>
      <c r="E2185" t="s">
        <v>5371</v>
      </c>
      <c r="F2185" t="s">
        <v>5372</v>
      </c>
    </row>
    <row r="2186" spans="2:6" x14ac:dyDescent="0.35">
      <c r="B2186">
        <v>4502689004</v>
      </c>
      <c r="C2186">
        <v>10</v>
      </c>
      <c r="D2186" t="s">
        <v>5373</v>
      </c>
      <c r="E2186" t="s">
        <v>4044</v>
      </c>
      <c r="F2186" t="s">
        <v>5374</v>
      </c>
    </row>
    <row r="2187" spans="2:6" x14ac:dyDescent="0.35">
      <c r="B2187">
        <v>4502688979</v>
      </c>
      <c r="C2187">
        <v>10</v>
      </c>
      <c r="D2187" t="s">
        <v>5375</v>
      </c>
      <c r="E2187" t="s">
        <v>4176</v>
      </c>
      <c r="F2187" t="s">
        <v>5376</v>
      </c>
    </row>
    <row r="2188" spans="2:6" x14ac:dyDescent="0.35">
      <c r="B2188">
        <v>4502688800</v>
      </c>
      <c r="C2188">
        <v>10</v>
      </c>
      <c r="D2188" t="s">
        <v>29</v>
      </c>
      <c r="E2188" t="s">
        <v>3200</v>
      </c>
      <c r="F2188" t="s">
        <v>5377</v>
      </c>
    </row>
    <row r="2189" spans="2:6" x14ac:dyDescent="0.35">
      <c r="B2189">
        <v>4502688709</v>
      </c>
      <c r="C2189">
        <v>10</v>
      </c>
      <c r="D2189" t="s">
        <v>5378</v>
      </c>
      <c r="E2189" t="s">
        <v>3200</v>
      </c>
      <c r="F2189" t="s">
        <v>5379</v>
      </c>
    </row>
    <row r="2190" spans="2:6" x14ac:dyDescent="0.35">
      <c r="B2190">
        <v>4502688589</v>
      </c>
      <c r="C2190">
        <v>10</v>
      </c>
      <c r="D2190" t="s">
        <v>5380</v>
      </c>
      <c r="E2190" t="s">
        <v>68</v>
      </c>
      <c r="F2190" t="s">
        <v>5381</v>
      </c>
    </row>
    <row r="2191" spans="2:6" x14ac:dyDescent="0.35">
      <c r="B2191">
        <v>4502688421</v>
      </c>
      <c r="C2191">
        <v>20</v>
      </c>
      <c r="D2191" t="s">
        <v>5382</v>
      </c>
      <c r="E2191" t="s">
        <v>5383</v>
      </c>
      <c r="F2191" t="s">
        <v>5384</v>
      </c>
    </row>
    <row r="2192" spans="2:6" x14ac:dyDescent="0.35">
      <c r="B2192">
        <v>4502688421</v>
      </c>
      <c r="C2192">
        <v>10</v>
      </c>
      <c r="D2192" t="s">
        <v>5385</v>
      </c>
      <c r="E2192" t="s">
        <v>5383</v>
      </c>
      <c r="F2192" t="s">
        <v>5386</v>
      </c>
    </row>
    <row r="2193" spans="2:6" x14ac:dyDescent="0.35">
      <c r="B2193">
        <v>4502688101</v>
      </c>
      <c r="C2193">
        <v>50</v>
      </c>
      <c r="D2193" t="s">
        <v>5387</v>
      </c>
      <c r="E2193" t="s">
        <v>3200</v>
      </c>
      <c r="F2193" t="s">
        <v>5388</v>
      </c>
    </row>
    <row r="2194" spans="2:6" x14ac:dyDescent="0.35">
      <c r="B2194">
        <v>4502688101</v>
      </c>
      <c r="C2194">
        <v>40</v>
      </c>
      <c r="D2194" t="s">
        <v>5389</v>
      </c>
      <c r="E2194" t="s">
        <v>3200</v>
      </c>
      <c r="F2194" t="s">
        <v>5390</v>
      </c>
    </row>
    <row r="2195" spans="2:6" x14ac:dyDescent="0.35">
      <c r="B2195">
        <v>4502688101</v>
      </c>
      <c r="C2195">
        <v>30</v>
      </c>
      <c r="D2195" t="s">
        <v>5391</v>
      </c>
      <c r="E2195" t="s">
        <v>3200</v>
      </c>
      <c r="F2195" t="s">
        <v>5392</v>
      </c>
    </row>
    <row r="2196" spans="2:6" x14ac:dyDescent="0.35">
      <c r="B2196">
        <v>4502688101</v>
      </c>
      <c r="C2196">
        <v>20</v>
      </c>
      <c r="D2196" t="s">
        <v>5393</v>
      </c>
      <c r="E2196" t="s">
        <v>3200</v>
      </c>
      <c r="F2196" t="s">
        <v>5394</v>
      </c>
    </row>
    <row r="2197" spans="2:6" x14ac:dyDescent="0.35">
      <c r="B2197">
        <v>4502688101</v>
      </c>
      <c r="C2197">
        <v>10</v>
      </c>
      <c r="D2197" t="s">
        <v>5395</v>
      </c>
      <c r="E2197" t="s">
        <v>3200</v>
      </c>
      <c r="F2197" t="s">
        <v>5396</v>
      </c>
    </row>
    <row r="2198" spans="2:6" x14ac:dyDescent="0.35">
      <c r="B2198">
        <v>4502688081</v>
      </c>
      <c r="C2198">
        <v>20</v>
      </c>
      <c r="D2198" t="s">
        <v>5397</v>
      </c>
      <c r="E2198" t="s">
        <v>3200</v>
      </c>
      <c r="F2198" t="s">
        <v>5398</v>
      </c>
    </row>
    <row r="2199" spans="2:6" x14ac:dyDescent="0.35">
      <c r="B2199">
        <v>4502688081</v>
      </c>
      <c r="C2199">
        <v>10</v>
      </c>
      <c r="D2199" t="s">
        <v>5399</v>
      </c>
      <c r="E2199" t="s">
        <v>3200</v>
      </c>
      <c r="F2199" t="s">
        <v>5400</v>
      </c>
    </row>
    <row r="2200" spans="2:6" x14ac:dyDescent="0.35">
      <c r="B2200">
        <v>4502688012</v>
      </c>
      <c r="C2200">
        <v>10</v>
      </c>
      <c r="D2200" t="s">
        <v>5401</v>
      </c>
      <c r="E2200" t="s">
        <v>4044</v>
      </c>
      <c r="F2200" t="s">
        <v>5402</v>
      </c>
    </row>
    <row r="2201" spans="2:6" x14ac:dyDescent="0.35">
      <c r="B2201">
        <v>4502687994</v>
      </c>
      <c r="C2201">
        <v>10</v>
      </c>
      <c r="D2201" t="s">
        <v>5403</v>
      </c>
      <c r="E2201" t="s">
        <v>68</v>
      </c>
      <c r="F2201" t="s">
        <v>5404</v>
      </c>
    </row>
    <row r="2202" spans="2:6" x14ac:dyDescent="0.35">
      <c r="B2202">
        <v>4502687898</v>
      </c>
      <c r="C2202">
        <v>30</v>
      </c>
      <c r="D2202" t="s">
        <v>5405</v>
      </c>
      <c r="E2202" t="s">
        <v>3200</v>
      </c>
      <c r="F2202" t="s">
        <v>5406</v>
      </c>
    </row>
    <row r="2203" spans="2:6" x14ac:dyDescent="0.35">
      <c r="B2203">
        <v>4502687898</v>
      </c>
      <c r="C2203">
        <v>20</v>
      </c>
      <c r="D2203" t="s">
        <v>5407</v>
      </c>
      <c r="E2203" t="s">
        <v>3200</v>
      </c>
      <c r="F2203" t="s">
        <v>5408</v>
      </c>
    </row>
    <row r="2204" spans="2:6" x14ac:dyDescent="0.35">
      <c r="B2204">
        <v>4502687898</v>
      </c>
      <c r="C2204">
        <v>10</v>
      </c>
      <c r="D2204" t="s">
        <v>5409</v>
      </c>
      <c r="E2204" t="s">
        <v>3200</v>
      </c>
      <c r="F2204" t="s">
        <v>5410</v>
      </c>
    </row>
    <row r="2205" spans="2:6" x14ac:dyDescent="0.35">
      <c r="B2205">
        <v>4502687835</v>
      </c>
      <c r="C2205">
        <v>10</v>
      </c>
      <c r="D2205" t="s">
        <v>5411</v>
      </c>
      <c r="E2205" t="s">
        <v>5412</v>
      </c>
      <c r="F2205" t="s">
        <v>5413</v>
      </c>
    </row>
    <row r="2206" spans="2:6" x14ac:dyDescent="0.35">
      <c r="B2206">
        <v>4502687813</v>
      </c>
      <c r="C2206">
        <v>10</v>
      </c>
      <c r="D2206" t="s">
        <v>5414</v>
      </c>
      <c r="E2206" t="s">
        <v>68</v>
      </c>
      <c r="F2206" t="s">
        <v>5415</v>
      </c>
    </row>
    <row r="2207" spans="2:6" x14ac:dyDescent="0.35">
      <c r="B2207">
        <v>4502687801</v>
      </c>
      <c r="C2207">
        <v>10</v>
      </c>
      <c r="D2207" t="s">
        <v>5416</v>
      </c>
      <c r="E2207" t="s">
        <v>3197</v>
      </c>
      <c r="F2207" t="s">
        <v>5417</v>
      </c>
    </row>
    <row r="2208" spans="2:6" x14ac:dyDescent="0.35">
      <c r="B2208">
        <v>4502687522</v>
      </c>
      <c r="C2208">
        <v>20</v>
      </c>
      <c r="D2208" t="s">
        <v>5418</v>
      </c>
      <c r="E2208" t="s">
        <v>5419</v>
      </c>
      <c r="F2208" t="s">
        <v>5420</v>
      </c>
    </row>
    <row r="2209" spans="2:6" x14ac:dyDescent="0.35">
      <c r="B2209">
        <v>4502687519</v>
      </c>
      <c r="C2209">
        <v>10</v>
      </c>
      <c r="D2209" t="s">
        <v>5421</v>
      </c>
      <c r="E2209" t="s">
        <v>3200</v>
      </c>
      <c r="F2209" t="s">
        <v>5422</v>
      </c>
    </row>
    <row r="2210" spans="2:6" x14ac:dyDescent="0.35">
      <c r="B2210">
        <v>4502687499</v>
      </c>
      <c r="C2210">
        <v>10</v>
      </c>
      <c r="D2210" t="s">
        <v>5423</v>
      </c>
      <c r="E2210" t="s">
        <v>3200</v>
      </c>
      <c r="F2210" t="s">
        <v>5424</v>
      </c>
    </row>
    <row r="2211" spans="2:6" x14ac:dyDescent="0.35">
      <c r="B2211">
        <v>4502687485</v>
      </c>
      <c r="C2211">
        <v>10</v>
      </c>
      <c r="D2211" t="s">
        <v>5425</v>
      </c>
      <c r="E2211" t="s">
        <v>2887</v>
      </c>
      <c r="F2211" t="s">
        <v>5426</v>
      </c>
    </row>
    <row r="2212" spans="2:6" x14ac:dyDescent="0.35">
      <c r="B2212">
        <v>4502687469</v>
      </c>
      <c r="C2212">
        <v>10</v>
      </c>
      <c r="D2212" t="s">
        <v>5427</v>
      </c>
      <c r="E2212" t="s">
        <v>3200</v>
      </c>
      <c r="F2212" t="s">
        <v>5428</v>
      </c>
    </row>
    <row r="2213" spans="2:6" x14ac:dyDescent="0.35">
      <c r="B2213">
        <v>4502687387</v>
      </c>
      <c r="C2213">
        <v>20</v>
      </c>
      <c r="D2213" t="s">
        <v>5429</v>
      </c>
      <c r="E2213" t="s">
        <v>3200</v>
      </c>
      <c r="F2213" t="s">
        <v>5430</v>
      </c>
    </row>
    <row r="2214" spans="2:6" x14ac:dyDescent="0.35">
      <c r="B2214">
        <v>4502687387</v>
      </c>
      <c r="C2214">
        <v>10</v>
      </c>
      <c r="D2214" t="s">
        <v>5431</v>
      </c>
      <c r="E2214" t="s">
        <v>3200</v>
      </c>
      <c r="F2214" t="s">
        <v>5432</v>
      </c>
    </row>
    <row r="2215" spans="2:6" x14ac:dyDescent="0.35">
      <c r="B2215">
        <v>4502687294</v>
      </c>
      <c r="C2215">
        <v>20</v>
      </c>
      <c r="D2215" t="s">
        <v>5433</v>
      </c>
      <c r="E2215" t="s">
        <v>5191</v>
      </c>
      <c r="F2215" t="s">
        <v>5434</v>
      </c>
    </row>
    <row r="2216" spans="2:6" x14ac:dyDescent="0.35">
      <c r="B2216">
        <v>4502687248</v>
      </c>
      <c r="C2216">
        <v>30</v>
      </c>
      <c r="D2216" t="s">
        <v>5435</v>
      </c>
      <c r="E2216" t="s">
        <v>2887</v>
      </c>
      <c r="F2216" t="s">
        <v>5436</v>
      </c>
    </row>
    <row r="2217" spans="2:6" x14ac:dyDescent="0.35">
      <c r="B2217">
        <v>4502687248</v>
      </c>
      <c r="C2217">
        <v>20</v>
      </c>
      <c r="D2217" t="s">
        <v>5437</v>
      </c>
      <c r="E2217" t="s">
        <v>2887</v>
      </c>
      <c r="F2217" t="s">
        <v>5438</v>
      </c>
    </row>
    <row r="2218" spans="2:6" x14ac:dyDescent="0.35">
      <c r="B2218">
        <v>4502687248</v>
      </c>
      <c r="C2218">
        <v>10</v>
      </c>
      <c r="D2218" t="s">
        <v>5439</v>
      </c>
      <c r="E2218" t="s">
        <v>2887</v>
      </c>
      <c r="F2218" t="s">
        <v>5440</v>
      </c>
    </row>
    <row r="2219" spans="2:6" x14ac:dyDescent="0.35">
      <c r="B2219">
        <v>4502687084</v>
      </c>
      <c r="C2219">
        <v>10</v>
      </c>
      <c r="D2219" t="s">
        <v>5441</v>
      </c>
      <c r="E2219" t="s">
        <v>4044</v>
      </c>
      <c r="F2219" t="s">
        <v>5442</v>
      </c>
    </row>
    <row r="2220" spans="2:6" x14ac:dyDescent="0.35">
      <c r="B2220">
        <v>4502686928</v>
      </c>
      <c r="C2220">
        <v>10</v>
      </c>
      <c r="D2220" t="s">
        <v>5443</v>
      </c>
      <c r="E2220" t="s">
        <v>3200</v>
      </c>
      <c r="F2220" t="s">
        <v>5444</v>
      </c>
    </row>
    <row r="2221" spans="2:6" x14ac:dyDescent="0.35">
      <c r="B2221">
        <v>4502686758</v>
      </c>
      <c r="C2221">
        <v>60</v>
      </c>
      <c r="D2221" t="s">
        <v>5445</v>
      </c>
      <c r="E2221" t="s">
        <v>4310</v>
      </c>
      <c r="F2221" t="s">
        <v>5446</v>
      </c>
    </row>
    <row r="2222" spans="2:6" x14ac:dyDescent="0.35">
      <c r="B2222">
        <v>4502686758</v>
      </c>
      <c r="C2222">
        <v>50</v>
      </c>
      <c r="D2222" t="s">
        <v>5447</v>
      </c>
      <c r="E2222" t="s">
        <v>4310</v>
      </c>
      <c r="F2222" t="s">
        <v>5448</v>
      </c>
    </row>
    <row r="2223" spans="2:6" x14ac:dyDescent="0.35">
      <c r="B2223">
        <v>4502686758</v>
      </c>
      <c r="C2223">
        <v>40</v>
      </c>
      <c r="D2223" t="s">
        <v>5449</v>
      </c>
      <c r="E2223" t="s">
        <v>4310</v>
      </c>
      <c r="F2223" t="s">
        <v>5450</v>
      </c>
    </row>
    <row r="2224" spans="2:6" x14ac:dyDescent="0.35">
      <c r="B2224">
        <v>4502686758</v>
      </c>
      <c r="C2224">
        <v>30</v>
      </c>
      <c r="D2224" t="s">
        <v>5451</v>
      </c>
      <c r="E2224" t="s">
        <v>4310</v>
      </c>
      <c r="F2224" t="s">
        <v>5452</v>
      </c>
    </row>
    <row r="2225" spans="2:6" x14ac:dyDescent="0.35">
      <c r="B2225">
        <v>4502686758</v>
      </c>
      <c r="C2225">
        <v>20</v>
      </c>
      <c r="D2225" t="s">
        <v>5453</v>
      </c>
      <c r="E2225" t="s">
        <v>4310</v>
      </c>
      <c r="F2225" t="s">
        <v>5454</v>
      </c>
    </row>
    <row r="2226" spans="2:6" x14ac:dyDescent="0.35">
      <c r="B2226">
        <v>4502686758</v>
      </c>
      <c r="C2226">
        <v>10</v>
      </c>
      <c r="D2226" t="s">
        <v>5455</v>
      </c>
      <c r="E2226" t="s">
        <v>4310</v>
      </c>
      <c r="F2226" t="s">
        <v>5456</v>
      </c>
    </row>
    <row r="2227" spans="2:6" x14ac:dyDescent="0.35">
      <c r="B2227">
        <v>4502686730</v>
      </c>
      <c r="C2227">
        <v>10</v>
      </c>
      <c r="D2227" t="s">
        <v>5457</v>
      </c>
      <c r="E2227" t="s">
        <v>68</v>
      </c>
      <c r="F2227" t="s">
        <v>5458</v>
      </c>
    </row>
    <row r="2228" spans="2:6" x14ac:dyDescent="0.35">
      <c r="B2228">
        <v>4502686713</v>
      </c>
      <c r="C2228">
        <v>50</v>
      </c>
      <c r="D2228" t="s">
        <v>5459</v>
      </c>
      <c r="E2228" t="s">
        <v>3200</v>
      </c>
      <c r="F2228" t="s">
        <v>5460</v>
      </c>
    </row>
    <row r="2229" spans="2:6" x14ac:dyDescent="0.35">
      <c r="B2229">
        <v>4502686713</v>
      </c>
      <c r="C2229">
        <v>40</v>
      </c>
      <c r="D2229" t="s">
        <v>1607</v>
      </c>
      <c r="E2229" t="s">
        <v>3200</v>
      </c>
      <c r="F2229" t="s">
        <v>5461</v>
      </c>
    </row>
    <row r="2230" spans="2:6" x14ac:dyDescent="0.35">
      <c r="B2230">
        <v>4502686713</v>
      </c>
      <c r="C2230">
        <v>30</v>
      </c>
      <c r="D2230" t="s">
        <v>1607</v>
      </c>
      <c r="E2230" t="s">
        <v>3200</v>
      </c>
      <c r="F2230" t="s">
        <v>5461</v>
      </c>
    </row>
    <row r="2231" spans="2:6" x14ac:dyDescent="0.35">
      <c r="B2231">
        <v>4502686686</v>
      </c>
      <c r="C2231">
        <v>10</v>
      </c>
      <c r="D2231" t="s">
        <v>1881</v>
      </c>
      <c r="E2231" t="s">
        <v>5462</v>
      </c>
      <c r="F2231" t="s">
        <v>5463</v>
      </c>
    </row>
    <row r="2232" spans="2:6" x14ac:dyDescent="0.35">
      <c r="B2232">
        <v>4502686374</v>
      </c>
      <c r="C2232">
        <v>10</v>
      </c>
      <c r="D2232" t="s">
        <v>5464</v>
      </c>
      <c r="E2232" t="s">
        <v>4044</v>
      </c>
      <c r="F2232" t="s">
        <v>5465</v>
      </c>
    </row>
    <row r="2233" spans="2:6" x14ac:dyDescent="0.35">
      <c r="B2233">
        <v>4502686330</v>
      </c>
      <c r="C2233">
        <v>10</v>
      </c>
      <c r="D2233" t="s">
        <v>5466</v>
      </c>
      <c r="E2233" t="s">
        <v>3200</v>
      </c>
      <c r="F2233" t="s">
        <v>5467</v>
      </c>
    </row>
    <row r="2234" spans="2:6" x14ac:dyDescent="0.35">
      <c r="B2234">
        <v>4502686311</v>
      </c>
      <c r="C2234">
        <v>10</v>
      </c>
      <c r="D2234" t="s">
        <v>5468</v>
      </c>
      <c r="E2234" t="s">
        <v>3797</v>
      </c>
      <c r="F2234" t="s">
        <v>5469</v>
      </c>
    </row>
    <row r="2235" spans="2:6" x14ac:dyDescent="0.35">
      <c r="B2235">
        <v>4502685954</v>
      </c>
      <c r="C2235">
        <v>30</v>
      </c>
      <c r="D2235" t="s">
        <v>5470</v>
      </c>
      <c r="E2235" t="s">
        <v>4044</v>
      </c>
      <c r="F2235" t="s">
        <v>5471</v>
      </c>
    </row>
    <row r="2236" spans="2:6" x14ac:dyDescent="0.35">
      <c r="B2236">
        <v>4502685954</v>
      </c>
      <c r="C2236">
        <v>20</v>
      </c>
      <c r="D2236" t="s">
        <v>5472</v>
      </c>
      <c r="E2236" t="s">
        <v>4044</v>
      </c>
      <c r="F2236" t="s">
        <v>5473</v>
      </c>
    </row>
    <row r="2237" spans="2:6" x14ac:dyDescent="0.35">
      <c r="B2237">
        <v>4502685954</v>
      </c>
      <c r="C2237">
        <v>10</v>
      </c>
      <c r="D2237" t="s">
        <v>5474</v>
      </c>
      <c r="E2237" t="s">
        <v>4044</v>
      </c>
      <c r="F2237" t="s">
        <v>5475</v>
      </c>
    </row>
    <row r="2238" spans="2:6" x14ac:dyDescent="0.35">
      <c r="B2238">
        <v>4502685368</v>
      </c>
      <c r="C2238">
        <v>20</v>
      </c>
      <c r="D2238" t="s">
        <v>5476</v>
      </c>
      <c r="E2238" t="s">
        <v>3094</v>
      </c>
      <c r="F2238" t="s">
        <v>5477</v>
      </c>
    </row>
    <row r="2239" spans="2:6" x14ac:dyDescent="0.35">
      <c r="B2239">
        <v>4502685363</v>
      </c>
      <c r="C2239">
        <v>20</v>
      </c>
      <c r="D2239" t="s">
        <v>5478</v>
      </c>
      <c r="E2239" t="s">
        <v>68</v>
      </c>
      <c r="F2239" t="s">
        <v>5479</v>
      </c>
    </row>
    <row r="2240" spans="2:6" x14ac:dyDescent="0.35">
      <c r="B2240">
        <v>4502685353</v>
      </c>
      <c r="C2240">
        <v>20</v>
      </c>
      <c r="D2240" t="s">
        <v>5480</v>
      </c>
      <c r="E2240" t="s">
        <v>3200</v>
      </c>
      <c r="F2240" t="s">
        <v>5481</v>
      </c>
    </row>
    <row r="2241" spans="2:6" x14ac:dyDescent="0.35">
      <c r="B2241">
        <v>4502685346</v>
      </c>
      <c r="C2241">
        <v>40</v>
      </c>
      <c r="D2241" t="s">
        <v>3366</v>
      </c>
      <c r="E2241" t="s">
        <v>5482</v>
      </c>
      <c r="F2241" t="s">
        <v>5483</v>
      </c>
    </row>
    <row r="2242" spans="2:6" x14ac:dyDescent="0.35">
      <c r="B2242">
        <v>4502685305</v>
      </c>
      <c r="C2242">
        <v>10</v>
      </c>
      <c r="D2242" t="s">
        <v>5484</v>
      </c>
      <c r="E2242" t="s">
        <v>3200</v>
      </c>
      <c r="F2242" t="s">
        <v>5485</v>
      </c>
    </row>
    <row r="2243" spans="2:6" x14ac:dyDescent="0.35">
      <c r="B2243">
        <v>4502685162</v>
      </c>
      <c r="C2243">
        <v>10</v>
      </c>
      <c r="D2243" t="s">
        <v>1228</v>
      </c>
      <c r="E2243" t="s">
        <v>5486</v>
      </c>
      <c r="F2243" t="s">
        <v>5487</v>
      </c>
    </row>
    <row r="2244" spans="2:6" x14ac:dyDescent="0.35">
      <c r="B2244">
        <v>4502685143</v>
      </c>
      <c r="C2244">
        <v>10</v>
      </c>
      <c r="D2244" t="s">
        <v>5007</v>
      </c>
      <c r="E2244" t="s">
        <v>3200</v>
      </c>
      <c r="F2244" t="s">
        <v>5488</v>
      </c>
    </row>
    <row r="2245" spans="2:6" x14ac:dyDescent="0.35">
      <c r="B2245">
        <v>4502684707</v>
      </c>
      <c r="C2245">
        <v>20</v>
      </c>
      <c r="D2245" t="s">
        <v>5489</v>
      </c>
      <c r="E2245" t="s">
        <v>68</v>
      </c>
      <c r="F2245" t="s">
        <v>5490</v>
      </c>
    </row>
    <row r="2246" spans="2:6" x14ac:dyDescent="0.35">
      <c r="B2246">
        <v>4502684707</v>
      </c>
      <c r="C2246">
        <v>10</v>
      </c>
      <c r="D2246" t="s">
        <v>5491</v>
      </c>
      <c r="E2246" t="s">
        <v>68</v>
      </c>
      <c r="F2246" t="s">
        <v>5492</v>
      </c>
    </row>
    <row r="2247" spans="2:6" x14ac:dyDescent="0.35">
      <c r="B2247">
        <v>4502684575</v>
      </c>
      <c r="C2247">
        <v>10</v>
      </c>
      <c r="D2247" t="s">
        <v>430</v>
      </c>
      <c r="E2247" t="s">
        <v>3811</v>
      </c>
      <c r="F2247" t="s">
        <v>5493</v>
      </c>
    </row>
    <row r="2248" spans="2:6" x14ac:dyDescent="0.35">
      <c r="B2248">
        <v>4502684531</v>
      </c>
      <c r="C2248">
        <v>10</v>
      </c>
      <c r="D2248" t="s">
        <v>1484</v>
      </c>
      <c r="E2248" t="s">
        <v>5494</v>
      </c>
      <c r="F2248" t="s">
        <v>5495</v>
      </c>
    </row>
    <row r="2249" spans="2:6" x14ac:dyDescent="0.35">
      <c r="B2249">
        <v>4502684529</v>
      </c>
      <c r="C2249">
        <v>10</v>
      </c>
      <c r="D2249" t="s">
        <v>5153</v>
      </c>
      <c r="E2249" t="s">
        <v>5496</v>
      </c>
      <c r="F2249" t="s">
        <v>5497</v>
      </c>
    </row>
    <row r="2250" spans="2:6" x14ac:dyDescent="0.35">
      <c r="B2250">
        <v>4502684024</v>
      </c>
      <c r="C2250">
        <v>10</v>
      </c>
      <c r="D2250" t="s">
        <v>3211</v>
      </c>
      <c r="E2250" t="s">
        <v>5498</v>
      </c>
      <c r="F2250" t="s">
        <v>5499</v>
      </c>
    </row>
    <row r="2251" spans="2:6" x14ac:dyDescent="0.35">
      <c r="B2251">
        <v>4502684020</v>
      </c>
      <c r="C2251">
        <v>20</v>
      </c>
      <c r="D2251" t="s">
        <v>5500</v>
      </c>
      <c r="E2251" t="s">
        <v>5501</v>
      </c>
      <c r="F2251" t="s">
        <v>5502</v>
      </c>
    </row>
    <row r="2252" spans="2:6" x14ac:dyDescent="0.35">
      <c r="B2252">
        <v>4502684020</v>
      </c>
      <c r="C2252">
        <v>10</v>
      </c>
      <c r="D2252" t="s">
        <v>5503</v>
      </c>
      <c r="E2252" t="s">
        <v>5501</v>
      </c>
      <c r="F2252" t="s">
        <v>5504</v>
      </c>
    </row>
    <row r="2253" spans="2:6" x14ac:dyDescent="0.35">
      <c r="B2253">
        <v>4502683988</v>
      </c>
      <c r="C2253">
        <v>10</v>
      </c>
      <c r="D2253" t="s">
        <v>1076</v>
      </c>
      <c r="E2253" t="s">
        <v>68</v>
      </c>
      <c r="F2253" t="s">
        <v>5505</v>
      </c>
    </row>
    <row r="2254" spans="2:6" x14ac:dyDescent="0.35">
      <c r="B2254">
        <v>4502683644</v>
      </c>
      <c r="C2254">
        <v>90</v>
      </c>
      <c r="D2254" t="s">
        <v>5506</v>
      </c>
      <c r="E2254" t="s">
        <v>5507</v>
      </c>
      <c r="F2254" t="s">
        <v>5508</v>
      </c>
    </row>
    <row r="2255" spans="2:6" x14ac:dyDescent="0.35">
      <c r="B2255">
        <v>4502683644</v>
      </c>
      <c r="C2255">
        <v>80</v>
      </c>
      <c r="D2255" t="s">
        <v>5509</v>
      </c>
      <c r="E2255" t="s">
        <v>5507</v>
      </c>
      <c r="F2255" t="s">
        <v>5510</v>
      </c>
    </row>
    <row r="2256" spans="2:6" x14ac:dyDescent="0.35">
      <c r="B2256">
        <v>4502683644</v>
      </c>
      <c r="C2256">
        <v>70</v>
      </c>
      <c r="D2256" t="s">
        <v>5511</v>
      </c>
      <c r="E2256" t="s">
        <v>5507</v>
      </c>
      <c r="F2256" t="s">
        <v>5512</v>
      </c>
    </row>
    <row r="2257" spans="2:6" x14ac:dyDescent="0.35">
      <c r="B2257">
        <v>4502683644</v>
      </c>
      <c r="C2257">
        <v>60</v>
      </c>
      <c r="D2257" t="s">
        <v>5513</v>
      </c>
      <c r="E2257" t="s">
        <v>5507</v>
      </c>
      <c r="F2257" t="s">
        <v>5514</v>
      </c>
    </row>
    <row r="2258" spans="2:6" x14ac:dyDescent="0.35">
      <c r="B2258">
        <v>4502683644</v>
      </c>
      <c r="C2258">
        <v>50</v>
      </c>
      <c r="D2258" t="s">
        <v>5515</v>
      </c>
      <c r="E2258" t="s">
        <v>5507</v>
      </c>
      <c r="F2258" t="s">
        <v>5516</v>
      </c>
    </row>
    <row r="2259" spans="2:6" x14ac:dyDescent="0.35">
      <c r="B2259">
        <v>4502683644</v>
      </c>
      <c r="C2259">
        <v>40</v>
      </c>
      <c r="D2259" t="s">
        <v>5517</v>
      </c>
      <c r="E2259" t="s">
        <v>5507</v>
      </c>
      <c r="F2259" t="s">
        <v>5518</v>
      </c>
    </row>
    <row r="2260" spans="2:6" x14ac:dyDescent="0.35">
      <c r="B2260">
        <v>4502683644</v>
      </c>
      <c r="C2260">
        <v>30</v>
      </c>
      <c r="D2260" t="s">
        <v>5519</v>
      </c>
      <c r="E2260" t="s">
        <v>5507</v>
      </c>
      <c r="F2260" t="s">
        <v>5520</v>
      </c>
    </row>
    <row r="2261" spans="2:6" x14ac:dyDescent="0.35">
      <c r="B2261">
        <v>4502683644</v>
      </c>
      <c r="C2261">
        <v>20</v>
      </c>
      <c r="D2261" t="s">
        <v>5521</v>
      </c>
      <c r="E2261" t="s">
        <v>5507</v>
      </c>
      <c r="F2261" t="s">
        <v>5522</v>
      </c>
    </row>
    <row r="2262" spans="2:6" x14ac:dyDescent="0.35">
      <c r="B2262">
        <v>4502683644</v>
      </c>
      <c r="C2262">
        <v>120</v>
      </c>
      <c r="D2262" t="s">
        <v>5523</v>
      </c>
      <c r="E2262" t="s">
        <v>5507</v>
      </c>
      <c r="F2262" t="s">
        <v>5524</v>
      </c>
    </row>
    <row r="2263" spans="2:6" x14ac:dyDescent="0.35">
      <c r="B2263">
        <v>4502683644</v>
      </c>
      <c r="C2263">
        <v>110</v>
      </c>
      <c r="D2263" t="s">
        <v>5525</v>
      </c>
      <c r="E2263" t="s">
        <v>5507</v>
      </c>
      <c r="F2263" t="s">
        <v>5526</v>
      </c>
    </row>
    <row r="2264" spans="2:6" x14ac:dyDescent="0.35">
      <c r="B2264">
        <v>4502683644</v>
      </c>
      <c r="C2264">
        <v>100</v>
      </c>
      <c r="D2264" t="s">
        <v>5527</v>
      </c>
      <c r="E2264" t="s">
        <v>5507</v>
      </c>
      <c r="F2264" t="s">
        <v>5528</v>
      </c>
    </row>
    <row r="2265" spans="2:6" x14ac:dyDescent="0.35">
      <c r="B2265">
        <v>4502683644</v>
      </c>
      <c r="C2265">
        <v>10</v>
      </c>
      <c r="D2265" t="s">
        <v>5529</v>
      </c>
      <c r="E2265" t="s">
        <v>5507</v>
      </c>
      <c r="F2265" t="s">
        <v>5530</v>
      </c>
    </row>
    <row r="2266" spans="2:6" x14ac:dyDescent="0.35">
      <c r="B2266">
        <v>4502683521</v>
      </c>
      <c r="C2266">
        <v>10</v>
      </c>
      <c r="D2266" t="s">
        <v>5531</v>
      </c>
      <c r="E2266" t="s">
        <v>3200</v>
      </c>
      <c r="F2266" t="s">
        <v>5532</v>
      </c>
    </row>
    <row r="2267" spans="2:6" x14ac:dyDescent="0.35">
      <c r="B2267">
        <v>4502683482</v>
      </c>
      <c r="C2267">
        <v>10</v>
      </c>
      <c r="D2267" t="s">
        <v>5533</v>
      </c>
      <c r="E2267" t="s">
        <v>5534</v>
      </c>
      <c r="F2267" t="s">
        <v>5535</v>
      </c>
    </row>
    <row r="2268" spans="2:6" x14ac:dyDescent="0.35">
      <c r="B2268">
        <v>4502683428</v>
      </c>
      <c r="C2268">
        <v>10</v>
      </c>
      <c r="D2268" t="s">
        <v>5536</v>
      </c>
      <c r="E2268" t="s">
        <v>3200</v>
      </c>
      <c r="F2268" t="s">
        <v>5537</v>
      </c>
    </row>
    <row r="2269" spans="2:6" x14ac:dyDescent="0.35">
      <c r="B2269">
        <v>4502683416</v>
      </c>
      <c r="C2269">
        <v>30</v>
      </c>
      <c r="D2269" t="s">
        <v>5538</v>
      </c>
      <c r="E2269" t="s">
        <v>5539</v>
      </c>
      <c r="F2269" t="s">
        <v>5540</v>
      </c>
    </row>
    <row r="2270" spans="2:6" x14ac:dyDescent="0.35">
      <c r="B2270">
        <v>4502683416</v>
      </c>
      <c r="C2270">
        <v>20</v>
      </c>
      <c r="D2270" t="s">
        <v>5538</v>
      </c>
      <c r="E2270" t="s">
        <v>5539</v>
      </c>
      <c r="F2270" t="s">
        <v>5540</v>
      </c>
    </row>
    <row r="2271" spans="2:6" x14ac:dyDescent="0.35">
      <c r="B2271">
        <v>4502683110</v>
      </c>
      <c r="C2271">
        <v>10</v>
      </c>
      <c r="D2271" t="s">
        <v>5541</v>
      </c>
      <c r="E2271" t="s">
        <v>4044</v>
      </c>
      <c r="F2271" t="s">
        <v>5542</v>
      </c>
    </row>
    <row r="2272" spans="2:6" x14ac:dyDescent="0.35">
      <c r="B2272">
        <v>4502682682</v>
      </c>
      <c r="C2272">
        <v>10</v>
      </c>
      <c r="D2272" t="s">
        <v>5543</v>
      </c>
      <c r="E2272" t="s">
        <v>5544</v>
      </c>
      <c r="F2272" t="s">
        <v>5545</v>
      </c>
    </row>
    <row r="2273" spans="2:6" x14ac:dyDescent="0.35">
      <c r="B2273">
        <v>4502682528</v>
      </c>
      <c r="C2273">
        <v>10</v>
      </c>
      <c r="D2273" t="s">
        <v>5546</v>
      </c>
      <c r="E2273" t="s">
        <v>4044</v>
      </c>
      <c r="F2273" t="s">
        <v>5547</v>
      </c>
    </row>
    <row r="2274" spans="2:6" x14ac:dyDescent="0.35">
      <c r="B2274">
        <v>4502682357</v>
      </c>
      <c r="C2274">
        <v>40</v>
      </c>
      <c r="D2274" t="s">
        <v>656</v>
      </c>
      <c r="E2274" t="s">
        <v>3200</v>
      </c>
      <c r="F2274" t="s">
        <v>5548</v>
      </c>
    </row>
    <row r="2275" spans="2:6" x14ac:dyDescent="0.35">
      <c r="B2275">
        <v>4502682207</v>
      </c>
      <c r="C2275">
        <v>10</v>
      </c>
      <c r="D2275" t="s">
        <v>1493</v>
      </c>
      <c r="E2275" t="s">
        <v>68</v>
      </c>
      <c r="F2275" t="s">
        <v>5549</v>
      </c>
    </row>
    <row r="2276" spans="2:6" x14ac:dyDescent="0.35">
      <c r="B2276">
        <v>4502682175</v>
      </c>
      <c r="C2276">
        <v>10</v>
      </c>
      <c r="D2276" t="s">
        <v>5550</v>
      </c>
      <c r="E2276" t="s">
        <v>4044</v>
      </c>
      <c r="F2276" t="s">
        <v>5551</v>
      </c>
    </row>
    <row r="2277" spans="2:6" x14ac:dyDescent="0.35">
      <c r="B2277">
        <v>4502681921</v>
      </c>
      <c r="C2277">
        <v>10</v>
      </c>
      <c r="D2277" t="s">
        <v>5164</v>
      </c>
      <c r="E2277" t="s">
        <v>3200</v>
      </c>
      <c r="F2277" t="s">
        <v>5552</v>
      </c>
    </row>
    <row r="2278" spans="2:6" x14ac:dyDescent="0.35">
      <c r="B2278">
        <v>4502681822</v>
      </c>
      <c r="C2278">
        <v>10</v>
      </c>
      <c r="D2278" t="s">
        <v>460</v>
      </c>
      <c r="E2278" t="s">
        <v>3200</v>
      </c>
      <c r="F2278" t="s">
        <v>5553</v>
      </c>
    </row>
    <row r="2279" spans="2:6" x14ac:dyDescent="0.35">
      <c r="B2279">
        <v>4502681670</v>
      </c>
      <c r="C2279">
        <v>10</v>
      </c>
      <c r="D2279" t="s">
        <v>5554</v>
      </c>
      <c r="E2279" t="s">
        <v>3200</v>
      </c>
      <c r="F2279" t="s">
        <v>5555</v>
      </c>
    </row>
    <row r="2280" spans="2:6" x14ac:dyDescent="0.35">
      <c r="B2280">
        <v>4502681664</v>
      </c>
      <c r="C2280">
        <v>10</v>
      </c>
      <c r="D2280" t="s">
        <v>5554</v>
      </c>
      <c r="E2280" t="s">
        <v>3200</v>
      </c>
      <c r="F2280" t="s">
        <v>5556</v>
      </c>
    </row>
    <row r="2281" spans="2:6" x14ac:dyDescent="0.35">
      <c r="B2281">
        <v>4502681429</v>
      </c>
      <c r="C2281">
        <v>10</v>
      </c>
      <c r="D2281" t="s">
        <v>5557</v>
      </c>
      <c r="E2281" t="s">
        <v>4044</v>
      </c>
      <c r="F2281" t="s">
        <v>5558</v>
      </c>
    </row>
    <row r="2282" spans="2:6" x14ac:dyDescent="0.35">
      <c r="B2282">
        <v>4502681276</v>
      </c>
      <c r="C2282">
        <v>10</v>
      </c>
      <c r="D2282" t="s">
        <v>1114</v>
      </c>
      <c r="E2282" t="s">
        <v>5559</v>
      </c>
      <c r="F2282" t="s">
        <v>5560</v>
      </c>
    </row>
    <row r="2283" spans="2:6" x14ac:dyDescent="0.35">
      <c r="B2283">
        <v>4502681190</v>
      </c>
      <c r="C2283">
        <v>20</v>
      </c>
      <c r="D2283" t="s">
        <v>5561</v>
      </c>
      <c r="E2283" t="s">
        <v>3200</v>
      </c>
      <c r="F2283" t="s">
        <v>5562</v>
      </c>
    </row>
    <row r="2284" spans="2:6" x14ac:dyDescent="0.35">
      <c r="B2284">
        <v>4502681190</v>
      </c>
      <c r="C2284">
        <v>10</v>
      </c>
      <c r="D2284" t="s">
        <v>5563</v>
      </c>
      <c r="E2284" t="s">
        <v>3200</v>
      </c>
      <c r="F2284" t="s">
        <v>5564</v>
      </c>
    </row>
    <row r="2285" spans="2:6" x14ac:dyDescent="0.35">
      <c r="B2285">
        <v>4502681163</v>
      </c>
      <c r="C2285">
        <v>10</v>
      </c>
      <c r="D2285" t="s">
        <v>5565</v>
      </c>
      <c r="E2285" t="s">
        <v>5566</v>
      </c>
      <c r="F2285" t="s">
        <v>5567</v>
      </c>
    </row>
    <row r="2286" spans="2:6" x14ac:dyDescent="0.35">
      <c r="B2286">
        <v>4502680373</v>
      </c>
      <c r="C2286">
        <v>10</v>
      </c>
      <c r="D2286" t="s">
        <v>5568</v>
      </c>
      <c r="E2286" t="s">
        <v>5569</v>
      </c>
      <c r="F2286" t="s">
        <v>5570</v>
      </c>
    </row>
    <row r="2287" spans="2:6" x14ac:dyDescent="0.35">
      <c r="B2287">
        <v>4502679877</v>
      </c>
      <c r="C2287">
        <v>40</v>
      </c>
      <c r="D2287" t="s">
        <v>5571</v>
      </c>
      <c r="E2287" t="s">
        <v>3200</v>
      </c>
      <c r="F2287" t="s">
        <v>5572</v>
      </c>
    </row>
    <row r="2288" spans="2:6" x14ac:dyDescent="0.35">
      <c r="B2288">
        <v>4502679877</v>
      </c>
      <c r="C2288">
        <v>30</v>
      </c>
      <c r="D2288" t="s">
        <v>5573</v>
      </c>
      <c r="E2288" t="s">
        <v>3200</v>
      </c>
      <c r="F2288" t="s">
        <v>5574</v>
      </c>
    </row>
    <row r="2289" spans="2:6" x14ac:dyDescent="0.35">
      <c r="B2289">
        <v>4502679877</v>
      </c>
      <c r="C2289">
        <v>20</v>
      </c>
      <c r="D2289" t="s">
        <v>5571</v>
      </c>
      <c r="E2289" t="s">
        <v>3200</v>
      </c>
      <c r="F2289" t="s">
        <v>5572</v>
      </c>
    </row>
    <row r="2290" spans="2:6" x14ac:dyDescent="0.35">
      <c r="B2290">
        <v>4502679877</v>
      </c>
      <c r="C2290">
        <v>10</v>
      </c>
      <c r="D2290" t="s">
        <v>5573</v>
      </c>
      <c r="E2290" t="s">
        <v>3200</v>
      </c>
      <c r="F2290" t="s">
        <v>5574</v>
      </c>
    </row>
    <row r="2291" spans="2:6" x14ac:dyDescent="0.35">
      <c r="B2291">
        <v>4502679848</v>
      </c>
      <c r="C2291">
        <v>180</v>
      </c>
      <c r="D2291" t="s">
        <v>5575</v>
      </c>
      <c r="E2291" t="s">
        <v>5576</v>
      </c>
      <c r="F2291" t="s">
        <v>5577</v>
      </c>
    </row>
    <row r="2292" spans="2:6" x14ac:dyDescent="0.35">
      <c r="B2292">
        <v>4502679848</v>
      </c>
      <c r="C2292">
        <v>160</v>
      </c>
      <c r="D2292" t="s">
        <v>5578</v>
      </c>
      <c r="E2292" t="s">
        <v>5576</v>
      </c>
      <c r="F2292" t="s">
        <v>5579</v>
      </c>
    </row>
    <row r="2293" spans="2:6" x14ac:dyDescent="0.35">
      <c r="B2293">
        <v>4502679152</v>
      </c>
      <c r="C2293">
        <v>30</v>
      </c>
      <c r="D2293" t="s">
        <v>5580</v>
      </c>
      <c r="E2293" t="s">
        <v>5581</v>
      </c>
      <c r="F2293" t="s">
        <v>5582</v>
      </c>
    </row>
    <row r="2294" spans="2:6" x14ac:dyDescent="0.35">
      <c r="B2294">
        <v>4502679152</v>
      </c>
      <c r="C2294">
        <v>20</v>
      </c>
      <c r="D2294" t="s">
        <v>5583</v>
      </c>
      <c r="E2294" t="s">
        <v>5581</v>
      </c>
      <c r="F2294" t="s">
        <v>5584</v>
      </c>
    </row>
    <row r="2295" spans="2:6" x14ac:dyDescent="0.35">
      <c r="B2295">
        <v>4502679152</v>
      </c>
      <c r="C2295">
        <v>10</v>
      </c>
      <c r="D2295" t="s">
        <v>5585</v>
      </c>
      <c r="E2295" t="s">
        <v>5581</v>
      </c>
      <c r="F2295" t="s">
        <v>5586</v>
      </c>
    </row>
    <row r="2296" spans="2:6" x14ac:dyDescent="0.35">
      <c r="B2296">
        <v>4502679143</v>
      </c>
      <c r="C2296">
        <v>10</v>
      </c>
      <c r="D2296" t="s">
        <v>459</v>
      </c>
      <c r="E2296" t="s">
        <v>3200</v>
      </c>
      <c r="F2296" t="s">
        <v>5587</v>
      </c>
    </row>
    <row r="2297" spans="2:6" x14ac:dyDescent="0.35">
      <c r="B2297">
        <v>4502678991</v>
      </c>
      <c r="C2297">
        <v>30</v>
      </c>
      <c r="D2297" t="s">
        <v>5588</v>
      </c>
      <c r="E2297" t="s">
        <v>3200</v>
      </c>
      <c r="F2297" t="s">
        <v>5589</v>
      </c>
    </row>
    <row r="2298" spans="2:6" x14ac:dyDescent="0.35">
      <c r="B2298">
        <v>4502678991</v>
      </c>
      <c r="C2298">
        <v>20</v>
      </c>
      <c r="D2298" t="s">
        <v>5590</v>
      </c>
      <c r="E2298" t="s">
        <v>3200</v>
      </c>
      <c r="F2298" t="s">
        <v>5591</v>
      </c>
    </row>
    <row r="2299" spans="2:6" x14ac:dyDescent="0.35">
      <c r="B2299">
        <v>4502678991</v>
      </c>
      <c r="C2299">
        <v>10</v>
      </c>
      <c r="D2299" t="s">
        <v>5592</v>
      </c>
      <c r="E2299" t="s">
        <v>5593</v>
      </c>
      <c r="F2299" t="s">
        <v>5594</v>
      </c>
    </row>
    <row r="2300" spans="2:6" x14ac:dyDescent="0.35">
      <c r="B2300">
        <v>4502678882</v>
      </c>
      <c r="C2300">
        <v>10</v>
      </c>
      <c r="D2300" t="s">
        <v>5595</v>
      </c>
      <c r="E2300" t="s">
        <v>3200</v>
      </c>
      <c r="F2300" t="s">
        <v>5596</v>
      </c>
    </row>
    <row r="2301" spans="2:6" x14ac:dyDescent="0.35">
      <c r="B2301">
        <v>4502678832</v>
      </c>
      <c r="C2301">
        <v>50</v>
      </c>
      <c r="D2301" t="s">
        <v>5597</v>
      </c>
      <c r="E2301" t="s">
        <v>3094</v>
      </c>
      <c r="F2301" t="s">
        <v>5598</v>
      </c>
    </row>
    <row r="2302" spans="2:6" x14ac:dyDescent="0.35">
      <c r="B2302">
        <v>4502678832</v>
      </c>
      <c r="C2302">
        <v>40</v>
      </c>
      <c r="D2302" t="s">
        <v>5599</v>
      </c>
      <c r="E2302" t="s">
        <v>3094</v>
      </c>
      <c r="F2302" t="s">
        <v>5600</v>
      </c>
    </row>
    <row r="2303" spans="2:6" x14ac:dyDescent="0.35">
      <c r="B2303">
        <v>4502678832</v>
      </c>
      <c r="C2303">
        <v>30</v>
      </c>
      <c r="D2303" t="s">
        <v>5601</v>
      </c>
      <c r="E2303" t="s">
        <v>3094</v>
      </c>
      <c r="F2303" t="s">
        <v>5602</v>
      </c>
    </row>
    <row r="2304" spans="2:6" x14ac:dyDescent="0.35">
      <c r="B2304">
        <v>4502678832</v>
      </c>
      <c r="C2304">
        <v>20</v>
      </c>
      <c r="D2304" t="s">
        <v>5603</v>
      </c>
      <c r="E2304" t="s">
        <v>3094</v>
      </c>
      <c r="F2304" t="s">
        <v>5604</v>
      </c>
    </row>
    <row r="2305" spans="2:6" x14ac:dyDescent="0.35">
      <c r="B2305">
        <v>4502678832</v>
      </c>
      <c r="C2305">
        <v>10</v>
      </c>
      <c r="D2305" t="s">
        <v>5605</v>
      </c>
      <c r="E2305" t="s">
        <v>3094</v>
      </c>
      <c r="F2305" t="s">
        <v>5606</v>
      </c>
    </row>
    <row r="2306" spans="2:6" x14ac:dyDescent="0.35">
      <c r="B2306">
        <v>4502678808</v>
      </c>
      <c r="C2306">
        <v>10</v>
      </c>
      <c r="D2306" t="s">
        <v>5607</v>
      </c>
      <c r="E2306" t="s">
        <v>2887</v>
      </c>
      <c r="F2306" t="s">
        <v>5608</v>
      </c>
    </row>
    <row r="2307" spans="2:6" x14ac:dyDescent="0.35">
      <c r="B2307">
        <v>4502678787</v>
      </c>
      <c r="C2307">
        <v>10</v>
      </c>
      <c r="D2307" t="s">
        <v>5609</v>
      </c>
      <c r="E2307" t="s">
        <v>3094</v>
      </c>
      <c r="F2307" t="s">
        <v>5610</v>
      </c>
    </row>
    <row r="2308" spans="2:6" x14ac:dyDescent="0.35">
      <c r="B2308">
        <v>4502678691</v>
      </c>
      <c r="C2308">
        <v>10</v>
      </c>
      <c r="D2308" t="s">
        <v>5611</v>
      </c>
      <c r="E2308" t="s">
        <v>3200</v>
      </c>
      <c r="F2308" t="s">
        <v>5612</v>
      </c>
    </row>
    <row r="2309" spans="2:6" x14ac:dyDescent="0.35">
      <c r="B2309">
        <v>4502678211</v>
      </c>
      <c r="C2309">
        <v>10</v>
      </c>
      <c r="D2309" t="s">
        <v>5613</v>
      </c>
      <c r="E2309" t="s">
        <v>3094</v>
      </c>
      <c r="F2309" t="s">
        <v>5614</v>
      </c>
    </row>
    <row r="2310" spans="2:6" x14ac:dyDescent="0.35">
      <c r="B2310">
        <v>4502678210</v>
      </c>
      <c r="C2310">
        <v>20</v>
      </c>
      <c r="D2310" t="s">
        <v>5615</v>
      </c>
      <c r="E2310" t="s">
        <v>3212</v>
      </c>
      <c r="F2310" t="s">
        <v>5616</v>
      </c>
    </row>
    <row r="2311" spans="2:6" x14ac:dyDescent="0.35">
      <c r="B2311">
        <v>4502678210</v>
      </c>
      <c r="C2311">
        <v>10</v>
      </c>
      <c r="D2311" t="s">
        <v>5617</v>
      </c>
      <c r="E2311" t="s">
        <v>3212</v>
      </c>
      <c r="F2311" t="s">
        <v>5618</v>
      </c>
    </row>
    <row r="2312" spans="2:6" x14ac:dyDescent="0.35">
      <c r="B2312">
        <v>4502678123</v>
      </c>
      <c r="C2312">
        <v>10</v>
      </c>
      <c r="D2312" t="s">
        <v>5619</v>
      </c>
      <c r="E2312" t="s">
        <v>5620</v>
      </c>
      <c r="F2312" t="s">
        <v>5621</v>
      </c>
    </row>
    <row r="2313" spans="2:6" x14ac:dyDescent="0.35">
      <c r="B2313">
        <v>4502677927</v>
      </c>
      <c r="C2313">
        <v>10</v>
      </c>
      <c r="D2313" t="s">
        <v>5622</v>
      </c>
      <c r="E2313" t="s">
        <v>3200</v>
      </c>
      <c r="F2313" t="s">
        <v>5623</v>
      </c>
    </row>
    <row r="2314" spans="2:6" x14ac:dyDescent="0.35">
      <c r="B2314">
        <v>4502677758</v>
      </c>
      <c r="C2314">
        <v>10</v>
      </c>
      <c r="D2314" t="s">
        <v>5624</v>
      </c>
      <c r="E2314" t="s">
        <v>3200</v>
      </c>
      <c r="F2314" t="s">
        <v>5625</v>
      </c>
    </row>
    <row r="2315" spans="2:6" x14ac:dyDescent="0.35">
      <c r="B2315">
        <v>4502676716</v>
      </c>
      <c r="C2315">
        <v>10</v>
      </c>
      <c r="D2315" t="s">
        <v>463</v>
      </c>
      <c r="E2315" t="s">
        <v>5626</v>
      </c>
      <c r="F2315" t="s">
        <v>5627</v>
      </c>
    </row>
    <row r="2316" spans="2:6" x14ac:dyDescent="0.35">
      <c r="B2316">
        <v>4502676672</v>
      </c>
      <c r="C2316">
        <v>40</v>
      </c>
      <c r="D2316" t="s">
        <v>5628</v>
      </c>
      <c r="E2316" t="s">
        <v>5629</v>
      </c>
      <c r="F2316" t="s">
        <v>5630</v>
      </c>
    </row>
    <row r="2317" spans="2:6" x14ac:dyDescent="0.35">
      <c r="B2317">
        <v>4502676672</v>
      </c>
      <c r="C2317">
        <v>30</v>
      </c>
      <c r="D2317" t="s">
        <v>5631</v>
      </c>
      <c r="E2317" t="s">
        <v>5629</v>
      </c>
      <c r="F2317" t="s">
        <v>5632</v>
      </c>
    </row>
    <row r="2318" spans="2:6" x14ac:dyDescent="0.35">
      <c r="B2318">
        <v>4502676672</v>
      </c>
      <c r="C2318">
        <v>20</v>
      </c>
      <c r="D2318" t="s">
        <v>5628</v>
      </c>
      <c r="E2318" t="s">
        <v>5629</v>
      </c>
      <c r="F2318" t="s">
        <v>5630</v>
      </c>
    </row>
    <row r="2319" spans="2:6" x14ac:dyDescent="0.35">
      <c r="B2319">
        <v>4502676672</v>
      </c>
      <c r="C2319">
        <v>10</v>
      </c>
      <c r="D2319" t="s">
        <v>5631</v>
      </c>
      <c r="E2319" t="s">
        <v>5629</v>
      </c>
      <c r="F2319" t="s">
        <v>5632</v>
      </c>
    </row>
    <row r="2320" spans="2:6" x14ac:dyDescent="0.35">
      <c r="B2320">
        <v>4502676021</v>
      </c>
      <c r="C2320">
        <v>20</v>
      </c>
      <c r="D2320" t="s">
        <v>5633</v>
      </c>
      <c r="E2320" t="s">
        <v>2887</v>
      </c>
      <c r="F2320" t="s">
        <v>5634</v>
      </c>
    </row>
    <row r="2321" spans="2:6" x14ac:dyDescent="0.35">
      <c r="B2321">
        <v>4502676021</v>
      </c>
      <c r="C2321">
        <v>10</v>
      </c>
      <c r="D2321" t="s">
        <v>5635</v>
      </c>
      <c r="E2321" t="s">
        <v>2887</v>
      </c>
      <c r="F2321" t="s">
        <v>5636</v>
      </c>
    </row>
    <row r="2322" spans="2:6" x14ac:dyDescent="0.35">
      <c r="B2322">
        <v>4502675969</v>
      </c>
      <c r="C2322">
        <v>10</v>
      </c>
      <c r="D2322" t="s">
        <v>5637</v>
      </c>
      <c r="E2322" t="s">
        <v>5638</v>
      </c>
      <c r="F2322" t="s">
        <v>5639</v>
      </c>
    </row>
    <row r="2323" spans="2:6" x14ac:dyDescent="0.35">
      <c r="B2323">
        <v>4502675733</v>
      </c>
      <c r="C2323">
        <v>20</v>
      </c>
      <c r="D2323" t="s">
        <v>5640</v>
      </c>
      <c r="E2323" t="s">
        <v>4166</v>
      </c>
      <c r="F2323" t="s">
        <v>5641</v>
      </c>
    </row>
    <row r="2324" spans="2:6" x14ac:dyDescent="0.35">
      <c r="B2324">
        <v>4502675235</v>
      </c>
      <c r="C2324">
        <v>10</v>
      </c>
      <c r="D2324" t="s">
        <v>5642</v>
      </c>
      <c r="E2324" t="s">
        <v>3200</v>
      </c>
      <c r="F2324" t="s">
        <v>5643</v>
      </c>
    </row>
    <row r="2325" spans="2:6" x14ac:dyDescent="0.35">
      <c r="B2325">
        <v>4502675229</v>
      </c>
      <c r="C2325">
        <v>10</v>
      </c>
      <c r="D2325" t="s">
        <v>5644</v>
      </c>
      <c r="E2325" t="s">
        <v>3094</v>
      </c>
      <c r="F2325" t="s">
        <v>5645</v>
      </c>
    </row>
    <row r="2326" spans="2:6" x14ac:dyDescent="0.35">
      <c r="B2326">
        <v>4502675211</v>
      </c>
      <c r="C2326">
        <v>20</v>
      </c>
      <c r="D2326" t="s">
        <v>5646</v>
      </c>
      <c r="E2326" t="s">
        <v>5647</v>
      </c>
      <c r="F2326" t="s">
        <v>5648</v>
      </c>
    </row>
    <row r="2327" spans="2:6" x14ac:dyDescent="0.35">
      <c r="B2327">
        <v>4502675211</v>
      </c>
      <c r="C2327">
        <v>10</v>
      </c>
      <c r="D2327" t="s">
        <v>5649</v>
      </c>
      <c r="E2327" t="s">
        <v>3797</v>
      </c>
      <c r="F2327" t="s">
        <v>5650</v>
      </c>
    </row>
    <row r="2328" spans="2:6" x14ac:dyDescent="0.35">
      <c r="B2328">
        <v>4502675200</v>
      </c>
      <c r="C2328">
        <v>10</v>
      </c>
      <c r="D2328" t="s">
        <v>670</v>
      </c>
      <c r="E2328" t="s">
        <v>5651</v>
      </c>
      <c r="F2328" t="s">
        <v>5652</v>
      </c>
    </row>
    <row r="2329" spans="2:6" x14ac:dyDescent="0.35">
      <c r="B2329">
        <v>4502675036</v>
      </c>
      <c r="C2329">
        <v>20</v>
      </c>
      <c r="D2329" t="s">
        <v>5653</v>
      </c>
      <c r="E2329" t="s">
        <v>3200</v>
      </c>
      <c r="F2329" t="s">
        <v>5654</v>
      </c>
    </row>
    <row r="2330" spans="2:6" x14ac:dyDescent="0.35">
      <c r="B2330">
        <v>4502675036</v>
      </c>
      <c r="C2330">
        <v>10</v>
      </c>
      <c r="D2330" t="s">
        <v>5655</v>
      </c>
      <c r="E2330" t="s">
        <v>3200</v>
      </c>
      <c r="F2330" t="s">
        <v>5656</v>
      </c>
    </row>
    <row r="2331" spans="2:6" x14ac:dyDescent="0.35">
      <c r="B2331">
        <v>4502674443</v>
      </c>
      <c r="C2331">
        <v>20</v>
      </c>
      <c r="D2331" t="s">
        <v>756</v>
      </c>
      <c r="E2331" t="s">
        <v>5657</v>
      </c>
      <c r="F2331" t="s">
        <v>5658</v>
      </c>
    </row>
    <row r="2332" spans="2:6" x14ac:dyDescent="0.35">
      <c r="B2332">
        <v>4502674443</v>
      </c>
      <c r="C2332">
        <v>10</v>
      </c>
      <c r="D2332" t="s">
        <v>755</v>
      </c>
      <c r="E2332" t="s">
        <v>5657</v>
      </c>
      <c r="F2332" t="s">
        <v>5659</v>
      </c>
    </row>
    <row r="2333" spans="2:6" x14ac:dyDescent="0.35">
      <c r="B2333">
        <v>4502674388</v>
      </c>
      <c r="C2333">
        <v>30</v>
      </c>
      <c r="D2333" t="s">
        <v>1611</v>
      </c>
      <c r="E2333" t="s">
        <v>5657</v>
      </c>
      <c r="F2333" t="s">
        <v>5660</v>
      </c>
    </row>
    <row r="2334" spans="2:6" x14ac:dyDescent="0.35">
      <c r="B2334">
        <v>4502674388</v>
      </c>
      <c r="C2334">
        <v>20</v>
      </c>
      <c r="D2334" t="s">
        <v>1616</v>
      </c>
      <c r="E2334" t="s">
        <v>5657</v>
      </c>
      <c r="F2334" t="s">
        <v>5661</v>
      </c>
    </row>
    <row r="2335" spans="2:6" x14ac:dyDescent="0.35">
      <c r="B2335">
        <v>4502674388</v>
      </c>
      <c r="C2335">
        <v>10</v>
      </c>
      <c r="D2335" t="s">
        <v>1610</v>
      </c>
      <c r="E2335" t="s">
        <v>5657</v>
      </c>
      <c r="F2335" t="s">
        <v>5662</v>
      </c>
    </row>
    <row r="2336" spans="2:6" x14ac:dyDescent="0.35">
      <c r="B2336">
        <v>4502674040</v>
      </c>
      <c r="C2336">
        <v>10</v>
      </c>
      <c r="D2336" t="s">
        <v>5663</v>
      </c>
      <c r="E2336" t="s">
        <v>3200</v>
      </c>
      <c r="F2336" t="s">
        <v>5664</v>
      </c>
    </row>
    <row r="2337" spans="2:6" x14ac:dyDescent="0.35">
      <c r="B2337">
        <v>4502674038</v>
      </c>
      <c r="C2337">
        <v>10</v>
      </c>
      <c r="D2337" t="s">
        <v>5665</v>
      </c>
      <c r="E2337" t="s">
        <v>68</v>
      </c>
      <c r="F2337" t="s">
        <v>5666</v>
      </c>
    </row>
    <row r="2338" spans="2:6" x14ac:dyDescent="0.35">
      <c r="B2338">
        <v>4502673973</v>
      </c>
      <c r="C2338">
        <v>30</v>
      </c>
      <c r="D2338" t="s">
        <v>5667</v>
      </c>
      <c r="E2338" t="s">
        <v>3200</v>
      </c>
      <c r="F2338" t="s">
        <v>5668</v>
      </c>
    </row>
    <row r="2339" spans="2:6" x14ac:dyDescent="0.35">
      <c r="B2339">
        <v>4502673973</v>
      </c>
      <c r="C2339">
        <v>20</v>
      </c>
      <c r="D2339" t="s">
        <v>5669</v>
      </c>
      <c r="E2339" t="s">
        <v>3200</v>
      </c>
      <c r="F2339" t="s">
        <v>5670</v>
      </c>
    </row>
    <row r="2340" spans="2:6" x14ac:dyDescent="0.35">
      <c r="B2340">
        <v>4502673727</v>
      </c>
      <c r="C2340">
        <v>20</v>
      </c>
      <c r="D2340" t="s">
        <v>5671</v>
      </c>
      <c r="E2340" t="s">
        <v>5672</v>
      </c>
      <c r="F2340" t="s">
        <v>5673</v>
      </c>
    </row>
    <row r="2341" spans="2:6" x14ac:dyDescent="0.35">
      <c r="B2341">
        <v>4502673368</v>
      </c>
      <c r="C2341">
        <v>10</v>
      </c>
      <c r="D2341" t="s">
        <v>5674</v>
      </c>
      <c r="E2341" t="s">
        <v>3200</v>
      </c>
      <c r="F2341" t="s">
        <v>5675</v>
      </c>
    </row>
    <row r="2342" spans="2:6" x14ac:dyDescent="0.35">
      <c r="B2342">
        <v>4502673363</v>
      </c>
      <c r="C2342">
        <v>10</v>
      </c>
      <c r="D2342" t="s">
        <v>318</v>
      </c>
      <c r="E2342" t="s">
        <v>5371</v>
      </c>
      <c r="F2342" t="s">
        <v>5676</v>
      </c>
    </row>
    <row r="2343" spans="2:6" x14ac:dyDescent="0.35">
      <c r="B2343">
        <v>4502672620</v>
      </c>
      <c r="C2343">
        <v>50</v>
      </c>
      <c r="D2343" t="s">
        <v>5677</v>
      </c>
      <c r="E2343" t="s">
        <v>5678</v>
      </c>
      <c r="F2343" t="s">
        <v>5679</v>
      </c>
    </row>
    <row r="2344" spans="2:6" x14ac:dyDescent="0.35">
      <c r="B2344">
        <v>4502671889</v>
      </c>
      <c r="C2344">
        <v>10</v>
      </c>
      <c r="D2344" t="s">
        <v>5680</v>
      </c>
      <c r="E2344" t="s">
        <v>2887</v>
      </c>
      <c r="F2344" t="s">
        <v>5681</v>
      </c>
    </row>
    <row r="2345" spans="2:6" x14ac:dyDescent="0.35">
      <c r="B2345">
        <v>4502671484</v>
      </c>
      <c r="C2345">
        <v>20</v>
      </c>
      <c r="D2345" t="s">
        <v>5682</v>
      </c>
      <c r="E2345" t="s">
        <v>4044</v>
      </c>
      <c r="F2345" t="s">
        <v>5683</v>
      </c>
    </row>
    <row r="2346" spans="2:6" x14ac:dyDescent="0.35">
      <c r="B2346">
        <v>4502671484</v>
      </c>
      <c r="C2346">
        <v>10</v>
      </c>
      <c r="D2346" t="s">
        <v>5684</v>
      </c>
      <c r="E2346" t="s">
        <v>4044</v>
      </c>
      <c r="F2346" t="s">
        <v>5685</v>
      </c>
    </row>
    <row r="2347" spans="2:6" x14ac:dyDescent="0.35">
      <c r="B2347">
        <v>4502671393</v>
      </c>
      <c r="C2347">
        <v>20</v>
      </c>
      <c r="D2347" t="s">
        <v>5686</v>
      </c>
      <c r="E2347" t="s">
        <v>3200</v>
      </c>
      <c r="F2347" t="s">
        <v>5687</v>
      </c>
    </row>
    <row r="2348" spans="2:6" x14ac:dyDescent="0.35">
      <c r="B2348">
        <v>4502671393</v>
      </c>
      <c r="C2348">
        <v>10</v>
      </c>
      <c r="D2348" t="s">
        <v>5688</v>
      </c>
      <c r="E2348" t="s">
        <v>3200</v>
      </c>
      <c r="F2348" t="s">
        <v>5689</v>
      </c>
    </row>
    <row r="2349" spans="2:6" x14ac:dyDescent="0.35">
      <c r="B2349">
        <v>4502670000</v>
      </c>
      <c r="C2349">
        <v>10</v>
      </c>
      <c r="D2349" t="s">
        <v>5690</v>
      </c>
      <c r="E2349" t="s">
        <v>3200</v>
      </c>
      <c r="F2349" t="s">
        <v>5691</v>
      </c>
    </row>
    <row r="2350" spans="2:6" x14ac:dyDescent="0.35">
      <c r="B2350">
        <v>4502669859</v>
      </c>
      <c r="C2350">
        <v>50</v>
      </c>
      <c r="D2350" t="s">
        <v>5692</v>
      </c>
      <c r="E2350" t="s">
        <v>5693</v>
      </c>
      <c r="F2350" t="s">
        <v>5694</v>
      </c>
    </row>
    <row r="2351" spans="2:6" x14ac:dyDescent="0.35">
      <c r="B2351">
        <v>4502669859</v>
      </c>
      <c r="C2351">
        <v>40</v>
      </c>
      <c r="D2351" t="s">
        <v>5695</v>
      </c>
      <c r="E2351" t="s">
        <v>5693</v>
      </c>
      <c r="F2351" t="s">
        <v>5696</v>
      </c>
    </row>
    <row r="2352" spans="2:6" x14ac:dyDescent="0.35">
      <c r="B2352">
        <v>4502669859</v>
      </c>
      <c r="C2352">
        <v>30</v>
      </c>
      <c r="D2352" t="s">
        <v>5697</v>
      </c>
      <c r="E2352" t="s">
        <v>5693</v>
      </c>
      <c r="F2352" t="s">
        <v>5698</v>
      </c>
    </row>
    <row r="2353" spans="2:6" x14ac:dyDescent="0.35">
      <c r="B2353">
        <v>4502669859</v>
      </c>
      <c r="C2353">
        <v>20</v>
      </c>
      <c r="D2353" t="s">
        <v>5699</v>
      </c>
      <c r="E2353" t="s">
        <v>5693</v>
      </c>
      <c r="F2353" t="s">
        <v>5700</v>
      </c>
    </row>
    <row r="2354" spans="2:6" x14ac:dyDescent="0.35">
      <c r="B2354">
        <v>4502669859</v>
      </c>
      <c r="C2354">
        <v>10</v>
      </c>
      <c r="D2354" t="s">
        <v>5701</v>
      </c>
      <c r="E2354" t="s">
        <v>5693</v>
      </c>
      <c r="F2354" t="s">
        <v>5702</v>
      </c>
    </row>
    <row r="2355" spans="2:6" x14ac:dyDescent="0.35">
      <c r="B2355">
        <v>4502669605</v>
      </c>
      <c r="C2355">
        <v>10</v>
      </c>
      <c r="D2355" t="s">
        <v>5703</v>
      </c>
      <c r="E2355" t="s">
        <v>3200</v>
      </c>
      <c r="F2355" t="s">
        <v>5704</v>
      </c>
    </row>
    <row r="2356" spans="2:6" x14ac:dyDescent="0.35">
      <c r="B2356">
        <v>4502669405</v>
      </c>
      <c r="C2356">
        <v>10</v>
      </c>
      <c r="D2356" t="s">
        <v>5705</v>
      </c>
      <c r="E2356" t="s">
        <v>3200</v>
      </c>
      <c r="F2356" t="s">
        <v>5706</v>
      </c>
    </row>
    <row r="2357" spans="2:6" x14ac:dyDescent="0.35">
      <c r="B2357">
        <v>4502669002</v>
      </c>
      <c r="C2357">
        <v>10</v>
      </c>
      <c r="D2357" t="s">
        <v>5707</v>
      </c>
      <c r="E2357" t="s">
        <v>3094</v>
      </c>
      <c r="F2357" t="s">
        <v>5708</v>
      </c>
    </row>
    <row r="2358" spans="2:6" x14ac:dyDescent="0.35">
      <c r="B2358">
        <v>4502668973</v>
      </c>
      <c r="C2358">
        <v>40</v>
      </c>
      <c r="D2358" t="s">
        <v>5669</v>
      </c>
      <c r="E2358" t="s">
        <v>3200</v>
      </c>
      <c r="F2358" t="s">
        <v>5709</v>
      </c>
    </row>
    <row r="2359" spans="2:6" x14ac:dyDescent="0.35">
      <c r="B2359">
        <v>4502668973</v>
      </c>
      <c r="C2359">
        <v>30</v>
      </c>
      <c r="D2359" t="s">
        <v>5667</v>
      </c>
      <c r="E2359" t="s">
        <v>3200</v>
      </c>
      <c r="F2359" t="s">
        <v>5710</v>
      </c>
    </row>
    <row r="2360" spans="2:6" x14ac:dyDescent="0.35">
      <c r="B2360">
        <v>4502668973</v>
      </c>
      <c r="C2360">
        <v>20</v>
      </c>
      <c r="D2360" t="s">
        <v>5667</v>
      </c>
      <c r="E2360" t="s">
        <v>3200</v>
      </c>
      <c r="F2360" t="s">
        <v>5710</v>
      </c>
    </row>
    <row r="2361" spans="2:6" x14ac:dyDescent="0.35">
      <c r="B2361">
        <v>4502668973</v>
      </c>
      <c r="C2361">
        <v>10</v>
      </c>
      <c r="D2361" t="s">
        <v>5669</v>
      </c>
      <c r="E2361" t="s">
        <v>3200</v>
      </c>
      <c r="F2361" t="s">
        <v>5709</v>
      </c>
    </row>
    <row r="2362" spans="2:6" x14ac:dyDescent="0.35">
      <c r="B2362">
        <v>4502668886</v>
      </c>
      <c r="C2362">
        <v>10</v>
      </c>
      <c r="D2362" t="s">
        <v>473</v>
      </c>
      <c r="E2362" t="s">
        <v>68</v>
      </c>
      <c r="F2362" t="s">
        <v>5711</v>
      </c>
    </row>
    <row r="2363" spans="2:6" x14ac:dyDescent="0.35">
      <c r="B2363">
        <v>4502668628</v>
      </c>
      <c r="C2363">
        <v>10</v>
      </c>
      <c r="D2363" t="s">
        <v>1485</v>
      </c>
      <c r="E2363" t="s">
        <v>2987</v>
      </c>
      <c r="F2363" t="s">
        <v>5712</v>
      </c>
    </row>
    <row r="2364" spans="2:6" x14ac:dyDescent="0.35">
      <c r="B2364">
        <v>4502667945</v>
      </c>
      <c r="C2364">
        <v>10</v>
      </c>
      <c r="D2364" t="s">
        <v>1512</v>
      </c>
      <c r="E2364" t="s">
        <v>5191</v>
      </c>
      <c r="F2364" t="s">
        <v>5713</v>
      </c>
    </row>
    <row r="2365" spans="2:6" x14ac:dyDescent="0.35">
      <c r="B2365">
        <v>4502666756</v>
      </c>
      <c r="C2365">
        <v>10</v>
      </c>
      <c r="D2365" t="s">
        <v>789</v>
      </c>
      <c r="E2365" t="s">
        <v>5714</v>
      </c>
      <c r="F2365" t="s">
        <v>5715</v>
      </c>
    </row>
    <row r="2366" spans="2:6" x14ac:dyDescent="0.35">
      <c r="B2366">
        <v>4502665932</v>
      </c>
      <c r="C2366">
        <v>50</v>
      </c>
      <c r="D2366" t="s">
        <v>1300</v>
      </c>
      <c r="E2366" t="s">
        <v>3094</v>
      </c>
      <c r="F2366" t="s">
        <v>5716</v>
      </c>
    </row>
    <row r="2367" spans="2:6" x14ac:dyDescent="0.35">
      <c r="B2367">
        <v>4502665123</v>
      </c>
      <c r="C2367">
        <v>10</v>
      </c>
      <c r="D2367" t="s">
        <v>5717</v>
      </c>
      <c r="E2367" t="s">
        <v>5718</v>
      </c>
      <c r="F2367" t="s">
        <v>5719</v>
      </c>
    </row>
    <row r="2368" spans="2:6" x14ac:dyDescent="0.35">
      <c r="B2368">
        <v>4502664866</v>
      </c>
      <c r="C2368">
        <v>20</v>
      </c>
      <c r="D2368" t="s">
        <v>1211</v>
      </c>
      <c r="E2368" t="s">
        <v>3094</v>
      </c>
      <c r="F2368" t="s">
        <v>5720</v>
      </c>
    </row>
    <row r="2369" spans="2:6" x14ac:dyDescent="0.35">
      <c r="B2369">
        <v>4502663853</v>
      </c>
      <c r="C2369">
        <v>10</v>
      </c>
      <c r="D2369" t="s">
        <v>5721</v>
      </c>
      <c r="E2369" t="s">
        <v>4039</v>
      </c>
      <c r="F2369" t="s">
        <v>5722</v>
      </c>
    </row>
    <row r="2370" spans="2:6" x14ac:dyDescent="0.35">
      <c r="B2370">
        <v>4502663827</v>
      </c>
      <c r="C2370">
        <v>890</v>
      </c>
      <c r="D2370" t="s">
        <v>5723</v>
      </c>
      <c r="E2370" t="s">
        <v>5724</v>
      </c>
      <c r="F2370" t="s">
        <v>5725</v>
      </c>
    </row>
    <row r="2371" spans="2:6" x14ac:dyDescent="0.35">
      <c r="B2371">
        <v>4502663827</v>
      </c>
      <c r="C2371">
        <v>630</v>
      </c>
      <c r="D2371" t="s">
        <v>5726</v>
      </c>
      <c r="E2371" t="s">
        <v>5724</v>
      </c>
      <c r="F2371" t="s">
        <v>5727</v>
      </c>
    </row>
    <row r="2372" spans="2:6" x14ac:dyDescent="0.35">
      <c r="B2372">
        <v>4502663827</v>
      </c>
      <c r="C2372">
        <v>1080</v>
      </c>
      <c r="D2372" t="s">
        <v>5728</v>
      </c>
      <c r="E2372" t="s">
        <v>5724</v>
      </c>
      <c r="F2372" t="s">
        <v>5729</v>
      </c>
    </row>
    <row r="2373" spans="2:6" x14ac:dyDescent="0.35">
      <c r="B2373">
        <v>4502663348</v>
      </c>
      <c r="C2373">
        <v>30</v>
      </c>
      <c r="D2373" t="s">
        <v>5730</v>
      </c>
      <c r="E2373" t="s">
        <v>68</v>
      </c>
      <c r="F2373" t="s">
        <v>5731</v>
      </c>
    </row>
    <row r="2374" spans="2:6" x14ac:dyDescent="0.35">
      <c r="B2374">
        <v>4502663348</v>
      </c>
      <c r="C2374">
        <v>20</v>
      </c>
      <c r="D2374" t="s">
        <v>5732</v>
      </c>
      <c r="E2374" t="s">
        <v>68</v>
      </c>
      <c r="F2374" t="s">
        <v>5733</v>
      </c>
    </row>
    <row r="2375" spans="2:6" x14ac:dyDescent="0.35">
      <c r="B2375">
        <v>4502663016</v>
      </c>
      <c r="C2375">
        <v>20</v>
      </c>
      <c r="D2375" t="s">
        <v>5734</v>
      </c>
      <c r="E2375" t="s">
        <v>4039</v>
      </c>
      <c r="F2375" t="s">
        <v>5735</v>
      </c>
    </row>
    <row r="2376" spans="2:6" x14ac:dyDescent="0.35">
      <c r="B2376">
        <v>4502663016</v>
      </c>
      <c r="C2376">
        <v>10</v>
      </c>
      <c r="D2376" t="s">
        <v>5736</v>
      </c>
      <c r="E2376" t="s">
        <v>4039</v>
      </c>
      <c r="F2376" t="s">
        <v>5737</v>
      </c>
    </row>
    <row r="2377" spans="2:6" x14ac:dyDescent="0.35">
      <c r="B2377">
        <v>4502662920</v>
      </c>
      <c r="C2377">
        <v>10</v>
      </c>
      <c r="D2377" t="s">
        <v>5738</v>
      </c>
      <c r="E2377" t="s">
        <v>5739</v>
      </c>
      <c r="F2377" t="s">
        <v>5740</v>
      </c>
    </row>
    <row r="2378" spans="2:6" x14ac:dyDescent="0.35">
      <c r="B2378">
        <v>4502662897</v>
      </c>
      <c r="C2378">
        <v>10</v>
      </c>
      <c r="D2378" t="s">
        <v>717</v>
      </c>
      <c r="E2378" t="s">
        <v>3200</v>
      </c>
      <c r="F2378" t="s">
        <v>5741</v>
      </c>
    </row>
    <row r="2379" spans="2:6" x14ac:dyDescent="0.35">
      <c r="B2379">
        <v>4502662744</v>
      </c>
      <c r="C2379">
        <v>10</v>
      </c>
      <c r="D2379" t="s">
        <v>5742</v>
      </c>
      <c r="E2379" t="s">
        <v>3200</v>
      </c>
      <c r="F2379" t="s">
        <v>5743</v>
      </c>
    </row>
    <row r="2380" spans="2:6" x14ac:dyDescent="0.35">
      <c r="B2380">
        <v>4502662156</v>
      </c>
      <c r="C2380">
        <v>140</v>
      </c>
      <c r="D2380" t="s">
        <v>5728</v>
      </c>
      <c r="E2380" t="s">
        <v>3094</v>
      </c>
      <c r="F2380" t="s">
        <v>5744</v>
      </c>
    </row>
    <row r="2381" spans="2:6" x14ac:dyDescent="0.35">
      <c r="B2381">
        <v>4502661823</v>
      </c>
      <c r="C2381">
        <v>10</v>
      </c>
      <c r="D2381" t="s">
        <v>5745</v>
      </c>
      <c r="E2381" t="s">
        <v>5746</v>
      </c>
      <c r="F2381" t="s">
        <v>5747</v>
      </c>
    </row>
    <row r="2382" spans="2:6" x14ac:dyDescent="0.35">
      <c r="B2382">
        <v>4502661573</v>
      </c>
      <c r="C2382">
        <v>10</v>
      </c>
      <c r="D2382" t="s">
        <v>5748</v>
      </c>
      <c r="E2382" t="s">
        <v>4764</v>
      </c>
      <c r="F2382" t="s">
        <v>5749</v>
      </c>
    </row>
    <row r="2383" spans="2:6" x14ac:dyDescent="0.35">
      <c r="B2383">
        <v>4502660682</v>
      </c>
      <c r="C2383">
        <v>10</v>
      </c>
      <c r="D2383" t="s">
        <v>5750</v>
      </c>
      <c r="E2383" t="s">
        <v>5751</v>
      </c>
      <c r="F2383" t="s">
        <v>5752</v>
      </c>
    </row>
    <row r="2384" spans="2:6" x14ac:dyDescent="0.35">
      <c r="B2384">
        <v>4502660045</v>
      </c>
      <c r="C2384">
        <v>30</v>
      </c>
      <c r="D2384" t="s">
        <v>5753</v>
      </c>
      <c r="E2384" t="s">
        <v>3200</v>
      </c>
      <c r="F2384" t="s">
        <v>5754</v>
      </c>
    </row>
    <row r="2385" spans="2:6" x14ac:dyDescent="0.35">
      <c r="B2385">
        <v>4502660045</v>
      </c>
      <c r="C2385">
        <v>20</v>
      </c>
      <c r="D2385" t="s">
        <v>5755</v>
      </c>
      <c r="E2385" t="s">
        <v>3200</v>
      </c>
      <c r="F2385" t="s">
        <v>5756</v>
      </c>
    </row>
    <row r="2386" spans="2:6" x14ac:dyDescent="0.35">
      <c r="B2386">
        <v>4502660045</v>
      </c>
      <c r="C2386">
        <v>10</v>
      </c>
      <c r="D2386" t="s">
        <v>5757</v>
      </c>
      <c r="E2386" t="s">
        <v>3200</v>
      </c>
      <c r="F2386" t="s">
        <v>5758</v>
      </c>
    </row>
    <row r="2387" spans="2:6" x14ac:dyDescent="0.35">
      <c r="B2387">
        <v>4502659336</v>
      </c>
      <c r="C2387">
        <v>10</v>
      </c>
      <c r="D2387" t="s">
        <v>5759</v>
      </c>
      <c r="E2387" t="s">
        <v>5760</v>
      </c>
      <c r="F2387" t="s">
        <v>5761</v>
      </c>
    </row>
    <row r="2388" spans="2:6" x14ac:dyDescent="0.35">
      <c r="B2388">
        <v>4502659304</v>
      </c>
      <c r="C2388">
        <v>10</v>
      </c>
      <c r="D2388" t="s">
        <v>5762</v>
      </c>
      <c r="E2388" t="s">
        <v>5763</v>
      </c>
      <c r="F2388" t="s">
        <v>5764</v>
      </c>
    </row>
    <row r="2389" spans="2:6" x14ac:dyDescent="0.35">
      <c r="B2389">
        <v>4502659295</v>
      </c>
      <c r="C2389">
        <v>10</v>
      </c>
      <c r="D2389" t="s">
        <v>5765</v>
      </c>
      <c r="E2389" t="s">
        <v>5766</v>
      </c>
      <c r="F2389" t="s">
        <v>5767</v>
      </c>
    </row>
    <row r="2390" spans="2:6" x14ac:dyDescent="0.35">
      <c r="B2390">
        <v>4502658767</v>
      </c>
      <c r="C2390">
        <v>10</v>
      </c>
      <c r="D2390" t="s">
        <v>5768</v>
      </c>
      <c r="E2390" t="s">
        <v>3200</v>
      </c>
      <c r="F2390" t="s">
        <v>5769</v>
      </c>
    </row>
    <row r="2391" spans="2:6" x14ac:dyDescent="0.35">
      <c r="B2391">
        <v>4502658565</v>
      </c>
      <c r="C2391">
        <v>20</v>
      </c>
      <c r="D2391" t="s">
        <v>5770</v>
      </c>
      <c r="E2391" t="s">
        <v>5771</v>
      </c>
      <c r="F2391" t="s">
        <v>5772</v>
      </c>
    </row>
    <row r="2392" spans="2:6" x14ac:dyDescent="0.35">
      <c r="B2392">
        <v>4502658565</v>
      </c>
      <c r="C2392">
        <v>10</v>
      </c>
      <c r="D2392" t="s">
        <v>5773</v>
      </c>
      <c r="E2392" t="s">
        <v>5771</v>
      </c>
      <c r="F2392" t="s">
        <v>5774</v>
      </c>
    </row>
    <row r="2393" spans="2:6" x14ac:dyDescent="0.35">
      <c r="B2393">
        <v>4502658492</v>
      </c>
      <c r="C2393">
        <v>60</v>
      </c>
      <c r="D2393" t="s">
        <v>5775</v>
      </c>
      <c r="E2393" t="s">
        <v>5776</v>
      </c>
      <c r="F2393" t="s">
        <v>5777</v>
      </c>
    </row>
    <row r="2394" spans="2:6" x14ac:dyDescent="0.35">
      <c r="B2394">
        <v>4502658492</v>
      </c>
      <c r="C2394">
        <v>50</v>
      </c>
      <c r="D2394" t="s">
        <v>5778</v>
      </c>
      <c r="E2394" t="s">
        <v>5776</v>
      </c>
      <c r="F2394" t="s">
        <v>5779</v>
      </c>
    </row>
    <row r="2395" spans="2:6" x14ac:dyDescent="0.35">
      <c r="B2395">
        <v>4502658492</v>
      </c>
      <c r="C2395">
        <v>40</v>
      </c>
      <c r="D2395" t="s">
        <v>5780</v>
      </c>
      <c r="E2395" t="s">
        <v>5776</v>
      </c>
      <c r="F2395" t="s">
        <v>5781</v>
      </c>
    </row>
    <row r="2396" spans="2:6" x14ac:dyDescent="0.35">
      <c r="B2396">
        <v>4502658492</v>
      </c>
      <c r="C2396">
        <v>30</v>
      </c>
      <c r="D2396" t="s">
        <v>5782</v>
      </c>
      <c r="E2396" t="s">
        <v>5776</v>
      </c>
      <c r="F2396" t="s">
        <v>5783</v>
      </c>
    </row>
    <row r="2397" spans="2:6" x14ac:dyDescent="0.35">
      <c r="B2397">
        <v>4502658492</v>
      </c>
      <c r="C2397">
        <v>20</v>
      </c>
      <c r="D2397" t="s">
        <v>5784</v>
      </c>
      <c r="E2397" t="s">
        <v>5776</v>
      </c>
      <c r="F2397" t="s">
        <v>5785</v>
      </c>
    </row>
    <row r="2398" spans="2:6" x14ac:dyDescent="0.35">
      <c r="B2398">
        <v>4502658492</v>
      </c>
      <c r="C2398">
        <v>10</v>
      </c>
      <c r="D2398" t="s">
        <v>5786</v>
      </c>
      <c r="E2398" t="s">
        <v>5776</v>
      </c>
      <c r="F2398" t="s">
        <v>5787</v>
      </c>
    </row>
    <row r="2399" spans="2:6" x14ac:dyDescent="0.35">
      <c r="B2399">
        <v>4502655614</v>
      </c>
      <c r="C2399">
        <v>10</v>
      </c>
      <c r="D2399" t="s">
        <v>5788</v>
      </c>
      <c r="E2399" t="s">
        <v>3094</v>
      </c>
      <c r="F2399" t="s">
        <v>5789</v>
      </c>
    </row>
    <row r="2400" spans="2:6" x14ac:dyDescent="0.35">
      <c r="B2400">
        <v>4502655035</v>
      </c>
      <c r="C2400">
        <v>90</v>
      </c>
      <c r="D2400" t="s">
        <v>5790</v>
      </c>
      <c r="E2400" t="s">
        <v>5791</v>
      </c>
      <c r="F2400" t="s">
        <v>5792</v>
      </c>
    </row>
    <row r="2401" spans="2:6" x14ac:dyDescent="0.35">
      <c r="B2401">
        <v>4502655035</v>
      </c>
      <c r="C2401">
        <v>80</v>
      </c>
      <c r="D2401" t="s">
        <v>5793</v>
      </c>
      <c r="E2401" t="s">
        <v>5791</v>
      </c>
      <c r="F2401" t="s">
        <v>5794</v>
      </c>
    </row>
    <row r="2402" spans="2:6" x14ac:dyDescent="0.35">
      <c r="B2402">
        <v>4502655035</v>
      </c>
      <c r="C2402">
        <v>70</v>
      </c>
      <c r="D2402" t="s">
        <v>5795</v>
      </c>
      <c r="E2402" t="s">
        <v>5791</v>
      </c>
      <c r="F2402" t="s">
        <v>5796</v>
      </c>
    </row>
    <row r="2403" spans="2:6" x14ac:dyDescent="0.35">
      <c r="B2403">
        <v>4502655035</v>
      </c>
      <c r="C2403">
        <v>60</v>
      </c>
      <c r="D2403" t="s">
        <v>5797</v>
      </c>
      <c r="E2403" t="s">
        <v>5791</v>
      </c>
      <c r="F2403" t="s">
        <v>5798</v>
      </c>
    </row>
    <row r="2404" spans="2:6" x14ac:dyDescent="0.35">
      <c r="B2404">
        <v>4502655035</v>
      </c>
      <c r="C2404">
        <v>50</v>
      </c>
      <c r="D2404" t="s">
        <v>5799</v>
      </c>
      <c r="E2404" t="s">
        <v>5791</v>
      </c>
      <c r="F2404" t="s">
        <v>5800</v>
      </c>
    </row>
    <row r="2405" spans="2:6" x14ac:dyDescent="0.35">
      <c r="B2405">
        <v>4502655035</v>
      </c>
      <c r="C2405">
        <v>40</v>
      </c>
      <c r="D2405" t="s">
        <v>5801</v>
      </c>
      <c r="E2405" t="s">
        <v>5791</v>
      </c>
      <c r="F2405" t="s">
        <v>5802</v>
      </c>
    </row>
    <row r="2406" spans="2:6" x14ac:dyDescent="0.35">
      <c r="B2406">
        <v>4502655035</v>
      </c>
      <c r="C2406">
        <v>30</v>
      </c>
      <c r="D2406" t="s">
        <v>619</v>
      </c>
      <c r="E2406" t="s">
        <v>5791</v>
      </c>
      <c r="F2406" t="s">
        <v>5803</v>
      </c>
    </row>
    <row r="2407" spans="2:6" x14ac:dyDescent="0.35">
      <c r="B2407">
        <v>4502655035</v>
      </c>
      <c r="C2407">
        <v>230</v>
      </c>
      <c r="D2407" t="s">
        <v>5804</v>
      </c>
      <c r="E2407" t="s">
        <v>5791</v>
      </c>
      <c r="F2407" t="s">
        <v>5805</v>
      </c>
    </row>
    <row r="2408" spans="2:6" x14ac:dyDescent="0.35">
      <c r="B2408">
        <v>4502655035</v>
      </c>
      <c r="C2408">
        <v>220</v>
      </c>
      <c r="D2408" t="s">
        <v>5806</v>
      </c>
      <c r="E2408" t="s">
        <v>5791</v>
      </c>
      <c r="F2408" t="s">
        <v>5807</v>
      </c>
    </row>
    <row r="2409" spans="2:6" x14ac:dyDescent="0.35">
      <c r="B2409">
        <v>4502655035</v>
      </c>
      <c r="C2409">
        <v>210</v>
      </c>
      <c r="D2409" t="s">
        <v>5808</v>
      </c>
      <c r="E2409" t="s">
        <v>5791</v>
      </c>
      <c r="F2409" t="s">
        <v>5809</v>
      </c>
    </row>
    <row r="2410" spans="2:6" x14ac:dyDescent="0.35">
      <c r="B2410">
        <v>4502655035</v>
      </c>
      <c r="C2410">
        <v>200</v>
      </c>
      <c r="D2410" t="s">
        <v>5810</v>
      </c>
      <c r="E2410" t="s">
        <v>5791</v>
      </c>
      <c r="F2410" t="s">
        <v>5811</v>
      </c>
    </row>
    <row r="2411" spans="2:6" x14ac:dyDescent="0.35">
      <c r="B2411">
        <v>4502655035</v>
      </c>
      <c r="C2411">
        <v>20</v>
      </c>
      <c r="D2411" t="s">
        <v>5812</v>
      </c>
      <c r="E2411" t="s">
        <v>5791</v>
      </c>
      <c r="F2411" t="s">
        <v>5813</v>
      </c>
    </row>
    <row r="2412" spans="2:6" x14ac:dyDescent="0.35">
      <c r="B2412">
        <v>4502655035</v>
      </c>
      <c r="C2412">
        <v>190</v>
      </c>
      <c r="D2412" t="s">
        <v>5814</v>
      </c>
      <c r="E2412" t="s">
        <v>5791</v>
      </c>
      <c r="F2412" t="s">
        <v>5815</v>
      </c>
    </row>
    <row r="2413" spans="2:6" x14ac:dyDescent="0.35">
      <c r="B2413">
        <v>4502655035</v>
      </c>
      <c r="C2413">
        <v>180</v>
      </c>
      <c r="D2413" t="s">
        <v>5816</v>
      </c>
      <c r="E2413" t="s">
        <v>5791</v>
      </c>
      <c r="F2413" t="s">
        <v>5817</v>
      </c>
    </row>
    <row r="2414" spans="2:6" x14ac:dyDescent="0.35">
      <c r="B2414">
        <v>4502655035</v>
      </c>
      <c r="C2414">
        <v>170</v>
      </c>
      <c r="D2414" t="s">
        <v>5818</v>
      </c>
      <c r="E2414" t="s">
        <v>5791</v>
      </c>
      <c r="F2414" t="s">
        <v>5819</v>
      </c>
    </row>
    <row r="2415" spans="2:6" x14ac:dyDescent="0.35">
      <c r="B2415">
        <v>4502655035</v>
      </c>
      <c r="C2415">
        <v>160</v>
      </c>
      <c r="D2415" t="s">
        <v>5820</v>
      </c>
      <c r="E2415" t="s">
        <v>5791</v>
      </c>
      <c r="F2415" t="s">
        <v>5821</v>
      </c>
    </row>
    <row r="2416" spans="2:6" x14ac:dyDescent="0.35">
      <c r="B2416">
        <v>4502655035</v>
      </c>
      <c r="C2416">
        <v>150</v>
      </c>
      <c r="D2416" t="s">
        <v>5822</v>
      </c>
      <c r="E2416" t="s">
        <v>5791</v>
      </c>
      <c r="F2416" t="s">
        <v>5823</v>
      </c>
    </row>
    <row r="2417" spans="2:6" x14ac:dyDescent="0.35">
      <c r="B2417">
        <v>4502655035</v>
      </c>
      <c r="C2417">
        <v>140</v>
      </c>
      <c r="D2417" t="s">
        <v>5824</v>
      </c>
      <c r="E2417" t="s">
        <v>5791</v>
      </c>
      <c r="F2417" t="s">
        <v>5825</v>
      </c>
    </row>
    <row r="2418" spans="2:6" x14ac:dyDescent="0.35">
      <c r="B2418">
        <v>4502655035</v>
      </c>
      <c r="C2418">
        <v>130</v>
      </c>
      <c r="D2418" t="s">
        <v>5826</v>
      </c>
      <c r="E2418" t="s">
        <v>5791</v>
      </c>
      <c r="F2418" t="s">
        <v>5827</v>
      </c>
    </row>
    <row r="2419" spans="2:6" x14ac:dyDescent="0.35">
      <c r="B2419">
        <v>4502655035</v>
      </c>
      <c r="C2419">
        <v>120</v>
      </c>
      <c r="D2419" t="s">
        <v>5828</v>
      </c>
      <c r="E2419" t="s">
        <v>5791</v>
      </c>
      <c r="F2419" t="s">
        <v>5829</v>
      </c>
    </row>
    <row r="2420" spans="2:6" x14ac:dyDescent="0.35">
      <c r="B2420">
        <v>4502655035</v>
      </c>
      <c r="C2420">
        <v>110</v>
      </c>
      <c r="D2420" t="s">
        <v>5830</v>
      </c>
      <c r="E2420" t="s">
        <v>5791</v>
      </c>
      <c r="F2420" t="s">
        <v>5831</v>
      </c>
    </row>
    <row r="2421" spans="2:6" x14ac:dyDescent="0.35">
      <c r="B2421">
        <v>4502655035</v>
      </c>
      <c r="C2421">
        <v>100</v>
      </c>
      <c r="D2421" t="s">
        <v>5832</v>
      </c>
      <c r="E2421" t="s">
        <v>5791</v>
      </c>
      <c r="F2421" t="s">
        <v>5833</v>
      </c>
    </row>
    <row r="2422" spans="2:6" x14ac:dyDescent="0.35">
      <c r="B2422">
        <v>4502655035</v>
      </c>
      <c r="C2422">
        <v>10</v>
      </c>
      <c r="D2422" t="s">
        <v>5834</v>
      </c>
      <c r="E2422" t="s">
        <v>5791</v>
      </c>
      <c r="F2422" t="s">
        <v>5835</v>
      </c>
    </row>
    <row r="2423" spans="2:6" x14ac:dyDescent="0.35">
      <c r="B2423">
        <v>4502655022</v>
      </c>
      <c r="C2423">
        <v>10</v>
      </c>
      <c r="D2423" t="s">
        <v>5836</v>
      </c>
      <c r="E2423" t="s">
        <v>5647</v>
      </c>
      <c r="F2423" t="s">
        <v>5837</v>
      </c>
    </row>
    <row r="2424" spans="2:6" x14ac:dyDescent="0.35">
      <c r="B2424">
        <v>4502655014</v>
      </c>
      <c r="C2424">
        <v>450</v>
      </c>
      <c r="D2424" t="s">
        <v>5838</v>
      </c>
      <c r="E2424" t="s">
        <v>3094</v>
      </c>
      <c r="F2424" t="s">
        <v>5839</v>
      </c>
    </row>
    <row r="2425" spans="2:6" x14ac:dyDescent="0.35">
      <c r="B2425">
        <v>4502655014</v>
      </c>
      <c r="C2425">
        <v>440</v>
      </c>
      <c r="D2425" t="s">
        <v>1465</v>
      </c>
      <c r="E2425" t="s">
        <v>3094</v>
      </c>
      <c r="F2425" t="s">
        <v>5840</v>
      </c>
    </row>
    <row r="2426" spans="2:6" x14ac:dyDescent="0.35">
      <c r="B2426">
        <v>4502655014</v>
      </c>
      <c r="C2426">
        <v>430</v>
      </c>
      <c r="D2426" t="s">
        <v>557</v>
      </c>
      <c r="E2426" t="s">
        <v>3094</v>
      </c>
      <c r="F2426" t="s">
        <v>5841</v>
      </c>
    </row>
    <row r="2427" spans="2:6" x14ac:dyDescent="0.35">
      <c r="B2427">
        <v>4502654807</v>
      </c>
      <c r="C2427">
        <v>10</v>
      </c>
      <c r="D2427" t="s">
        <v>5842</v>
      </c>
      <c r="E2427" t="s">
        <v>5843</v>
      </c>
      <c r="F2427" t="s">
        <v>5844</v>
      </c>
    </row>
    <row r="2428" spans="2:6" x14ac:dyDescent="0.35">
      <c r="B2428">
        <v>4502654795</v>
      </c>
      <c r="C2428">
        <v>10</v>
      </c>
      <c r="D2428" t="s">
        <v>5845</v>
      </c>
      <c r="E2428" t="s">
        <v>5766</v>
      </c>
      <c r="F2428" t="s">
        <v>5846</v>
      </c>
    </row>
    <row r="2429" spans="2:6" x14ac:dyDescent="0.35">
      <c r="B2429">
        <v>4502654757</v>
      </c>
      <c r="C2429">
        <v>20</v>
      </c>
      <c r="D2429" t="s">
        <v>5847</v>
      </c>
      <c r="E2429" t="s">
        <v>4039</v>
      </c>
      <c r="F2429" t="s">
        <v>5848</v>
      </c>
    </row>
    <row r="2430" spans="2:6" x14ac:dyDescent="0.35">
      <c r="B2430">
        <v>4502654757</v>
      </c>
      <c r="C2430">
        <v>10</v>
      </c>
      <c r="D2430" t="s">
        <v>5849</v>
      </c>
      <c r="E2430" t="s">
        <v>4039</v>
      </c>
      <c r="F2430" t="s">
        <v>5850</v>
      </c>
    </row>
    <row r="2431" spans="2:6" x14ac:dyDescent="0.35">
      <c r="B2431">
        <v>4502654545</v>
      </c>
      <c r="C2431">
        <v>10</v>
      </c>
      <c r="D2431" t="s">
        <v>5851</v>
      </c>
      <c r="E2431" t="s">
        <v>3200</v>
      </c>
      <c r="F2431" t="s">
        <v>5852</v>
      </c>
    </row>
    <row r="2432" spans="2:6" x14ac:dyDescent="0.35">
      <c r="B2432">
        <v>4502653533</v>
      </c>
      <c r="C2432">
        <v>30</v>
      </c>
      <c r="D2432" t="s">
        <v>3763</v>
      </c>
      <c r="E2432" t="s">
        <v>3200</v>
      </c>
      <c r="F2432" t="s">
        <v>5853</v>
      </c>
    </row>
    <row r="2433" spans="2:6" x14ac:dyDescent="0.35">
      <c r="B2433">
        <v>4502653533</v>
      </c>
      <c r="C2433">
        <v>20</v>
      </c>
      <c r="D2433" t="s">
        <v>5854</v>
      </c>
      <c r="E2433" t="s">
        <v>3200</v>
      </c>
      <c r="F2433" t="s">
        <v>5855</v>
      </c>
    </row>
    <row r="2434" spans="2:6" x14ac:dyDescent="0.35">
      <c r="B2434">
        <v>4502653318</v>
      </c>
      <c r="C2434">
        <v>10</v>
      </c>
      <c r="D2434" t="s">
        <v>5856</v>
      </c>
      <c r="E2434" t="s">
        <v>3200</v>
      </c>
      <c r="F2434" t="s">
        <v>5857</v>
      </c>
    </row>
    <row r="2435" spans="2:6" x14ac:dyDescent="0.35">
      <c r="B2435">
        <v>4502653123</v>
      </c>
      <c r="C2435">
        <v>10</v>
      </c>
      <c r="D2435" t="s">
        <v>5858</v>
      </c>
      <c r="E2435" t="s">
        <v>3942</v>
      </c>
      <c r="F2435" t="s">
        <v>5859</v>
      </c>
    </row>
    <row r="2436" spans="2:6" x14ac:dyDescent="0.35">
      <c r="B2436">
        <v>4502652766</v>
      </c>
      <c r="C2436">
        <v>30</v>
      </c>
      <c r="D2436" t="s">
        <v>5860</v>
      </c>
      <c r="E2436" t="s">
        <v>5861</v>
      </c>
      <c r="F2436" t="s">
        <v>5862</v>
      </c>
    </row>
    <row r="2437" spans="2:6" x14ac:dyDescent="0.35">
      <c r="B2437">
        <v>4502652766</v>
      </c>
      <c r="C2437">
        <v>10</v>
      </c>
      <c r="D2437" t="s">
        <v>5863</v>
      </c>
      <c r="E2437" t="s">
        <v>5861</v>
      </c>
      <c r="F2437" t="s">
        <v>5864</v>
      </c>
    </row>
    <row r="2438" spans="2:6" x14ac:dyDescent="0.35">
      <c r="B2438">
        <v>4502650925</v>
      </c>
      <c r="C2438">
        <v>10</v>
      </c>
      <c r="D2438" t="s">
        <v>5865</v>
      </c>
      <c r="E2438" t="s">
        <v>5866</v>
      </c>
      <c r="F2438" t="s">
        <v>5867</v>
      </c>
    </row>
    <row r="2439" spans="2:6" x14ac:dyDescent="0.35">
      <c r="B2439">
        <v>4502649855</v>
      </c>
      <c r="C2439">
        <v>10</v>
      </c>
      <c r="D2439" t="s">
        <v>2970</v>
      </c>
      <c r="E2439" t="s">
        <v>3200</v>
      </c>
      <c r="F2439" t="s">
        <v>5868</v>
      </c>
    </row>
    <row r="2440" spans="2:6" x14ac:dyDescent="0.35">
      <c r="B2440">
        <v>4502649839</v>
      </c>
      <c r="C2440">
        <v>10</v>
      </c>
      <c r="D2440" t="s">
        <v>5869</v>
      </c>
      <c r="E2440" t="s">
        <v>5870</v>
      </c>
      <c r="F2440" t="s">
        <v>5871</v>
      </c>
    </row>
    <row r="2441" spans="2:6" x14ac:dyDescent="0.35">
      <c r="B2441">
        <v>4502649792</v>
      </c>
      <c r="C2441">
        <v>10</v>
      </c>
      <c r="D2441" t="s">
        <v>5872</v>
      </c>
      <c r="E2441" t="s">
        <v>5873</v>
      </c>
      <c r="F2441" t="s">
        <v>5874</v>
      </c>
    </row>
    <row r="2442" spans="2:6" x14ac:dyDescent="0.35">
      <c r="B2442">
        <v>4502649104</v>
      </c>
      <c r="C2442">
        <v>10</v>
      </c>
      <c r="D2442" t="s">
        <v>5875</v>
      </c>
      <c r="E2442" t="s">
        <v>5876</v>
      </c>
      <c r="F2442" t="s">
        <v>5877</v>
      </c>
    </row>
    <row r="2443" spans="2:6" x14ac:dyDescent="0.35">
      <c r="B2443">
        <v>4502648952</v>
      </c>
      <c r="C2443">
        <v>20</v>
      </c>
      <c r="D2443" t="s">
        <v>5878</v>
      </c>
      <c r="E2443" t="s">
        <v>5879</v>
      </c>
      <c r="F2443" t="s">
        <v>5880</v>
      </c>
    </row>
    <row r="2444" spans="2:6" x14ac:dyDescent="0.35">
      <c r="B2444">
        <v>4502648952</v>
      </c>
      <c r="C2444">
        <v>10</v>
      </c>
      <c r="D2444" t="s">
        <v>5881</v>
      </c>
      <c r="E2444" t="s">
        <v>5879</v>
      </c>
      <c r="F2444" t="s">
        <v>5882</v>
      </c>
    </row>
    <row r="2445" spans="2:6" x14ac:dyDescent="0.35">
      <c r="B2445">
        <v>4502648871</v>
      </c>
      <c r="C2445">
        <v>40</v>
      </c>
      <c r="D2445" t="s">
        <v>5883</v>
      </c>
      <c r="E2445" t="s">
        <v>5884</v>
      </c>
      <c r="F2445" t="s">
        <v>5885</v>
      </c>
    </row>
    <row r="2446" spans="2:6" x14ac:dyDescent="0.35">
      <c r="B2446">
        <v>4502648474</v>
      </c>
      <c r="C2446">
        <v>10</v>
      </c>
      <c r="D2446" t="s">
        <v>2992</v>
      </c>
      <c r="E2446" t="s">
        <v>5886</v>
      </c>
      <c r="F2446" t="s">
        <v>5887</v>
      </c>
    </row>
    <row r="2447" spans="2:6" x14ac:dyDescent="0.35">
      <c r="B2447">
        <v>4502648342</v>
      </c>
      <c r="C2447">
        <v>10</v>
      </c>
      <c r="D2447" t="s">
        <v>5888</v>
      </c>
      <c r="E2447" t="s">
        <v>3200</v>
      </c>
      <c r="F2447" t="s">
        <v>5889</v>
      </c>
    </row>
    <row r="2448" spans="2:6" x14ac:dyDescent="0.35">
      <c r="B2448">
        <v>4502648023</v>
      </c>
      <c r="C2448">
        <v>20</v>
      </c>
      <c r="D2448" t="s">
        <v>5890</v>
      </c>
      <c r="E2448" t="s">
        <v>5891</v>
      </c>
      <c r="F2448" t="s">
        <v>5892</v>
      </c>
    </row>
    <row r="2449" spans="2:6" x14ac:dyDescent="0.35">
      <c r="B2449">
        <v>4502648023</v>
      </c>
      <c r="C2449">
        <v>10</v>
      </c>
      <c r="D2449" t="s">
        <v>5893</v>
      </c>
      <c r="E2449" t="s">
        <v>5891</v>
      </c>
      <c r="F2449" t="s">
        <v>5894</v>
      </c>
    </row>
    <row r="2450" spans="2:6" x14ac:dyDescent="0.35">
      <c r="B2450">
        <v>4502647366</v>
      </c>
      <c r="C2450">
        <v>50</v>
      </c>
      <c r="D2450" t="s">
        <v>5278</v>
      </c>
      <c r="E2450" t="s">
        <v>5895</v>
      </c>
      <c r="F2450" t="s">
        <v>5896</v>
      </c>
    </row>
    <row r="2451" spans="2:6" x14ac:dyDescent="0.35">
      <c r="B2451">
        <v>4502647303</v>
      </c>
      <c r="C2451">
        <v>10</v>
      </c>
      <c r="D2451" t="s">
        <v>5897</v>
      </c>
      <c r="E2451" t="s">
        <v>4039</v>
      </c>
      <c r="F2451" t="s">
        <v>5898</v>
      </c>
    </row>
    <row r="2452" spans="2:6" x14ac:dyDescent="0.35">
      <c r="B2452">
        <v>4502647290</v>
      </c>
      <c r="C2452">
        <v>10</v>
      </c>
      <c r="D2452" t="s">
        <v>5899</v>
      </c>
      <c r="E2452" t="s">
        <v>5900</v>
      </c>
      <c r="F2452" t="s">
        <v>5901</v>
      </c>
    </row>
    <row r="2453" spans="2:6" x14ac:dyDescent="0.35">
      <c r="B2453">
        <v>4502646160</v>
      </c>
      <c r="C2453">
        <v>10</v>
      </c>
      <c r="D2453" t="s">
        <v>5902</v>
      </c>
      <c r="E2453" t="s">
        <v>3200</v>
      </c>
      <c r="F2453" t="s">
        <v>5903</v>
      </c>
    </row>
    <row r="2454" spans="2:6" x14ac:dyDescent="0.35">
      <c r="B2454">
        <v>4502643959</v>
      </c>
      <c r="C2454">
        <v>20</v>
      </c>
      <c r="D2454" t="s">
        <v>5904</v>
      </c>
      <c r="E2454" t="s">
        <v>5905</v>
      </c>
      <c r="F2454" t="s">
        <v>5906</v>
      </c>
    </row>
    <row r="2455" spans="2:6" x14ac:dyDescent="0.35">
      <c r="B2455">
        <v>4502643651</v>
      </c>
      <c r="C2455">
        <v>10</v>
      </c>
      <c r="D2455" t="s">
        <v>5907</v>
      </c>
      <c r="E2455" t="s">
        <v>3200</v>
      </c>
      <c r="F2455" t="s">
        <v>5908</v>
      </c>
    </row>
    <row r="2456" spans="2:6" x14ac:dyDescent="0.35">
      <c r="B2456">
        <v>4502642873</v>
      </c>
      <c r="C2456">
        <v>20</v>
      </c>
      <c r="D2456" t="s">
        <v>2545</v>
      </c>
      <c r="E2456" t="s">
        <v>4310</v>
      </c>
      <c r="F2456" t="s">
        <v>5909</v>
      </c>
    </row>
    <row r="2457" spans="2:6" x14ac:dyDescent="0.35">
      <c r="B2457">
        <v>4502642873</v>
      </c>
      <c r="C2457">
        <v>10</v>
      </c>
      <c r="D2457" t="s">
        <v>2688</v>
      </c>
      <c r="E2457" t="s">
        <v>4310</v>
      </c>
      <c r="F2457" t="s">
        <v>5910</v>
      </c>
    </row>
    <row r="2458" spans="2:6" x14ac:dyDescent="0.35">
      <c r="B2458">
        <v>4502642872</v>
      </c>
      <c r="C2458">
        <v>10</v>
      </c>
      <c r="D2458" t="s">
        <v>5911</v>
      </c>
      <c r="E2458" t="s">
        <v>5912</v>
      </c>
      <c r="F2458" t="s">
        <v>5913</v>
      </c>
    </row>
    <row r="2459" spans="2:6" x14ac:dyDescent="0.35">
      <c r="B2459">
        <v>4502642421</v>
      </c>
      <c r="C2459">
        <v>10</v>
      </c>
      <c r="D2459" t="s">
        <v>5899</v>
      </c>
      <c r="E2459" t="s">
        <v>3200</v>
      </c>
      <c r="F2459" t="s">
        <v>5914</v>
      </c>
    </row>
    <row r="2460" spans="2:6" x14ac:dyDescent="0.35">
      <c r="B2460">
        <v>4502641722</v>
      </c>
      <c r="C2460">
        <v>10</v>
      </c>
      <c r="D2460" t="s">
        <v>5915</v>
      </c>
      <c r="E2460" t="s">
        <v>68</v>
      </c>
      <c r="F2460" t="s">
        <v>5916</v>
      </c>
    </row>
    <row r="2461" spans="2:6" x14ac:dyDescent="0.35">
      <c r="B2461">
        <v>4502640423</v>
      </c>
      <c r="C2461">
        <v>20</v>
      </c>
      <c r="D2461" t="s">
        <v>1076</v>
      </c>
      <c r="E2461" t="s">
        <v>3200</v>
      </c>
      <c r="F2461" t="s">
        <v>5917</v>
      </c>
    </row>
    <row r="2462" spans="2:6" x14ac:dyDescent="0.35">
      <c r="B2462">
        <v>4502640423</v>
      </c>
      <c r="C2462">
        <v>10</v>
      </c>
      <c r="D2462" t="s">
        <v>1085</v>
      </c>
      <c r="E2462" t="s">
        <v>3200</v>
      </c>
      <c r="F2462" t="s">
        <v>5918</v>
      </c>
    </row>
    <row r="2463" spans="2:6" x14ac:dyDescent="0.35">
      <c r="B2463">
        <v>4502640240</v>
      </c>
      <c r="C2463">
        <v>10</v>
      </c>
      <c r="D2463" t="s">
        <v>5919</v>
      </c>
      <c r="E2463" t="s">
        <v>3200</v>
      </c>
      <c r="F2463" t="s">
        <v>5920</v>
      </c>
    </row>
    <row r="2464" spans="2:6" x14ac:dyDescent="0.35">
      <c r="B2464">
        <v>4502638202</v>
      </c>
      <c r="C2464">
        <v>10</v>
      </c>
      <c r="D2464" t="s">
        <v>5921</v>
      </c>
      <c r="E2464" t="s">
        <v>5922</v>
      </c>
      <c r="F2464" t="s">
        <v>5923</v>
      </c>
    </row>
    <row r="2465" spans="2:6" x14ac:dyDescent="0.35">
      <c r="B2465">
        <v>4502638151</v>
      </c>
      <c r="C2465">
        <v>10</v>
      </c>
      <c r="D2465" t="s">
        <v>5924</v>
      </c>
      <c r="E2465" t="s">
        <v>5925</v>
      </c>
      <c r="F2465" t="s">
        <v>5926</v>
      </c>
    </row>
    <row r="2466" spans="2:6" x14ac:dyDescent="0.35">
      <c r="B2466">
        <v>4502636613</v>
      </c>
      <c r="C2466">
        <v>10</v>
      </c>
      <c r="D2466" t="s">
        <v>5927</v>
      </c>
      <c r="E2466" t="s">
        <v>3797</v>
      </c>
      <c r="F2466" t="s">
        <v>5928</v>
      </c>
    </row>
    <row r="2467" spans="2:6" x14ac:dyDescent="0.35">
      <c r="B2467">
        <v>4502636123</v>
      </c>
      <c r="C2467">
        <v>10</v>
      </c>
      <c r="D2467" t="s">
        <v>5929</v>
      </c>
      <c r="E2467" t="s">
        <v>3200</v>
      </c>
      <c r="F2467" t="s">
        <v>5930</v>
      </c>
    </row>
    <row r="2468" spans="2:6" x14ac:dyDescent="0.35">
      <c r="B2468">
        <v>4502633344</v>
      </c>
      <c r="C2468">
        <v>40</v>
      </c>
      <c r="D2468" t="s">
        <v>5931</v>
      </c>
      <c r="E2468" t="s">
        <v>4039</v>
      </c>
      <c r="F2468" t="s">
        <v>5932</v>
      </c>
    </row>
    <row r="2469" spans="2:6" x14ac:dyDescent="0.35">
      <c r="B2469">
        <v>4502633344</v>
      </c>
      <c r="C2469">
        <v>20</v>
      </c>
      <c r="D2469" t="s">
        <v>5933</v>
      </c>
      <c r="E2469" t="s">
        <v>4039</v>
      </c>
      <c r="F2469" t="s">
        <v>5934</v>
      </c>
    </row>
    <row r="2470" spans="2:6" x14ac:dyDescent="0.35">
      <c r="B2470">
        <v>4502633344</v>
      </c>
      <c r="C2470">
        <v>10</v>
      </c>
      <c r="D2470" t="s">
        <v>5935</v>
      </c>
      <c r="E2470" t="s">
        <v>4039</v>
      </c>
      <c r="F2470" t="s">
        <v>5936</v>
      </c>
    </row>
    <row r="2471" spans="2:6" x14ac:dyDescent="0.35">
      <c r="B2471">
        <v>4502632752</v>
      </c>
      <c r="C2471">
        <v>20</v>
      </c>
      <c r="D2471" t="s">
        <v>5937</v>
      </c>
      <c r="E2471" t="s">
        <v>4039</v>
      </c>
      <c r="F2471" t="s">
        <v>5938</v>
      </c>
    </row>
    <row r="2472" spans="2:6" x14ac:dyDescent="0.35">
      <c r="B2472">
        <v>4502632752</v>
      </c>
      <c r="C2472">
        <v>10</v>
      </c>
      <c r="D2472" t="s">
        <v>5939</v>
      </c>
      <c r="E2472" t="s">
        <v>4039</v>
      </c>
      <c r="F2472" t="s">
        <v>5940</v>
      </c>
    </row>
    <row r="2473" spans="2:6" x14ac:dyDescent="0.35">
      <c r="B2473">
        <v>4502632744</v>
      </c>
      <c r="C2473">
        <v>10</v>
      </c>
      <c r="D2473" t="s">
        <v>5941</v>
      </c>
      <c r="E2473" t="s">
        <v>5942</v>
      </c>
      <c r="F2473" t="s">
        <v>5943</v>
      </c>
    </row>
    <row r="2474" spans="2:6" x14ac:dyDescent="0.35">
      <c r="B2474">
        <v>4502631739</v>
      </c>
      <c r="C2474">
        <v>10</v>
      </c>
      <c r="D2474" t="s">
        <v>279</v>
      </c>
      <c r="E2474" t="s">
        <v>5944</v>
      </c>
      <c r="F2474" t="s">
        <v>5945</v>
      </c>
    </row>
    <row r="2475" spans="2:6" x14ac:dyDescent="0.35">
      <c r="B2475">
        <v>4502631571</v>
      </c>
      <c r="C2475">
        <v>10</v>
      </c>
      <c r="D2475" t="s">
        <v>5946</v>
      </c>
      <c r="E2475" t="s">
        <v>3200</v>
      </c>
      <c r="F2475" t="s">
        <v>5947</v>
      </c>
    </row>
    <row r="2476" spans="2:6" x14ac:dyDescent="0.35">
      <c r="B2476">
        <v>4502631216</v>
      </c>
      <c r="C2476">
        <v>10</v>
      </c>
      <c r="D2476" t="s">
        <v>594</v>
      </c>
      <c r="E2476" t="s">
        <v>5948</v>
      </c>
      <c r="F2476" t="s">
        <v>5949</v>
      </c>
    </row>
    <row r="2477" spans="2:6" x14ac:dyDescent="0.35">
      <c r="B2477">
        <v>4502630963</v>
      </c>
      <c r="C2477">
        <v>10</v>
      </c>
      <c r="D2477" t="s">
        <v>5950</v>
      </c>
      <c r="E2477" t="s">
        <v>5951</v>
      </c>
      <c r="F2477" t="s">
        <v>5952</v>
      </c>
    </row>
    <row r="2478" spans="2:6" x14ac:dyDescent="0.35">
      <c r="B2478">
        <v>4502628964</v>
      </c>
      <c r="C2478">
        <v>20</v>
      </c>
      <c r="D2478" t="s">
        <v>5953</v>
      </c>
      <c r="E2478" t="s">
        <v>5954</v>
      </c>
      <c r="F2478" t="s">
        <v>5955</v>
      </c>
    </row>
    <row r="2479" spans="2:6" x14ac:dyDescent="0.35">
      <c r="B2479">
        <v>4502622123</v>
      </c>
      <c r="C2479">
        <v>20</v>
      </c>
      <c r="D2479" t="s">
        <v>5956</v>
      </c>
      <c r="E2479" t="s">
        <v>5957</v>
      </c>
      <c r="F2479" t="s">
        <v>5958</v>
      </c>
    </row>
    <row r="2480" spans="2:6" x14ac:dyDescent="0.35">
      <c r="B2480">
        <v>4502621886</v>
      </c>
      <c r="C2480">
        <v>90</v>
      </c>
      <c r="D2480" t="s">
        <v>5959</v>
      </c>
      <c r="E2480" t="s">
        <v>5861</v>
      </c>
      <c r="F2480" t="s">
        <v>5960</v>
      </c>
    </row>
    <row r="2481" spans="2:6" x14ac:dyDescent="0.35">
      <c r="B2481">
        <v>4502621886</v>
      </c>
      <c r="C2481">
        <v>80</v>
      </c>
      <c r="D2481" t="s">
        <v>5961</v>
      </c>
      <c r="E2481" t="s">
        <v>5861</v>
      </c>
      <c r="F2481" t="s">
        <v>5962</v>
      </c>
    </row>
    <row r="2482" spans="2:6" x14ac:dyDescent="0.35">
      <c r="B2482">
        <v>4502621886</v>
      </c>
      <c r="C2482">
        <v>70</v>
      </c>
      <c r="D2482" t="s">
        <v>5963</v>
      </c>
      <c r="E2482" t="s">
        <v>5861</v>
      </c>
      <c r="F2482" t="s">
        <v>5964</v>
      </c>
    </row>
    <row r="2483" spans="2:6" x14ac:dyDescent="0.35">
      <c r="B2483">
        <v>4502621886</v>
      </c>
      <c r="C2483">
        <v>60</v>
      </c>
      <c r="D2483" t="s">
        <v>5965</v>
      </c>
      <c r="E2483" t="s">
        <v>5861</v>
      </c>
      <c r="F2483" t="s">
        <v>5966</v>
      </c>
    </row>
    <row r="2484" spans="2:6" x14ac:dyDescent="0.35">
      <c r="B2484">
        <v>4502621886</v>
      </c>
      <c r="C2484">
        <v>50</v>
      </c>
      <c r="D2484" t="s">
        <v>5967</v>
      </c>
      <c r="E2484" t="s">
        <v>5861</v>
      </c>
      <c r="F2484" t="s">
        <v>5968</v>
      </c>
    </row>
    <row r="2485" spans="2:6" x14ac:dyDescent="0.35">
      <c r="B2485">
        <v>4502621886</v>
      </c>
      <c r="C2485">
        <v>40</v>
      </c>
      <c r="D2485" t="s">
        <v>5969</v>
      </c>
      <c r="E2485" t="s">
        <v>5861</v>
      </c>
      <c r="F2485" t="s">
        <v>5970</v>
      </c>
    </row>
    <row r="2486" spans="2:6" x14ac:dyDescent="0.35">
      <c r="B2486">
        <v>4502621886</v>
      </c>
      <c r="C2486">
        <v>310</v>
      </c>
      <c r="D2486" t="s">
        <v>5971</v>
      </c>
      <c r="E2486" t="s">
        <v>5861</v>
      </c>
      <c r="F2486" t="s">
        <v>5972</v>
      </c>
    </row>
    <row r="2487" spans="2:6" x14ac:dyDescent="0.35">
      <c r="B2487">
        <v>4502621886</v>
      </c>
      <c r="C2487">
        <v>300</v>
      </c>
      <c r="D2487" t="s">
        <v>5973</v>
      </c>
      <c r="E2487" t="s">
        <v>5861</v>
      </c>
      <c r="F2487" t="s">
        <v>5974</v>
      </c>
    </row>
    <row r="2488" spans="2:6" x14ac:dyDescent="0.35">
      <c r="B2488">
        <v>4502621886</v>
      </c>
      <c r="C2488">
        <v>30</v>
      </c>
      <c r="D2488" t="s">
        <v>5975</v>
      </c>
      <c r="E2488" t="s">
        <v>5861</v>
      </c>
      <c r="F2488" t="s">
        <v>5976</v>
      </c>
    </row>
    <row r="2489" spans="2:6" x14ac:dyDescent="0.35">
      <c r="B2489">
        <v>4502621886</v>
      </c>
      <c r="C2489">
        <v>290</v>
      </c>
      <c r="D2489" t="s">
        <v>5977</v>
      </c>
      <c r="E2489" t="s">
        <v>5861</v>
      </c>
      <c r="F2489" t="s">
        <v>5978</v>
      </c>
    </row>
    <row r="2490" spans="2:6" x14ac:dyDescent="0.35">
      <c r="B2490">
        <v>4502621886</v>
      </c>
      <c r="C2490">
        <v>280</v>
      </c>
      <c r="D2490" t="s">
        <v>5979</v>
      </c>
      <c r="E2490" t="s">
        <v>5861</v>
      </c>
      <c r="F2490" t="s">
        <v>5980</v>
      </c>
    </row>
    <row r="2491" spans="2:6" x14ac:dyDescent="0.35">
      <c r="B2491">
        <v>4502621886</v>
      </c>
      <c r="C2491">
        <v>270</v>
      </c>
      <c r="D2491" t="s">
        <v>5981</v>
      </c>
      <c r="E2491" t="s">
        <v>5861</v>
      </c>
      <c r="F2491" t="s">
        <v>5982</v>
      </c>
    </row>
    <row r="2492" spans="2:6" x14ac:dyDescent="0.35">
      <c r="B2492">
        <v>4502621886</v>
      </c>
      <c r="C2492">
        <v>260</v>
      </c>
      <c r="D2492" t="s">
        <v>5983</v>
      </c>
      <c r="E2492" t="s">
        <v>5861</v>
      </c>
      <c r="F2492" t="s">
        <v>5984</v>
      </c>
    </row>
    <row r="2493" spans="2:6" x14ac:dyDescent="0.35">
      <c r="B2493">
        <v>4502621886</v>
      </c>
      <c r="C2493">
        <v>250</v>
      </c>
      <c r="D2493" t="s">
        <v>5985</v>
      </c>
      <c r="E2493" t="s">
        <v>5861</v>
      </c>
      <c r="F2493" t="s">
        <v>5986</v>
      </c>
    </row>
    <row r="2494" spans="2:6" x14ac:dyDescent="0.35">
      <c r="B2494">
        <v>4502621886</v>
      </c>
      <c r="C2494">
        <v>240</v>
      </c>
      <c r="D2494" t="s">
        <v>5987</v>
      </c>
      <c r="E2494" t="s">
        <v>5861</v>
      </c>
      <c r="F2494" t="s">
        <v>5988</v>
      </c>
    </row>
    <row r="2495" spans="2:6" x14ac:dyDescent="0.35">
      <c r="B2495">
        <v>4502621886</v>
      </c>
      <c r="C2495">
        <v>230</v>
      </c>
      <c r="D2495" t="s">
        <v>5989</v>
      </c>
      <c r="E2495" t="s">
        <v>5861</v>
      </c>
      <c r="F2495" t="s">
        <v>5990</v>
      </c>
    </row>
    <row r="2496" spans="2:6" x14ac:dyDescent="0.35">
      <c r="B2496">
        <v>4502621886</v>
      </c>
      <c r="C2496">
        <v>220</v>
      </c>
      <c r="D2496" t="s">
        <v>5991</v>
      </c>
      <c r="E2496" t="s">
        <v>5861</v>
      </c>
      <c r="F2496" t="s">
        <v>5992</v>
      </c>
    </row>
    <row r="2497" spans="2:6" x14ac:dyDescent="0.35">
      <c r="B2497">
        <v>4502621886</v>
      </c>
      <c r="C2497">
        <v>210</v>
      </c>
      <c r="D2497" t="s">
        <v>5993</v>
      </c>
      <c r="E2497" t="s">
        <v>5861</v>
      </c>
      <c r="F2497" t="s">
        <v>5994</v>
      </c>
    </row>
    <row r="2498" spans="2:6" x14ac:dyDescent="0.35">
      <c r="B2498">
        <v>4502621886</v>
      </c>
      <c r="C2498">
        <v>200</v>
      </c>
      <c r="D2498" t="s">
        <v>5995</v>
      </c>
      <c r="E2498" t="s">
        <v>5861</v>
      </c>
      <c r="F2498" t="s">
        <v>5996</v>
      </c>
    </row>
    <row r="2499" spans="2:6" x14ac:dyDescent="0.35">
      <c r="B2499">
        <v>4502621886</v>
      </c>
      <c r="C2499">
        <v>20</v>
      </c>
      <c r="D2499" t="s">
        <v>5997</v>
      </c>
      <c r="E2499" t="s">
        <v>5861</v>
      </c>
      <c r="F2499" t="s">
        <v>5998</v>
      </c>
    </row>
    <row r="2500" spans="2:6" x14ac:dyDescent="0.35">
      <c r="B2500">
        <v>4502621886</v>
      </c>
      <c r="C2500">
        <v>190</v>
      </c>
      <c r="D2500" t="s">
        <v>5999</v>
      </c>
      <c r="E2500" t="s">
        <v>5861</v>
      </c>
      <c r="F2500" t="s">
        <v>6000</v>
      </c>
    </row>
    <row r="2501" spans="2:6" x14ac:dyDescent="0.35">
      <c r="B2501">
        <v>4502621886</v>
      </c>
      <c r="C2501">
        <v>180</v>
      </c>
      <c r="D2501" t="s">
        <v>6001</v>
      </c>
      <c r="E2501" t="s">
        <v>5861</v>
      </c>
      <c r="F2501" t="s">
        <v>6002</v>
      </c>
    </row>
    <row r="2502" spans="2:6" x14ac:dyDescent="0.35">
      <c r="B2502">
        <v>4502621886</v>
      </c>
      <c r="C2502">
        <v>170</v>
      </c>
      <c r="D2502" t="s">
        <v>6003</v>
      </c>
      <c r="E2502" t="s">
        <v>5861</v>
      </c>
      <c r="F2502" t="s">
        <v>6004</v>
      </c>
    </row>
    <row r="2503" spans="2:6" x14ac:dyDescent="0.35">
      <c r="B2503">
        <v>4502621886</v>
      </c>
      <c r="C2503">
        <v>160</v>
      </c>
      <c r="D2503" t="s">
        <v>6005</v>
      </c>
      <c r="E2503" t="s">
        <v>5861</v>
      </c>
      <c r="F2503" t="s">
        <v>6006</v>
      </c>
    </row>
    <row r="2504" spans="2:6" x14ac:dyDescent="0.35">
      <c r="B2504">
        <v>4502621886</v>
      </c>
      <c r="C2504">
        <v>150</v>
      </c>
      <c r="D2504" t="s">
        <v>6007</v>
      </c>
      <c r="E2504" t="s">
        <v>5861</v>
      </c>
      <c r="F2504" t="s">
        <v>6008</v>
      </c>
    </row>
    <row r="2505" spans="2:6" x14ac:dyDescent="0.35">
      <c r="B2505">
        <v>4502621886</v>
      </c>
      <c r="C2505">
        <v>140</v>
      </c>
      <c r="D2505" t="s">
        <v>6009</v>
      </c>
      <c r="E2505" t="s">
        <v>5861</v>
      </c>
      <c r="F2505" t="s">
        <v>6010</v>
      </c>
    </row>
    <row r="2506" spans="2:6" x14ac:dyDescent="0.35">
      <c r="B2506">
        <v>4502621886</v>
      </c>
      <c r="C2506">
        <v>130</v>
      </c>
      <c r="D2506" t="s">
        <v>6011</v>
      </c>
      <c r="E2506" t="s">
        <v>5861</v>
      </c>
      <c r="F2506" t="s">
        <v>6012</v>
      </c>
    </row>
    <row r="2507" spans="2:6" x14ac:dyDescent="0.35">
      <c r="B2507">
        <v>4502621886</v>
      </c>
      <c r="C2507">
        <v>120</v>
      </c>
      <c r="D2507" t="s">
        <v>6013</v>
      </c>
      <c r="E2507" t="s">
        <v>5861</v>
      </c>
      <c r="F2507" t="s">
        <v>6014</v>
      </c>
    </row>
    <row r="2508" spans="2:6" x14ac:dyDescent="0.35">
      <c r="B2508">
        <v>4502621886</v>
      </c>
      <c r="C2508">
        <v>110</v>
      </c>
      <c r="D2508" t="s">
        <v>6015</v>
      </c>
      <c r="E2508" t="s">
        <v>5861</v>
      </c>
      <c r="F2508" t="s">
        <v>6016</v>
      </c>
    </row>
    <row r="2509" spans="2:6" x14ac:dyDescent="0.35">
      <c r="B2509">
        <v>4502621886</v>
      </c>
      <c r="C2509">
        <v>100</v>
      </c>
      <c r="D2509" t="s">
        <v>6017</v>
      </c>
      <c r="E2509" t="s">
        <v>5861</v>
      </c>
      <c r="F2509" t="s">
        <v>6018</v>
      </c>
    </row>
    <row r="2510" spans="2:6" x14ac:dyDescent="0.35">
      <c r="B2510">
        <v>4502621886</v>
      </c>
      <c r="C2510">
        <v>10</v>
      </c>
      <c r="D2510" t="s">
        <v>6019</v>
      </c>
      <c r="E2510" t="s">
        <v>5861</v>
      </c>
      <c r="F2510" t="s">
        <v>6020</v>
      </c>
    </row>
    <row r="2511" spans="2:6" x14ac:dyDescent="0.35">
      <c r="B2511">
        <v>4502621594</v>
      </c>
      <c r="C2511">
        <v>10</v>
      </c>
      <c r="D2511" t="s">
        <v>1714</v>
      </c>
      <c r="E2511" t="s">
        <v>6021</v>
      </c>
      <c r="F2511" t="s">
        <v>6022</v>
      </c>
    </row>
    <row r="2512" spans="2:6" x14ac:dyDescent="0.35">
      <c r="B2512">
        <v>4502620991</v>
      </c>
      <c r="C2512">
        <v>10</v>
      </c>
      <c r="D2512" t="s">
        <v>163</v>
      </c>
      <c r="E2512" t="s">
        <v>4039</v>
      </c>
      <c r="F2512" t="s">
        <v>6023</v>
      </c>
    </row>
    <row r="2513" spans="2:6" x14ac:dyDescent="0.35">
      <c r="B2513">
        <v>4502619469</v>
      </c>
      <c r="C2513">
        <v>90</v>
      </c>
      <c r="D2513" t="s">
        <v>6024</v>
      </c>
      <c r="E2513" t="s">
        <v>68</v>
      </c>
      <c r="F2513" t="s">
        <v>6025</v>
      </c>
    </row>
    <row r="2514" spans="2:6" x14ac:dyDescent="0.35">
      <c r="B2514">
        <v>4502619469</v>
      </c>
      <c r="C2514">
        <v>100</v>
      </c>
      <c r="D2514" t="s">
        <v>6026</v>
      </c>
      <c r="E2514" t="s">
        <v>5905</v>
      </c>
      <c r="F2514" t="s">
        <v>6027</v>
      </c>
    </row>
    <row r="2515" spans="2:6" x14ac:dyDescent="0.35">
      <c r="B2515">
        <v>4502616520</v>
      </c>
      <c r="C2515">
        <v>10</v>
      </c>
      <c r="D2515" t="s">
        <v>6028</v>
      </c>
      <c r="E2515" t="s">
        <v>3200</v>
      </c>
      <c r="F2515" t="s">
        <v>6029</v>
      </c>
    </row>
    <row r="2516" spans="2:6" x14ac:dyDescent="0.35">
      <c r="B2516">
        <v>4502614423</v>
      </c>
      <c r="C2516">
        <v>10</v>
      </c>
      <c r="D2516" t="s">
        <v>5890</v>
      </c>
      <c r="E2516" t="s">
        <v>3200</v>
      </c>
      <c r="F2516" t="s">
        <v>6030</v>
      </c>
    </row>
    <row r="2517" spans="2:6" x14ac:dyDescent="0.35">
      <c r="B2517">
        <v>4502611854</v>
      </c>
      <c r="C2517">
        <v>10</v>
      </c>
      <c r="D2517" t="s">
        <v>1078</v>
      </c>
      <c r="E2517" t="s">
        <v>6031</v>
      </c>
      <c r="F2517" t="s">
        <v>6032</v>
      </c>
    </row>
    <row r="2518" spans="2:6" x14ac:dyDescent="0.35">
      <c r="B2518">
        <v>4502611588</v>
      </c>
      <c r="C2518">
        <v>30</v>
      </c>
      <c r="D2518" t="s">
        <v>6033</v>
      </c>
      <c r="E2518" t="s">
        <v>6034</v>
      </c>
      <c r="F2518" t="s">
        <v>6035</v>
      </c>
    </row>
    <row r="2519" spans="2:6" x14ac:dyDescent="0.35">
      <c r="B2519">
        <v>4502611557</v>
      </c>
      <c r="C2519">
        <v>10</v>
      </c>
      <c r="D2519" t="s">
        <v>6036</v>
      </c>
      <c r="E2519" t="s">
        <v>3200</v>
      </c>
      <c r="F2519" t="s">
        <v>6037</v>
      </c>
    </row>
    <row r="2520" spans="2:6" x14ac:dyDescent="0.35">
      <c r="B2520">
        <v>4502606234</v>
      </c>
      <c r="C2520">
        <v>20</v>
      </c>
      <c r="D2520" t="s">
        <v>6038</v>
      </c>
      <c r="E2520" t="s">
        <v>3200</v>
      </c>
      <c r="F2520" t="s">
        <v>6039</v>
      </c>
    </row>
    <row r="2521" spans="2:6" x14ac:dyDescent="0.35">
      <c r="B2521">
        <v>4502603384</v>
      </c>
      <c r="C2521">
        <v>10</v>
      </c>
      <c r="D2521" t="s">
        <v>4457</v>
      </c>
      <c r="E2521" t="s">
        <v>3200</v>
      </c>
      <c r="F2521" t="s">
        <v>6040</v>
      </c>
    </row>
    <row r="2522" spans="2:6" x14ac:dyDescent="0.35">
      <c r="B2522">
        <v>4502593373</v>
      </c>
      <c r="C2522">
        <v>10</v>
      </c>
      <c r="D2522" t="s">
        <v>6041</v>
      </c>
      <c r="E2522" t="s">
        <v>3200</v>
      </c>
      <c r="F2522" t="s">
        <v>6042</v>
      </c>
    </row>
    <row r="2523" spans="2:6" x14ac:dyDescent="0.35">
      <c r="B2523">
        <v>4502592802</v>
      </c>
      <c r="C2523">
        <v>20</v>
      </c>
      <c r="D2523" t="s">
        <v>6043</v>
      </c>
      <c r="E2523" t="s">
        <v>6044</v>
      </c>
      <c r="F2523" t="s">
        <v>6045</v>
      </c>
    </row>
    <row r="2524" spans="2:6" x14ac:dyDescent="0.35">
      <c r="B2524">
        <v>4502592802</v>
      </c>
      <c r="C2524">
        <v>10</v>
      </c>
      <c r="D2524" t="s">
        <v>6046</v>
      </c>
      <c r="E2524" t="s">
        <v>6044</v>
      </c>
      <c r="F2524" t="s">
        <v>6047</v>
      </c>
    </row>
    <row r="2525" spans="2:6" x14ac:dyDescent="0.35">
      <c r="B2525">
        <v>4502589219</v>
      </c>
      <c r="C2525">
        <v>30</v>
      </c>
      <c r="D2525" t="s">
        <v>6048</v>
      </c>
      <c r="E2525" t="s">
        <v>4039</v>
      </c>
      <c r="F2525" t="s">
        <v>6049</v>
      </c>
    </row>
    <row r="2526" spans="2:6" x14ac:dyDescent="0.35">
      <c r="B2526">
        <v>4502589219</v>
      </c>
      <c r="C2526">
        <v>20</v>
      </c>
      <c r="D2526" t="s">
        <v>6050</v>
      </c>
      <c r="E2526" t="s">
        <v>4039</v>
      </c>
      <c r="F2526" t="s">
        <v>6051</v>
      </c>
    </row>
    <row r="2527" spans="2:6" x14ac:dyDescent="0.35">
      <c r="B2527">
        <v>4502589219</v>
      </c>
      <c r="C2527">
        <v>10</v>
      </c>
      <c r="D2527" t="s">
        <v>6052</v>
      </c>
      <c r="E2527" t="s">
        <v>4039</v>
      </c>
      <c r="F2527" t="s">
        <v>6053</v>
      </c>
    </row>
    <row r="2528" spans="2:6" x14ac:dyDescent="0.35">
      <c r="B2528">
        <v>4502584630</v>
      </c>
      <c r="C2528">
        <v>10</v>
      </c>
      <c r="D2528" t="s">
        <v>6054</v>
      </c>
      <c r="E2528" t="s">
        <v>3200</v>
      </c>
      <c r="F2528" t="s">
        <v>6055</v>
      </c>
    </row>
    <row r="2529" spans="2:6" x14ac:dyDescent="0.35">
      <c r="B2529">
        <v>4502580325</v>
      </c>
      <c r="C2529">
        <v>20</v>
      </c>
      <c r="D2529" t="s">
        <v>6056</v>
      </c>
      <c r="E2529" t="s">
        <v>4764</v>
      </c>
      <c r="F2529" t="s">
        <v>6057</v>
      </c>
    </row>
    <row r="2530" spans="2:6" x14ac:dyDescent="0.35">
      <c r="B2530">
        <v>4502580088</v>
      </c>
      <c r="C2530">
        <v>20</v>
      </c>
      <c r="D2530" t="s">
        <v>6058</v>
      </c>
      <c r="E2530" t="s">
        <v>3200</v>
      </c>
      <c r="F2530" t="s">
        <v>6059</v>
      </c>
    </row>
    <row r="2531" spans="2:6" x14ac:dyDescent="0.35">
      <c r="B2531">
        <v>4502580088</v>
      </c>
      <c r="C2531">
        <v>10</v>
      </c>
      <c r="D2531" t="s">
        <v>6060</v>
      </c>
      <c r="E2531" t="s">
        <v>3200</v>
      </c>
      <c r="F2531" t="s">
        <v>6061</v>
      </c>
    </row>
    <row r="2532" spans="2:6" x14ac:dyDescent="0.35">
      <c r="B2532">
        <v>4502578540</v>
      </c>
      <c r="C2532">
        <v>10</v>
      </c>
      <c r="D2532" t="s">
        <v>6062</v>
      </c>
      <c r="E2532" t="s">
        <v>3200</v>
      </c>
      <c r="F2532" t="s">
        <v>6063</v>
      </c>
    </row>
    <row r="2533" spans="2:6" x14ac:dyDescent="0.35">
      <c r="B2533">
        <v>4502578370</v>
      </c>
      <c r="C2533">
        <v>160</v>
      </c>
      <c r="D2533" t="s">
        <v>6064</v>
      </c>
      <c r="E2533" t="s">
        <v>4761</v>
      </c>
      <c r="F2533" t="s">
        <v>6065</v>
      </c>
    </row>
    <row r="2534" spans="2:6" x14ac:dyDescent="0.35">
      <c r="B2534">
        <v>4502575379</v>
      </c>
      <c r="C2534">
        <v>10</v>
      </c>
      <c r="D2534" t="s">
        <v>1080</v>
      </c>
      <c r="E2534" t="s">
        <v>5651</v>
      </c>
      <c r="F2534" t="s">
        <v>6066</v>
      </c>
    </row>
    <row r="2535" spans="2:6" x14ac:dyDescent="0.35">
      <c r="B2535">
        <v>4502559494</v>
      </c>
      <c r="C2535">
        <v>10</v>
      </c>
      <c r="D2535" t="s">
        <v>6067</v>
      </c>
      <c r="E2535" t="s">
        <v>4039</v>
      </c>
      <c r="F2535" t="s">
        <v>6068</v>
      </c>
    </row>
    <row r="2536" spans="2:6" x14ac:dyDescent="0.35">
      <c r="B2536">
        <v>4502558668</v>
      </c>
      <c r="C2536">
        <v>10</v>
      </c>
      <c r="D2536" t="s">
        <v>6069</v>
      </c>
      <c r="E2536" t="s">
        <v>3200</v>
      </c>
      <c r="F2536" t="s">
        <v>6070</v>
      </c>
    </row>
    <row r="2537" spans="2:6" x14ac:dyDescent="0.35">
      <c r="B2537">
        <v>4502558038</v>
      </c>
      <c r="C2537">
        <v>10</v>
      </c>
      <c r="D2537" t="s">
        <v>6071</v>
      </c>
      <c r="E2537" t="s">
        <v>3200</v>
      </c>
      <c r="F2537" t="s">
        <v>6072</v>
      </c>
    </row>
    <row r="2538" spans="2:6" x14ac:dyDescent="0.35">
      <c r="B2538">
        <v>4502557640</v>
      </c>
      <c r="C2538">
        <v>10</v>
      </c>
      <c r="D2538" t="s">
        <v>6073</v>
      </c>
      <c r="E2538" t="s">
        <v>4039</v>
      </c>
      <c r="F2538" t="s">
        <v>6074</v>
      </c>
    </row>
    <row r="2539" spans="2:6" x14ac:dyDescent="0.35">
      <c r="B2539">
        <v>4502552059</v>
      </c>
      <c r="C2539">
        <v>10</v>
      </c>
      <c r="D2539" t="s">
        <v>6075</v>
      </c>
      <c r="E2539" t="s">
        <v>4039</v>
      </c>
      <c r="F2539" t="s">
        <v>6076</v>
      </c>
    </row>
    <row r="2540" spans="2:6" x14ac:dyDescent="0.35">
      <c r="B2540">
        <v>4502551871</v>
      </c>
      <c r="C2540">
        <v>60</v>
      </c>
      <c r="D2540" t="s">
        <v>6077</v>
      </c>
      <c r="E2540" t="s">
        <v>6078</v>
      </c>
      <c r="F2540" t="s">
        <v>6079</v>
      </c>
    </row>
    <row r="2541" spans="2:6" x14ac:dyDescent="0.35">
      <c r="B2541">
        <v>4502551871</v>
      </c>
      <c r="C2541">
        <v>50</v>
      </c>
      <c r="D2541" t="s">
        <v>6080</v>
      </c>
      <c r="E2541" t="s">
        <v>4039</v>
      </c>
      <c r="F2541" t="s">
        <v>6081</v>
      </c>
    </row>
    <row r="2542" spans="2:6" x14ac:dyDescent="0.35">
      <c r="B2542">
        <v>4502551871</v>
      </c>
      <c r="C2542">
        <v>40</v>
      </c>
      <c r="D2542" t="s">
        <v>6082</v>
      </c>
      <c r="E2542" t="s">
        <v>4039</v>
      </c>
      <c r="F2542" t="s">
        <v>6083</v>
      </c>
    </row>
    <row r="2543" spans="2:6" x14ac:dyDescent="0.35">
      <c r="B2543">
        <v>4502551871</v>
      </c>
      <c r="C2543">
        <v>30</v>
      </c>
      <c r="D2543" t="s">
        <v>6084</v>
      </c>
      <c r="E2543" t="s">
        <v>4039</v>
      </c>
      <c r="F2543" t="s">
        <v>6085</v>
      </c>
    </row>
    <row r="2544" spans="2:6" x14ac:dyDescent="0.35">
      <c r="B2544">
        <v>4502551871</v>
      </c>
      <c r="C2544">
        <v>20</v>
      </c>
      <c r="D2544" t="s">
        <v>6086</v>
      </c>
      <c r="E2544" t="s">
        <v>4039</v>
      </c>
      <c r="F2544" t="s">
        <v>6087</v>
      </c>
    </row>
    <row r="2545" spans="2:6" x14ac:dyDescent="0.35">
      <c r="B2545">
        <v>4502551871</v>
      </c>
      <c r="C2545">
        <v>10</v>
      </c>
      <c r="D2545" t="s">
        <v>6088</v>
      </c>
      <c r="E2545" t="s">
        <v>4039</v>
      </c>
      <c r="F2545" t="s">
        <v>6089</v>
      </c>
    </row>
    <row r="2546" spans="2:6" x14ac:dyDescent="0.35">
      <c r="B2546">
        <v>4502540261</v>
      </c>
      <c r="C2546">
        <v>10</v>
      </c>
      <c r="D2546" t="s">
        <v>6090</v>
      </c>
      <c r="E2546" t="s">
        <v>4764</v>
      </c>
      <c r="F2546" t="s">
        <v>6091</v>
      </c>
    </row>
    <row r="2547" spans="2:6" x14ac:dyDescent="0.35">
      <c r="B2547">
        <v>4502539480</v>
      </c>
      <c r="C2547">
        <v>150</v>
      </c>
      <c r="D2547" t="s">
        <v>6024</v>
      </c>
      <c r="E2547" t="s">
        <v>68</v>
      </c>
      <c r="F2547" t="s">
        <v>6092</v>
      </c>
    </row>
    <row r="2548" spans="2:6" x14ac:dyDescent="0.35">
      <c r="B2548">
        <v>4502531872</v>
      </c>
      <c r="C2548">
        <v>10</v>
      </c>
      <c r="D2548" t="s">
        <v>5897</v>
      </c>
      <c r="E2548" t="s">
        <v>3200</v>
      </c>
      <c r="F2548" t="s">
        <v>6093</v>
      </c>
    </row>
    <row r="2549" spans="2:6" x14ac:dyDescent="0.35">
      <c r="B2549">
        <v>4502527765</v>
      </c>
      <c r="C2549">
        <v>100</v>
      </c>
      <c r="D2549" t="s">
        <v>6094</v>
      </c>
      <c r="E2549" t="s">
        <v>6095</v>
      </c>
      <c r="F2549" t="s">
        <v>6096</v>
      </c>
    </row>
    <row r="2550" spans="2:6" x14ac:dyDescent="0.35">
      <c r="B2550">
        <v>4502523929</v>
      </c>
      <c r="C2550">
        <v>10</v>
      </c>
      <c r="D2550" t="s">
        <v>6097</v>
      </c>
      <c r="E2550" t="s">
        <v>6098</v>
      </c>
      <c r="F2550" t="s">
        <v>6099</v>
      </c>
    </row>
    <row r="2551" spans="2:6" x14ac:dyDescent="0.35">
      <c r="B2551">
        <v>4502519178</v>
      </c>
      <c r="C2551">
        <v>10</v>
      </c>
      <c r="D2551" t="s">
        <v>6100</v>
      </c>
      <c r="E2551" t="s">
        <v>4761</v>
      </c>
      <c r="F2551" t="s">
        <v>6101</v>
      </c>
    </row>
    <row r="2552" spans="2:6" x14ac:dyDescent="0.35">
      <c r="B2552">
        <v>4502514425</v>
      </c>
      <c r="C2552">
        <v>10</v>
      </c>
      <c r="D2552" t="s">
        <v>6102</v>
      </c>
      <c r="E2552" t="s">
        <v>4761</v>
      </c>
      <c r="F2552" t="s">
        <v>6103</v>
      </c>
    </row>
    <row r="2553" spans="2:6" x14ac:dyDescent="0.35">
      <c r="B2553">
        <v>4502513186</v>
      </c>
      <c r="C2553">
        <v>20</v>
      </c>
      <c r="D2553" t="s">
        <v>6104</v>
      </c>
      <c r="E2553" t="s">
        <v>6105</v>
      </c>
      <c r="F2553" t="s">
        <v>6106</v>
      </c>
    </row>
    <row r="2554" spans="2:6" x14ac:dyDescent="0.35">
      <c r="B2554">
        <v>4502513186</v>
      </c>
      <c r="C2554">
        <v>10</v>
      </c>
      <c r="D2554" t="s">
        <v>6107</v>
      </c>
      <c r="E2554" t="s">
        <v>6105</v>
      </c>
      <c r="F2554" t="s">
        <v>6108</v>
      </c>
    </row>
    <row r="2555" spans="2:6" x14ac:dyDescent="0.35">
      <c r="B2555">
        <v>4502511982</v>
      </c>
      <c r="C2555">
        <v>10</v>
      </c>
      <c r="D2555" t="s">
        <v>652</v>
      </c>
      <c r="E2555" t="s">
        <v>4764</v>
      </c>
      <c r="F2555" t="s">
        <v>6109</v>
      </c>
    </row>
    <row r="2556" spans="2:6" x14ac:dyDescent="0.35">
      <c r="B2556">
        <v>4502511055</v>
      </c>
      <c r="C2556">
        <v>10</v>
      </c>
      <c r="D2556" t="s">
        <v>6110</v>
      </c>
      <c r="E2556" t="s">
        <v>6105</v>
      </c>
      <c r="F2556" t="s">
        <v>6111</v>
      </c>
    </row>
    <row r="2557" spans="2:6" x14ac:dyDescent="0.35">
      <c r="B2557">
        <v>4502509107</v>
      </c>
      <c r="C2557">
        <v>10</v>
      </c>
      <c r="D2557" t="s">
        <v>6112</v>
      </c>
      <c r="E2557" t="s">
        <v>3200</v>
      </c>
      <c r="F2557" t="s">
        <v>6113</v>
      </c>
    </row>
    <row r="2558" spans="2:6" x14ac:dyDescent="0.35">
      <c r="B2558">
        <v>4502508530</v>
      </c>
      <c r="C2558">
        <v>10</v>
      </c>
      <c r="D2558" t="s">
        <v>6114</v>
      </c>
      <c r="E2558" t="s">
        <v>4039</v>
      </c>
      <c r="F2558" t="s">
        <v>6115</v>
      </c>
    </row>
    <row r="2559" spans="2:6" x14ac:dyDescent="0.35">
      <c r="B2559">
        <v>4502508212</v>
      </c>
      <c r="C2559">
        <v>10</v>
      </c>
      <c r="D2559" t="s">
        <v>6116</v>
      </c>
      <c r="E2559" t="s">
        <v>6105</v>
      </c>
      <c r="F2559" t="s">
        <v>6117</v>
      </c>
    </row>
    <row r="2560" spans="2:6" x14ac:dyDescent="0.35">
      <c r="B2560">
        <v>4502507713</v>
      </c>
      <c r="C2560">
        <v>10</v>
      </c>
      <c r="D2560" t="s">
        <v>6118</v>
      </c>
      <c r="E2560" t="s">
        <v>4039</v>
      </c>
      <c r="F2560" t="s">
        <v>6119</v>
      </c>
    </row>
    <row r="2561" spans="2:6" x14ac:dyDescent="0.35">
      <c r="B2561">
        <v>4502507367</v>
      </c>
      <c r="C2561">
        <v>10</v>
      </c>
      <c r="D2561" t="s">
        <v>1884</v>
      </c>
      <c r="E2561" t="s">
        <v>6120</v>
      </c>
      <c r="F2561" t="s">
        <v>6121</v>
      </c>
    </row>
    <row r="2562" spans="2:6" x14ac:dyDescent="0.35">
      <c r="B2562">
        <v>4502507265</v>
      </c>
      <c r="C2562">
        <v>10</v>
      </c>
      <c r="D2562" t="s">
        <v>6122</v>
      </c>
      <c r="E2562" t="s">
        <v>4039</v>
      </c>
      <c r="F2562" t="s">
        <v>6123</v>
      </c>
    </row>
    <row r="2563" spans="2:6" x14ac:dyDescent="0.35">
      <c r="B2563">
        <v>4502507044</v>
      </c>
      <c r="C2563">
        <v>30</v>
      </c>
      <c r="D2563" t="s">
        <v>6124</v>
      </c>
      <c r="E2563" t="s">
        <v>4039</v>
      </c>
      <c r="F2563" t="s">
        <v>6125</v>
      </c>
    </row>
    <row r="2564" spans="2:6" x14ac:dyDescent="0.35">
      <c r="B2564">
        <v>4502507044</v>
      </c>
      <c r="C2564">
        <v>20</v>
      </c>
      <c r="D2564" t="s">
        <v>6126</v>
      </c>
      <c r="E2564" t="s">
        <v>4039</v>
      </c>
      <c r="F2564" t="s">
        <v>6127</v>
      </c>
    </row>
    <row r="2565" spans="2:6" x14ac:dyDescent="0.35">
      <c r="B2565">
        <v>4502507044</v>
      </c>
      <c r="C2565">
        <v>10</v>
      </c>
      <c r="D2565" t="s">
        <v>6128</v>
      </c>
      <c r="E2565" t="s">
        <v>4039</v>
      </c>
      <c r="F2565" t="s">
        <v>6129</v>
      </c>
    </row>
    <row r="2566" spans="2:6" x14ac:dyDescent="0.35">
      <c r="B2566">
        <v>4502506019</v>
      </c>
      <c r="C2566">
        <v>10</v>
      </c>
      <c r="D2566" t="s">
        <v>1869</v>
      </c>
      <c r="E2566" t="s">
        <v>4039</v>
      </c>
      <c r="F2566" t="s">
        <v>6130</v>
      </c>
    </row>
    <row r="2567" spans="2:6" x14ac:dyDescent="0.35">
      <c r="B2567">
        <v>4502505980</v>
      </c>
      <c r="C2567">
        <v>20</v>
      </c>
      <c r="D2567" t="s">
        <v>6131</v>
      </c>
      <c r="E2567" t="s">
        <v>4039</v>
      </c>
      <c r="F2567" t="s">
        <v>6132</v>
      </c>
    </row>
    <row r="2568" spans="2:6" x14ac:dyDescent="0.35">
      <c r="B2568">
        <v>4502505980</v>
      </c>
      <c r="C2568">
        <v>10</v>
      </c>
      <c r="D2568" t="s">
        <v>6133</v>
      </c>
      <c r="E2568" t="s">
        <v>4039</v>
      </c>
      <c r="F2568" t="s">
        <v>6134</v>
      </c>
    </row>
    <row r="2569" spans="2:6" x14ac:dyDescent="0.35">
      <c r="B2569">
        <v>4502505914</v>
      </c>
      <c r="C2569">
        <v>10</v>
      </c>
      <c r="D2569" t="s">
        <v>6110</v>
      </c>
      <c r="E2569" t="s">
        <v>4039</v>
      </c>
      <c r="F2569" t="s">
        <v>6135</v>
      </c>
    </row>
    <row r="2570" spans="2:6" x14ac:dyDescent="0.35">
      <c r="B2570">
        <v>4502503608</v>
      </c>
      <c r="C2570">
        <v>10</v>
      </c>
      <c r="D2570" t="s">
        <v>683</v>
      </c>
      <c r="E2570" t="s">
        <v>4044</v>
      </c>
      <c r="F2570" t="s">
        <v>6136</v>
      </c>
    </row>
    <row r="2571" spans="2:6" x14ac:dyDescent="0.35">
      <c r="B2571">
        <v>4502496645</v>
      </c>
      <c r="C2571">
        <v>10</v>
      </c>
      <c r="D2571" t="s">
        <v>6137</v>
      </c>
      <c r="E2571" t="s">
        <v>4039</v>
      </c>
      <c r="F2571" t="s">
        <v>6138</v>
      </c>
    </row>
    <row r="2572" spans="2:6" x14ac:dyDescent="0.35">
      <c r="B2572">
        <v>4502495015</v>
      </c>
      <c r="C2572">
        <v>20</v>
      </c>
      <c r="D2572" t="s">
        <v>6139</v>
      </c>
      <c r="E2572" t="s">
        <v>4039</v>
      </c>
      <c r="F2572" t="s">
        <v>6140</v>
      </c>
    </row>
    <row r="2573" spans="2:6" x14ac:dyDescent="0.35">
      <c r="B2573">
        <v>4502493665</v>
      </c>
      <c r="C2573">
        <v>20</v>
      </c>
      <c r="D2573" t="s">
        <v>5897</v>
      </c>
      <c r="E2573" t="s">
        <v>4039</v>
      </c>
      <c r="F2573" t="s">
        <v>6141</v>
      </c>
    </row>
    <row r="2574" spans="2:6" x14ac:dyDescent="0.35">
      <c r="B2574">
        <v>4502493665</v>
      </c>
      <c r="C2574">
        <v>10</v>
      </c>
      <c r="D2574" t="s">
        <v>5899</v>
      </c>
      <c r="E2574" t="s">
        <v>4039</v>
      </c>
      <c r="F2574" t="s">
        <v>6142</v>
      </c>
    </row>
    <row r="2575" spans="2:6" x14ac:dyDescent="0.35">
      <c r="B2575">
        <v>4502493417</v>
      </c>
      <c r="C2575">
        <v>10</v>
      </c>
      <c r="D2575" t="s">
        <v>6143</v>
      </c>
      <c r="E2575" t="s">
        <v>4039</v>
      </c>
      <c r="F2575" t="s">
        <v>6144</v>
      </c>
    </row>
    <row r="2576" spans="2:6" x14ac:dyDescent="0.35">
      <c r="B2576">
        <v>4502487514</v>
      </c>
      <c r="C2576">
        <v>10</v>
      </c>
      <c r="D2576" t="s">
        <v>6145</v>
      </c>
      <c r="E2576" t="s">
        <v>4039</v>
      </c>
      <c r="F2576" t="s">
        <v>6146</v>
      </c>
    </row>
    <row r="2577" spans="2:6" x14ac:dyDescent="0.35">
      <c r="B2577">
        <v>4502486666</v>
      </c>
      <c r="C2577">
        <v>10</v>
      </c>
      <c r="D2577" t="s">
        <v>6147</v>
      </c>
      <c r="E2577" t="s">
        <v>4039</v>
      </c>
      <c r="F2577" t="s">
        <v>6148</v>
      </c>
    </row>
    <row r="2578" spans="2:6" x14ac:dyDescent="0.35">
      <c r="B2578">
        <v>4502486323</v>
      </c>
      <c r="C2578">
        <v>10</v>
      </c>
      <c r="D2578" t="s">
        <v>617</v>
      </c>
      <c r="E2578" t="s">
        <v>6149</v>
      </c>
      <c r="F2578" t="s">
        <v>6150</v>
      </c>
    </row>
    <row r="2579" spans="2:6" x14ac:dyDescent="0.35">
      <c r="B2579">
        <v>4502484904</v>
      </c>
      <c r="C2579">
        <v>20</v>
      </c>
      <c r="D2579" t="s">
        <v>6151</v>
      </c>
      <c r="E2579" t="s">
        <v>4039</v>
      </c>
      <c r="F2579" t="s">
        <v>6152</v>
      </c>
    </row>
    <row r="2580" spans="2:6" x14ac:dyDescent="0.35">
      <c r="B2580">
        <v>4502478852</v>
      </c>
      <c r="C2580">
        <v>10</v>
      </c>
      <c r="D2580" t="s">
        <v>6153</v>
      </c>
      <c r="E2580" t="s">
        <v>4039</v>
      </c>
      <c r="F2580" t="s">
        <v>6154</v>
      </c>
    </row>
    <row r="2581" spans="2:6" x14ac:dyDescent="0.35">
      <c r="B2581">
        <v>4502475877</v>
      </c>
      <c r="C2581">
        <v>10</v>
      </c>
      <c r="D2581" t="s">
        <v>6155</v>
      </c>
      <c r="E2581" t="s">
        <v>4039</v>
      </c>
      <c r="F2581" t="s">
        <v>6156</v>
      </c>
    </row>
    <row r="2582" spans="2:6" x14ac:dyDescent="0.35">
      <c r="B2582">
        <v>4502474054</v>
      </c>
      <c r="C2582">
        <v>20</v>
      </c>
      <c r="D2582" t="s">
        <v>6157</v>
      </c>
      <c r="E2582" t="s">
        <v>4039</v>
      </c>
      <c r="F2582" t="s">
        <v>6158</v>
      </c>
    </row>
    <row r="2583" spans="2:6" x14ac:dyDescent="0.35">
      <c r="B2583">
        <v>4502473393</v>
      </c>
      <c r="C2583">
        <v>10</v>
      </c>
      <c r="D2583" t="s">
        <v>6159</v>
      </c>
      <c r="E2583" t="s">
        <v>4039</v>
      </c>
      <c r="F2583" t="s">
        <v>6160</v>
      </c>
    </row>
    <row r="2584" spans="2:6" x14ac:dyDescent="0.35">
      <c r="B2584">
        <v>4502473359</v>
      </c>
      <c r="C2584">
        <v>10</v>
      </c>
      <c r="D2584" t="s">
        <v>6161</v>
      </c>
      <c r="E2584" t="s">
        <v>4039</v>
      </c>
      <c r="F2584" t="s">
        <v>6162</v>
      </c>
    </row>
    <row r="2585" spans="2:6" x14ac:dyDescent="0.35">
      <c r="B2585">
        <v>4502471965</v>
      </c>
      <c r="C2585">
        <v>10</v>
      </c>
      <c r="D2585" t="s">
        <v>6163</v>
      </c>
      <c r="E2585" t="s">
        <v>4039</v>
      </c>
      <c r="F2585" t="s">
        <v>6164</v>
      </c>
    </row>
    <row r="2586" spans="2:6" x14ac:dyDescent="0.35">
      <c r="B2586">
        <v>4502468453</v>
      </c>
      <c r="C2586">
        <v>30</v>
      </c>
      <c r="D2586" t="s">
        <v>6165</v>
      </c>
      <c r="E2586" t="s">
        <v>4039</v>
      </c>
      <c r="F2586" t="s">
        <v>6166</v>
      </c>
    </row>
    <row r="2587" spans="2:6" x14ac:dyDescent="0.35">
      <c r="B2587">
        <v>4502468453</v>
      </c>
      <c r="C2587">
        <v>20</v>
      </c>
      <c r="D2587" t="s">
        <v>6167</v>
      </c>
      <c r="E2587" t="s">
        <v>4039</v>
      </c>
      <c r="F2587" t="s">
        <v>6168</v>
      </c>
    </row>
    <row r="2588" spans="2:6" x14ac:dyDescent="0.35">
      <c r="B2588">
        <v>4502468453</v>
      </c>
      <c r="C2588">
        <v>10</v>
      </c>
      <c r="D2588" t="s">
        <v>6169</v>
      </c>
      <c r="E2588" t="s">
        <v>4039</v>
      </c>
      <c r="F2588" t="s">
        <v>6170</v>
      </c>
    </row>
    <row r="2589" spans="2:6" x14ac:dyDescent="0.35">
      <c r="B2589">
        <v>4502468232</v>
      </c>
      <c r="C2589">
        <v>20</v>
      </c>
      <c r="D2589" t="s">
        <v>6171</v>
      </c>
      <c r="E2589" t="s">
        <v>4039</v>
      </c>
      <c r="F2589" t="s">
        <v>6172</v>
      </c>
    </row>
    <row r="2590" spans="2:6" x14ac:dyDescent="0.35">
      <c r="B2590">
        <v>4502468217</v>
      </c>
      <c r="C2590">
        <v>20</v>
      </c>
      <c r="D2590" t="s">
        <v>6173</v>
      </c>
      <c r="E2590" t="s">
        <v>4039</v>
      </c>
      <c r="F2590" t="s">
        <v>6174</v>
      </c>
    </row>
    <row r="2591" spans="2:6" x14ac:dyDescent="0.35">
      <c r="B2591">
        <v>4502468217</v>
      </c>
      <c r="C2591">
        <v>10</v>
      </c>
      <c r="D2591" t="s">
        <v>6175</v>
      </c>
      <c r="E2591" t="s">
        <v>4039</v>
      </c>
      <c r="F2591" t="s">
        <v>6176</v>
      </c>
    </row>
    <row r="2592" spans="2:6" x14ac:dyDescent="0.35">
      <c r="B2592">
        <v>4502467196</v>
      </c>
      <c r="C2592">
        <v>20</v>
      </c>
      <c r="D2592" t="s">
        <v>6177</v>
      </c>
      <c r="E2592" t="s">
        <v>4039</v>
      </c>
      <c r="F2592" t="s">
        <v>6178</v>
      </c>
    </row>
    <row r="2593" spans="2:6" x14ac:dyDescent="0.35">
      <c r="B2593">
        <v>4502467196</v>
      </c>
      <c r="C2593">
        <v>10</v>
      </c>
      <c r="D2593" t="s">
        <v>6179</v>
      </c>
      <c r="E2593" t="s">
        <v>4039</v>
      </c>
      <c r="F2593" t="s">
        <v>6180</v>
      </c>
    </row>
    <row r="2594" spans="2:6" x14ac:dyDescent="0.35">
      <c r="B2594">
        <v>4502467065</v>
      </c>
      <c r="C2594">
        <v>40</v>
      </c>
      <c r="D2594" t="s">
        <v>6181</v>
      </c>
      <c r="E2594" t="s">
        <v>4039</v>
      </c>
      <c r="F2594" t="s">
        <v>6182</v>
      </c>
    </row>
    <row r="2595" spans="2:6" x14ac:dyDescent="0.35">
      <c r="B2595">
        <v>4502467065</v>
      </c>
      <c r="C2595">
        <v>30</v>
      </c>
      <c r="D2595" t="s">
        <v>6183</v>
      </c>
      <c r="E2595" t="s">
        <v>4039</v>
      </c>
      <c r="F2595" t="s">
        <v>6184</v>
      </c>
    </row>
    <row r="2596" spans="2:6" x14ac:dyDescent="0.35">
      <c r="B2596">
        <v>4502467065</v>
      </c>
      <c r="C2596">
        <v>20</v>
      </c>
      <c r="D2596" t="s">
        <v>6185</v>
      </c>
      <c r="E2596" t="s">
        <v>4039</v>
      </c>
      <c r="F2596" t="s">
        <v>6186</v>
      </c>
    </row>
    <row r="2597" spans="2:6" x14ac:dyDescent="0.35">
      <c r="B2597">
        <v>4502467065</v>
      </c>
      <c r="C2597">
        <v>10</v>
      </c>
      <c r="D2597" t="s">
        <v>6187</v>
      </c>
      <c r="E2597" t="s">
        <v>4039</v>
      </c>
      <c r="F2597" t="s">
        <v>6188</v>
      </c>
    </row>
    <row r="2598" spans="2:6" x14ac:dyDescent="0.35">
      <c r="B2598">
        <v>4502465669</v>
      </c>
      <c r="C2598">
        <v>10</v>
      </c>
      <c r="D2598" t="s">
        <v>6189</v>
      </c>
      <c r="E2598" t="s">
        <v>4039</v>
      </c>
      <c r="F2598" t="s">
        <v>6190</v>
      </c>
    </row>
    <row r="2599" spans="2:6" x14ac:dyDescent="0.35">
      <c r="B2599">
        <v>4502461819</v>
      </c>
      <c r="C2599">
        <v>80</v>
      </c>
      <c r="D2599" t="s">
        <v>6191</v>
      </c>
      <c r="E2599" t="s">
        <v>4039</v>
      </c>
      <c r="F2599" t="s">
        <v>6192</v>
      </c>
    </row>
    <row r="2600" spans="2:6" x14ac:dyDescent="0.35">
      <c r="B2600">
        <v>4502460458</v>
      </c>
      <c r="C2600">
        <v>10</v>
      </c>
      <c r="D2600" t="s">
        <v>6193</v>
      </c>
      <c r="E2600" t="s">
        <v>4039</v>
      </c>
      <c r="F2600" t="s">
        <v>6194</v>
      </c>
    </row>
    <row r="2601" spans="2:6" x14ac:dyDescent="0.35">
      <c r="B2601">
        <v>4502459122</v>
      </c>
      <c r="C2601">
        <v>20</v>
      </c>
      <c r="D2601" t="s">
        <v>2880</v>
      </c>
      <c r="E2601" t="s">
        <v>4039</v>
      </c>
      <c r="F2601" t="s">
        <v>6195</v>
      </c>
    </row>
    <row r="2602" spans="2:6" x14ac:dyDescent="0.35">
      <c r="B2602">
        <v>4502459122</v>
      </c>
      <c r="C2602">
        <v>10</v>
      </c>
      <c r="D2602" t="s">
        <v>2882</v>
      </c>
      <c r="E2602" t="s">
        <v>4039</v>
      </c>
      <c r="F2602" t="s">
        <v>6196</v>
      </c>
    </row>
    <row r="2603" spans="2:6" x14ac:dyDescent="0.35">
      <c r="B2603">
        <v>4502458707</v>
      </c>
      <c r="C2603">
        <v>10</v>
      </c>
      <c r="D2603" t="s">
        <v>6197</v>
      </c>
      <c r="E2603" t="s">
        <v>4039</v>
      </c>
      <c r="F2603" t="s">
        <v>6198</v>
      </c>
    </row>
    <row r="2604" spans="2:6" x14ac:dyDescent="0.35">
      <c r="B2604">
        <v>4502458254</v>
      </c>
      <c r="C2604">
        <v>70</v>
      </c>
      <c r="D2604" t="s">
        <v>6199</v>
      </c>
      <c r="E2604" t="s">
        <v>4039</v>
      </c>
      <c r="F2604" t="s">
        <v>6200</v>
      </c>
    </row>
    <row r="2605" spans="2:6" x14ac:dyDescent="0.35">
      <c r="B2605">
        <v>4502457395</v>
      </c>
      <c r="C2605">
        <v>10</v>
      </c>
      <c r="D2605" t="s">
        <v>6201</v>
      </c>
      <c r="E2605" t="s">
        <v>4767</v>
      </c>
      <c r="F2605" t="s">
        <v>6202</v>
      </c>
    </row>
    <row r="2606" spans="2:6" x14ac:dyDescent="0.35">
      <c r="B2606">
        <v>4502455220</v>
      </c>
      <c r="C2606">
        <v>50</v>
      </c>
      <c r="D2606" t="s">
        <v>6203</v>
      </c>
      <c r="E2606" t="s">
        <v>4039</v>
      </c>
      <c r="F2606" t="s">
        <v>6204</v>
      </c>
    </row>
    <row r="2607" spans="2:6" x14ac:dyDescent="0.35">
      <c r="B2607">
        <v>4502455220</v>
      </c>
      <c r="C2607">
        <v>40</v>
      </c>
      <c r="D2607" t="s">
        <v>6205</v>
      </c>
      <c r="E2607" t="s">
        <v>4039</v>
      </c>
      <c r="F2607" t="s">
        <v>6206</v>
      </c>
    </row>
    <row r="2608" spans="2:6" x14ac:dyDescent="0.35">
      <c r="B2608">
        <v>4502455220</v>
      </c>
      <c r="C2608">
        <v>30</v>
      </c>
      <c r="D2608" t="s">
        <v>6207</v>
      </c>
      <c r="E2608" t="s">
        <v>4039</v>
      </c>
      <c r="F2608" t="s">
        <v>6208</v>
      </c>
    </row>
    <row r="2609" spans="2:6" x14ac:dyDescent="0.35">
      <c r="B2609">
        <v>4502455220</v>
      </c>
      <c r="C2609">
        <v>20</v>
      </c>
      <c r="D2609" t="s">
        <v>6209</v>
      </c>
      <c r="E2609" t="s">
        <v>4039</v>
      </c>
      <c r="F2609" t="s">
        <v>6210</v>
      </c>
    </row>
    <row r="2610" spans="2:6" x14ac:dyDescent="0.35">
      <c r="B2610">
        <v>4502455220</v>
      </c>
      <c r="C2610">
        <v>10</v>
      </c>
      <c r="D2610" t="s">
        <v>6211</v>
      </c>
      <c r="E2610" t="s">
        <v>4039</v>
      </c>
      <c r="F2610" t="s">
        <v>6212</v>
      </c>
    </row>
    <row r="2611" spans="2:6" x14ac:dyDescent="0.35">
      <c r="B2611">
        <v>4502454677</v>
      </c>
      <c r="C2611">
        <v>10</v>
      </c>
      <c r="D2611" t="s">
        <v>5897</v>
      </c>
      <c r="E2611" t="s">
        <v>6213</v>
      </c>
      <c r="F2611" t="s">
        <v>6214</v>
      </c>
    </row>
    <row r="2612" spans="2:6" x14ac:dyDescent="0.35">
      <c r="B2612">
        <v>4502453641</v>
      </c>
      <c r="C2612">
        <v>10</v>
      </c>
      <c r="D2612" t="s">
        <v>5899</v>
      </c>
      <c r="E2612" t="s">
        <v>3200</v>
      </c>
      <c r="F2612" t="s">
        <v>6215</v>
      </c>
    </row>
    <row r="2613" spans="2:6" x14ac:dyDescent="0.35">
      <c r="B2613">
        <v>4502451967</v>
      </c>
      <c r="C2613">
        <v>10</v>
      </c>
      <c r="D2613" t="s">
        <v>6216</v>
      </c>
      <c r="E2613" t="s">
        <v>4039</v>
      </c>
      <c r="F2613" t="s">
        <v>6217</v>
      </c>
    </row>
    <row r="2614" spans="2:6" x14ac:dyDescent="0.35">
      <c r="B2614">
        <v>4502450624</v>
      </c>
      <c r="C2614">
        <v>10</v>
      </c>
      <c r="D2614" t="s">
        <v>6218</v>
      </c>
      <c r="E2614" t="s">
        <v>4039</v>
      </c>
      <c r="F2614" t="s">
        <v>6219</v>
      </c>
    </row>
    <row r="2615" spans="2:6" x14ac:dyDescent="0.35">
      <c r="B2615">
        <v>4502450496</v>
      </c>
      <c r="C2615">
        <v>10</v>
      </c>
      <c r="D2615" t="s">
        <v>6220</v>
      </c>
      <c r="E2615" t="s">
        <v>4039</v>
      </c>
      <c r="F2615" t="s">
        <v>6221</v>
      </c>
    </row>
    <row r="2616" spans="2:6" x14ac:dyDescent="0.35">
      <c r="B2616">
        <v>4502449758</v>
      </c>
      <c r="C2616">
        <v>10</v>
      </c>
      <c r="D2616" t="s">
        <v>4457</v>
      </c>
      <c r="E2616" t="s">
        <v>4039</v>
      </c>
      <c r="F2616" t="s">
        <v>6222</v>
      </c>
    </row>
    <row r="2617" spans="2:6" x14ac:dyDescent="0.35">
      <c r="B2617">
        <v>4502449303</v>
      </c>
      <c r="C2617">
        <v>10</v>
      </c>
      <c r="D2617" t="s">
        <v>6223</v>
      </c>
      <c r="E2617" t="s">
        <v>4039</v>
      </c>
      <c r="F2617" t="s">
        <v>6224</v>
      </c>
    </row>
    <row r="2618" spans="2:6" x14ac:dyDescent="0.35">
      <c r="B2618">
        <v>4502448282</v>
      </c>
      <c r="C2618">
        <v>10</v>
      </c>
      <c r="D2618" t="s">
        <v>4457</v>
      </c>
      <c r="E2618" t="s">
        <v>4039</v>
      </c>
      <c r="F2618" t="s">
        <v>6225</v>
      </c>
    </row>
    <row r="2619" spans="2:6" x14ac:dyDescent="0.35">
      <c r="B2619">
        <v>4502446912</v>
      </c>
      <c r="C2619">
        <v>10</v>
      </c>
      <c r="D2619" t="s">
        <v>6226</v>
      </c>
      <c r="E2619" t="s">
        <v>4039</v>
      </c>
      <c r="F2619" t="s">
        <v>6227</v>
      </c>
    </row>
    <row r="2620" spans="2:6" x14ac:dyDescent="0.35">
      <c r="B2620">
        <v>4502445388</v>
      </c>
      <c r="C2620">
        <v>10</v>
      </c>
      <c r="D2620" t="s">
        <v>6228</v>
      </c>
      <c r="E2620" t="s">
        <v>4039</v>
      </c>
      <c r="F2620" t="s">
        <v>6229</v>
      </c>
    </row>
    <row r="2621" spans="2:6" x14ac:dyDescent="0.35">
      <c r="B2621">
        <v>4502440837</v>
      </c>
      <c r="C2621">
        <v>10</v>
      </c>
      <c r="D2621" t="s">
        <v>5956</v>
      </c>
      <c r="E2621" t="s">
        <v>4039</v>
      </c>
      <c r="F2621" t="s">
        <v>6230</v>
      </c>
    </row>
    <row r="2622" spans="2:6" x14ac:dyDescent="0.35">
      <c r="B2622">
        <v>4502438680</v>
      </c>
      <c r="C2622">
        <v>10</v>
      </c>
      <c r="D2622" t="s">
        <v>6231</v>
      </c>
      <c r="E2622" t="s">
        <v>4039</v>
      </c>
      <c r="F2622" t="s">
        <v>6232</v>
      </c>
    </row>
    <row r="2623" spans="2:6" x14ac:dyDescent="0.35">
      <c r="B2623">
        <v>4502438679</v>
      </c>
      <c r="C2623">
        <v>10</v>
      </c>
      <c r="D2623" t="s">
        <v>6233</v>
      </c>
      <c r="E2623" t="s">
        <v>4039</v>
      </c>
      <c r="F2623" t="s">
        <v>6234</v>
      </c>
    </row>
    <row r="2624" spans="2:6" x14ac:dyDescent="0.35">
      <c r="B2624">
        <v>4502438641</v>
      </c>
      <c r="C2624">
        <v>10</v>
      </c>
      <c r="D2624" t="s">
        <v>6233</v>
      </c>
      <c r="E2624" t="s">
        <v>4039</v>
      </c>
      <c r="F2624" t="s">
        <v>6235</v>
      </c>
    </row>
    <row r="2625" spans="2:6" x14ac:dyDescent="0.35">
      <c r="B2625">
        <v>4502436143</v>
      </c>
      <c r="C2625">
        <v>10</v>
      </c>
      <c r="D2625" t="s">
        <v>6236</v>
      </c>
      <c r="E2625" t="s">
        <v>4039</v>
      </c>
      <c r="F2625" t="s">
        <v>6237</v>
      </c>
    </row>
    <row r="2626" spans="2:6" x14ac:dyDescent="0.35">
      <c r="B2626">
        <v>4502435957</v>
      </c>
      <c r="C2626">
        <v>30</v>
      </c>
      <c r="D2626" t="s">
        <v>6238</v>
      </c>
      <c r="E2626" t="s">
        <v>4039</v>
      </c>
      <c r="F2626" t="s">
        <v>6239</v>
      </c>
    </row>
    <row r="2627" spans="2:6" x14ac:dyDescent="0.35">
      <c r="B2627">
        <v>4502435957</v>
      </c>
      <c r="C2627">
        <v>20</v>
      </c>
      <c r="D2627" t="s">
        <v>6240</v>
      </c>
      <c r="E2627" t="s">
        <v>4039</v>
      </c>
      <c r="F2627" t="s">
        <v>6241</v>
      </c>
    </row>
    <row r="2628" spans="2:6" x14ac:dyDescent="0.35">
      <c r="B2628">
        <v>4502435957</v>
      </c>
      <c r="C2628">
        <v>10</v>
      </c>
      <c r="D2628" t="s">
        <v>6242</v>
      </c>
      <c r="E2628" t="s">
        <v>4039</v>
      </c>
      <c r="F2628" t="s">
        <v>6243</v>
      </c>
    </row>
    <row r="2629" spans="2:6" x14ac:dyDescent="0.35">
      <c r="B2629">
        <v>4502435753</v>
      </c>
      <c r="C2629">
        <v>10</v>
      </c>
      <c r="D2629" t="s">
        <v>6244</v>
      </c>
      <c r="E2629" t="s">
        <v>4039</v>
      </c>
      <c r="F2629" t="s">
        <v>6245</v>
      </c>
    </row>
    <row r="2630" spans="2:6" x14ac:dyDescent="0.35">
      <c r="B2630">
        <v>4502434879</v>
      </c>
      <c r="C2630">
        <v>60</v>
      </c>
      <c r="D2630" t="s">
        <v>6246</v>
      </c>
      <c r="E2630" t="s">
        <v>4039</v>
      </c>
      <c r="F2630" t="s">
        <v>6247</v>
      </c>
    </row>
    <row r="2631" spans="2:6" x14ac:dyDescent="0.35">
      <c r="B2631">
        <v>4502434213</v>
      </c>
      <c r="C2631">
        <v>30</v>
      </c>
      <c r="D2631" t="s">
        <v>6248</v>
      </c>
      <c r="E2631" t="s">
        <v>4039</v>
      </c>
      <c r="F2631" t="s">
        <v>6249</v>
      </c>
    </row>
    <row r="2632" spans="2:6" x14ac:dyDescent="0.35">
      <c r="B2632">
        <v>4502434213</v>
      </c>
      <c r="C2632">
        <v>20</v>
      </c>
      <c r="D2632" t="s">
        <v>6250</v>
      </c>
      <c r="E2632" t="s">
        <v>4039</v>
      </c>
      <c r="F2632" t="s">
        <v>6251</v>
      </c>
    </row>
    <row r="2633" spans="2:6" x14ac:dyDescent="0.35">
      <c r="B2633">
        <v>4502434213</v>
      </c>
      <c r="C2633">
        <v>10</v>
      </c>
      <c r="D2633" t="s">
        <v>6252</v>
      </c>
      <c r="E2633" t="s">
        <v>4039</v>
      </c>
      <c r="F2633" t="s">
        <v>6253</v>
      </c>
    </row>
    <row r="2634" spans="2:6" x14ac:dyDescent="0.35">
      <c r="B2634">
        <v>4502432530</v>
      </c>
      <c r="C2634">
        <v>10</v>
      </c>
      <c r="D2634" t="s">
        <v>6254</v>
      </c>
      <c r="E2634" t="s">
        <v>4039</v>
      </c>
      <c r="F2634" t="s">
        <v>6255</v>
      </c>
    </row>
    <row r="2635" spans="2:6" x14ac:dyDescent="0.35">
      <c r="B2635">
        <v>4502432181</v>
      </c>
      <c r="C2635">
        <v>10</v>
      </c>
      <c r="D2635" t="s">
        <v>6256</v>
      </c>
      <c r="E2635" t="s">
        <v>4039</v>
      </c>
      <c r="F2635" t="s">
        <v>6257</v>
      </c>
    </row>
    <row r="2636" spans="2:6" x14ac:dyDescent="0.35">
      <c r="B2636">
        <v>4502430921</v>
      </c>
      <c r="C2636">
        <v>100</v>
      </c>
      <c r="D2636" t="s">
        <v>6258</v>
      </c>
      <c r="E2636" t="s">
        <v>3200</v>
      </c>
      <c r="F2636" t="s">
        <v>6259</v>
      </c>
    </row>
    <row r="2637" spans="2:6" x14ac:dyDescent="0.35">
      <c r="B2637">
        <v>4502430856</v>
      </c>
      <c r="C2637">
        <v>20</v>
      </c>
      <c r="D2637" t="s">
        <v>6260</v>
      </c>
      <c r="E2637" t="s">
        <v>3200</v>
      </c>
      <c r="F2637" t="s">
        <v>6261</v>
      </c>
    </row>
    <row r="2638" spans="2:6" x14ac:dyDescent="0.35">
      <c r="B2638">
        <v>4502430856</v>
      </c>
      <c r="C2638">
        <v>10</v>
      </c>
      <c r="D2638" t="s">
        <v>6262</v>
      </c>
      <c r="E2638" t="s">
        <v>4039</v>
      </c>
      <c r="F2638" t="s">
        <v>6263</v>
      </c>
    </row>
    <row r="2639" spans="2:6" x14ac:dyDescent="0.35">
      <c r="B2639">
        <v>4502430124</v>
      </c>
      <c r="C2639">
        <v>10</v>
      </c>
      <c r="D2639" t="s">
        <v>3677</v>
      </c>
      <c r="E2639" t="s">
        <v>4039</v>
      </c>
      <c r="F2639" t="s">
        <v>6264</v>
      </c>
    </row>
    <row r="2640" spans="2:6" x14ac:dyDescent="0.35">
      <c r="B2640">
        <v>4502430101</v>
      </c>
      <c r="C2640">
        <v>40</v>
      </c>
      <c r="D2640" t="s">
        <v>1217</v>
      </c>
      <c r="E2640" t="s">
        <v>4039</v>
      </c>
      <c r="F2640" t="s">
        <v>6265</v>
      </c>
    </row>
    <row r="2641" spans="2:6" x14ac:dyDescent="0.35">
      <c r="B2641">
        <v>4502430101</v>
      </c>
      <c r="C2641">
        <v>10</v>
      </c>
      <c r="D2641" t="s">
        <v>4457</v>
      </c>
      <c r="E2641" t="s">
        <v>4039</v>
      </c>
      <c r="F2641" t="s">
        <v>6266</v>
      </c>
    </row>
    <row r="2642" spans="2:6" x14ac:dyDescent="0.35">
      <c r="B2642">
        <v>4502428744</v>
      </c>
      <c r="C2642">
        <v>10</v>
      </c>
      <c r="D2642" t="s">
        <v>6267</v>
      </c>
      <c r="E2642" t="s">
        <v>4039</v>
      </c>
      <c r="F2642" t="s">
        <v>6268</v>
      </c>
    </row>
    <row r="2643" spans="2:6" x14ac:dyDescent="0.35">
      <c r="B2643">
        <v>4502427043</v>
      </c>
      <c r="C2643">
        <v>10</v>
      </c>
      <c r="D2643" t="s">
        <v>6269</v>
      </c>
      <c r="E2643" t="s">
        <v>4039</v>
      </c>
      <c r="F2643" t="s">
        <v>6270</v>
      </c>
    </row>
    <row r="2644" spans="2:6" x14ac:dyDescent="0.35">
      <c r="B2644">
        <v>4502425301</v>
      </c>
      <c r="C2644">
        <v>20</v>
      </c>
      <c r="D2644" t="s">
        <v>6271</v>
      </c>
      <c r="E2644" t="s">
        <v>4039</v>
      </c>
      <c r="F2644" t="s">
        <v>6272</v>
      </c>
    </row>
    <row r="2645" spans="2:6" x14ac:dyDescent="0.35">
      <c r="B2645">
        <v>4502422634</v>
      </c>
      <c r="C2645">
        <v>10</v>
      </c>
      <c r="D2645" t="s">
        <v>5703</v>
      </c>
      <c r="E2645" t="s">
        <v>4039</v>
      </c>
      <c r="F2645" t="s">
        <v>6273</v>
      </c>
    </row>
    <row r="2646" spans="2:6" x14ac:dyDescent="0.35">
      <c r="B2646">
        <v>4502422529</v>
      </c>
      <c r="C2646">
        <v>10</v>
      </c>
      <c r="D2646" t="s">
        <v>6274</v>
      </c>
      <c r="E2646" t="s">
        <v>4039</v>
      </c>
      <c r="F2646" t="s">
        <v>6275</v>
      </c>
    </row>
    <row r="2647" spans="2:6" x14ac:dyDescent="0.35">
      <c r="B2647">
        <v>4502422427</v>
      </c>
      <c r="C2647">
        <v>10</v>
      </c>
      <c r="D2647" t="s">
        <v>6276</v>
      </c>
      <c r="E2647" t="s">
        <v>4039</v>
      </c>
      <c r="F2647" t="s">
        <v>6277</v>
      </c>
    </row>
    <row r="2648" spans="2:6" x14ac:dyDescent="0.35">
      <c r="B2648">
        <v>4502422089</v>
      </c>
      <c r="C2648">
        <v>10</v>
      </c>
      <c r="D2648" t="s">
        <v>6278</v>
      </c>
      <c r="E2648" t="s">
        <v>4039</v>
      </c>
      <c r="F2648" t="s">
        <v>6279</v>
      </c>
    </row>
    <row r="2649" spans="2:6" x14ac:dyDescent="0.35">
      <c r="B2649">
        <v>4502420223</v>
      </c>
      <c r="C2649">
        <v>20</v>
      </c>
      <c r="D2649" t="s">
        <v>6280</v>
      </c>
      <c r="E2649" t="s">
        <v>4039</v>
      </c>
      <c r="F2649" t="s">
        <v>6281</v>
      </c>
    </row>
    <row r="2650" spans="2:6" x14ac:dyDescent="0.35">
      <c r="B2650">
        <v>4502420086</v>
      </c>
      <c r="C2650">
        <v>10</v>
      </c>
      <c r="D2650" t="s">
        <v>6282</v>
      </c>
      <c r="E2650" t="s">
        <v>4039</v>
      </c>
      <c r="F2650" t="s">
        <v>6283</v>
      </c>
    </row>
    <row r="2651" spans="2:6" x14ac:dyDescent="0.35">
      <c r="B2651">
        <v>4502418730</v>
      </c>
      <c r="C2651">
        <v>10</v>
      </c>
      <c r="D2651" t="s">
        <v>6284</v>
      </c>
      <c r="E2651" t="s">
        <v>4039</v>
      </c>
      <c r="F2651" t="s">
        <v>6285</v>
      </c>
    </row>
    <row r="2652" spans="2:6" x14ac:dyDescent="0.35">
      <c r="B2652">
        <v>4502418482</v>
      </c>
      <c r="C2652">
        <v>10</v>
      </c>
      <c r="D2652" t="s">
        <v>1484</v>
      </c>
      <c r="E2652" t="s">
        <v>4039</v>
      </c>
      <c r="F2652" t="s">
        <v>6286</v>
      </c>
    </row>
    <row r="2653" spans="2:6" x14ac:dyDescent="0.35">
      <c r="B2653">
        <v>4502418227</v>
      </c>
      <c r="C2653">
        <v>10</v>
      </c>
      <c r="D2653" t="s">
        <v>6287</v>
      </c>
      <c r="E2653" t="s">
        <v>4039</v>
      </c>
      <c r="F2653" t="s">
        <v>6288</v>
      </c>
    </row>
    <row r="2654" spans="2:6" x14ac:dyDescent="0.35">
      <c r="B2654">
        <v>4502418225</v>
      </c>
      <c r="C2654">
        <v>10</v>
      </c>
      <c r="D2654" t="s">
        <v>6287</v>
      </c>
      <c r="E2654" t="s">
        <v>4039</v>
      </c>
      <c r="F2654" t="s">
        <v>6289</v>
      </c>
    </row>
    <row r="2655" spans="2:6" x14ac:dyDescent="0.35">
      <c r="B2655">
        <v>4502416170</v>
      </c>
      <c r="C2655">
        <v>40</v>
      </c>
      <c r="D2655" t="s">
        <v>6290</v>
      </c>
      <c r="E2655" t="s">
        <v>4039</v>
      </c>
      <c r="F2655" t="s">
        <v>6291</v>
      </c>
    </row>
    <row r="2656" spans="2:6" x14ac:dyDescent="0.35">
      <c r="B2656">
        <v>4502416170</v>
      </c>
      <c r="C2656">
        <v>30</v>
      </c>
      <c r="D2656" t="s">
        <v>6292</v>
      </c>
      <c r="E2656" t="s">
        <v>4039</v>
      </c>
      <c r="F2656" t="s">
        <v>6293</v>
      </c>
    </row>
    <row r="2657" spans="2:6" x14ac:dyDescent="0.35">
      <c r="B2657">
        <v>4502412027</v>
      </c>
      <c r="C2657">
        <v>10</v>
      </c>
      <c r="D2657" t="s">
        <v>5899</v>
      </c>
      <c r="E2657" t="s">
        <v>4039</v>
      </c>
      <c r="F2657" t="s">
        <v>6294</v>
      </c>
    </row>
    <row r="2658" spans="2:6" x14ac:dyDescent="0.35">
      <c r="B2658">
        <v>4502410392</v>
      </c>
      <c r="C2658">
        <v>30</v>
      </c>
      <c r="D2658" t="s">
        <v>6295</v>
      </c>
      <c r="E2658" t="s">
        <v>4039</v>
      </c>
      <c r="F2658" t="s">
        <v>6296</v>
      </c>
    </row>
    <row r="2659" spans="2:6" x14ac:dyDescent="0.35">
      <c r="B2659">
        <v>4502409681</v>
      </c>
      <c r="C2659">
        <v>10</v>
      </c>
      <c r="D2659" t="s">
        <v>6297</v>
      </c>
      <c r="E2659" t="s">
        <v>4039</v>
      </c>
      <c r="F2659" t="s">
        <v>6298</v>
      </c>
    </row>
    <row r="2660" spans="2:6" x14ac:dyDescent="0.35">
      <c r="B2660">
        <v>4502409603</v>
      </c>
      <c r="C2660">
        <v>20</v>
      </c>
      <c r="D2660" t="s">
        <v>6299</v>
      </c>
      <c r="E2660" t="s">
        <v>3200</v>
      </c>
      <c r="F2660" t="s">
        <v>6300</v>
      </c>
    </row>
    <row r="2661" spans="2:6" x14ac:dyDescent="0.35">
      <c r="B2661">
        <v>4502409542</v>
      </c>
      <c r="C2661">
        <v>20</v>
      </c>
      <c r="D2661" t="s">
        <v>6301</v>
      </c>
      <c r="E2661" t="s">
        <v>4039</v>
      </c>
      <c r="F2661" t="s">
        <v>6302</v>
      </c>
    </row>
    <row r="2662" spans="2:6" x14ac:dyDescent="0.35">
      <c r="B2662">
        <v>4502409542</v>
      </c>
      <c r="C2662">
        <v>10</v>
      </c>
      <c r="D2662" t="s">
        <v>6303</v>
      </c>
      <c r="E2662" t="s">
        <v>3200</v>
      </c>
      <c r="F2662" t="s">
        <v>6304</v>
      </c>
    </row>
    <row r="2663" spans="2:6" x14ac:dyDescent="0.35">
      <c r="B2663">
        <v>4502408966</v>
      </c>
      <c r="C2663">
        <v>10</v>
      </c>
      <c r="D2663" t="s">
        <v>6305</v>
      </c>
      <c r="E2663" t="s">
        <v>3200</v>
      </c>
      <c r="F2663" t="s">
        <v>6306</v>
      </c>
    </row>
    <row r="2664" spans="2:6" x14ac:dyDescent="0.35">
      <c r="B2664">
        <v>4502406512</v>
      </c>
      <c r="C2664">
        <v>10</v>
      </c>
      <c r="D2664" t="s">
        <v>6307</v>
      </c>
      <c r="E2664" t="s">
        <v>4039</v>
      </c>
      <c r="F2664" t="s">
        <v>6308</v>
      </c>
    </row>
    <row r="2665" spans="2:6" x14ac:dyDescent="0.35">
      <c r="B2665">
        <v>4502404089</v>
      </c>
      <c r="C2665">
        <v>10</v>
      </c>
      <c r="D2665" t="s">
        <v>6309</v>
      </c>
      <c r="E2665" t="s">
        <v>4039</v>
      </c>
      <c r="F2665" t="s">
        <v>6310</v>
      </c>
    </row>
    <row r="2666" spans="2:6" x14ac:dyDescent="0.35">
      <c r="B2666">
        <v>4502401911</v>
      </c>
      <c r="C2666">
        <v>10</v>
      </c>
      <c r="D2666" t="s">
        <v>6311</v>
      </c>
      <c r="E2666" t="s">
        <v>4039</v>
      </c>
      <c r="F2666" t="s">
        <v>6312</v>
      </c>
    </row>
    <row r="2667" spans="2:6" x14ac:dyDescent="0.35">
      <c r="B2667">
        <v>4502400642</v>
      </c>
      <c r="C2667">
        <v>20</v>
      </c>
      <c r="D2667" t="s">
        <v>6313</v>
      </c>
      <c r="E2667" t="s">
        <v>4039</v>
      </c>
      <c r="F2667" t="s">
        <v>6314</v>
      </c>
    </row>
    <row r="2668" spans="2:6" x14ac:dyDescent="0.35">
      <c r="B2668">
        <v>4502400642</v>
      </c>
      <c r="C2668">
        <v>10</v>
      </c>
      <c r="D2668" t="s">
        <v>6315</v>
      </c>
      <c r="E2668" t="s">
        <v>4039</v>
      </c>
      <c r="F2668" t="s">
        <v>6316</v>
      </c>
    </row>
    <row r="2669" spans="2:6" x14ac:dyDescent="0.35">
      <c r="B2669">
        <v>4502399951</v>
      </c>
      <c r="C2669">
        <v>10</v>
      </c>
      <c r="D2669" t="s">
        <v>4025</v>
      </c>
      <c r="E2669" t="s">
        <v>4039</v>
      </c>
      <c r="F2669" t="s">
        <v>6317</v>
      </c>
    </row>
    <row r="2670" spans="2:6" x14ac:dyDescent="0.35">
      <c r="B2670">
        <v>4502399795</v>
      </c>
      <c r="C2670">
        <v>10</v>
      </c>
      <c r="D2670" t="s">
        <v>6318</v>
      </c>
      <c r="E2670" t="s">
        <v>4039</v>
      </c>
      <c r="F2670" t="s">
        <v>6319</v>
      </c>
    </row>
    <row r="2671" spans="2:6" x14ac:dyDescent="0.35">
      <c r="B2671">
        <v>4502398641</v>
      </c>
      <c r="C2671">
        <v>20</v>
      </c>
      <c r="D2671" t="s">
        <v>6320</v>
      </c>
      <c r="E2671" t="s">
        <v>4039</v>
      </c>
      <c r="F2671" t="s">
        <v>6321</v>
      </c>
    </row>
    <row r="2672" spans="2:6" x14ac:dyDescent="0.35">
      <c r="B2672">
        <v>4502398641</v>
      </c>
      <c r="C2672">
        <v>10</v>
      </c>
      <c r="D2672" t="s">
        <v>6322</v>
      </c>
      <c r="E2672" t="s">
        <v>4039</v>
      </c>
      <c r="F2672" t="s">
        <v>6323</v>
      </c>
    </row>
    <row r="2673" spans="2:6" x14ac:dyDescent="0.35">
      <c r="B2673">
        <v>4502398639</v>
      </c>
      <c r="C2673">
        <v>10</v>
      </c>
      <c r="D2673" t="s">
        <v>6324</v>
      </c>
      <c r="E2673" t="s">
        <v>4039</v>
      </c>
      <c r="F2673" t="s">
        <v>6325</v>
      </c>
    </row>
    <row r="2674" spans="2:6" x14ac:dyDescent="0.35">
      <c r="B2674">
        <v>4502398638</v>
      </c>
      <c r="C2674">
        <v>10</v>
      </c>
      <c r="D2674" t="s">
        <v>6326</v>
      </c>
      <c r="E2674" t="s">
        <v>4039</v>
      </c>
      <c r="F2674" t="s">
        <v>6327</v>
      </c>
    </row>
    <row r="2675" spans="2:6" x14ac:dyDescent="0.35">
      <c r="B2675">
        <v>4502397606</v>
      </c>
      <c r="C2675">
        <v>10</v>
      </c>
      <c r="D2675" t="s">
        <v>6328</v>
      </c>
      <c r="E2675" t="s">
        <v>4039</v>
      </c>
      <c r="F2675" t="s">
        <v>6329</v>
      </c>
    </row>
    <row r="2676" spans="2:6" x14ac:dyDescent="0.35">
      <c r="B2676">
        <v>4502397254</v>
      </c>
      <c r="C2676">
        <v>10</v>
      </c>
      <c r="D2676" t="s">
        <v>6330</v>
      </c>
      <c r="E2676" t="s">
        <v>4039</v>
      </c>
      <c r="F2676" t="s">
        <v>6331</v>
      </c>
    </row>
    <row r="2677" spans="2:6" x14ac:dyDescent="0.35">
      <c r="B2677">
        <v>4502396485</v>
      </c>
      <c r="C2677">
        <v>10</v>
      </c>
      <c r="D2677" t="s">
        <v>16</v>
      </c>
      <c r="E2677" t="s">
        <v>4039</v>
      </c>
      <c r="F2677" t="s">
        <v>6332</v>
      </c>
    </row>
    <row r="2678" spans="2:6" x14ac:dyDescent="0.35">
      <c r="B2678">
        <v>4502396471</v>
      </c>
      <c r="C2678">
        <v>10</v>
      </c>
      <c r="D2678" t="s">
        <v>6333</v>
      </c>
      <c r="E2678" t="s">
        <v>4039</v>
      </c>
      <c r="F2678" t="s">
        <v>6334</v>
      </c>
    </row>
    <row r="2679" spans="2:6" x14ac:dyDescent="0.35">
      <c r="B2679">
        <v>4502396188</v>
      </c>
      <c r="C2679">
        <v>10</v>
      </c>
      <c r="D2679" t="s">
        <v>6335</v>
      </c>
      <c r="E2679" t="s">
        <v>4039</v>
      </c>
      <c r="F2679" t="s">
        <v>6336</v>
      </c>
    </row>
    <row r="2680" spans="2:6" x14ac:dyDescent="0.35">
      <c r="B2680">
        <v>4502394887</v>
      </c>
      <c r="C2680">
        <v>30</v>
      </c>
      <c r="D2680" t="s">
        <v>6337</v>
      </c>
      <c r="E2680" t="s">
        <v>4039</v>
      </c>
      <c r="F2680" t="s">
        <v>6338</v>
      </c>
    </row>
    <row r="2681" spans="2:6" x14ac:dyDescent="0.35">
      <c r="B2681">
        <v>4502393345</v>
      </c>
      <c r="C2681">
        <v>20</v>
      </c>
      <c r="D2681" t="s">
        <v>6339</v>
      </c>
      <c r="E2681" t="s">
        <v>6105</v>
      </c>
      <c r="F2681" t="s">
        <v>6340</v>
      </c>
    </row>
    <row r="2682" spans="2:6" x14ac:dyDescent="0.35">
      <c r="B2682">
        <v>4502393345</v>
      </c>
      <c r="C2682">
        <v>10</v>
      </c>
      <c r="D2682" t="s">
        <v>6341</v>
      </c>
      <c r="E2682" t="s">
        <v>4039</v>
      </c>
      <c r="F2682" t="s">
        <v>6342</v>
      </c>
    </row>
    <row r="2683" spans="2:6" x14ac:dyDescent="0.35">
      <c r="B2683">
        <v>4502392562</v>
      </c>
      <c r="C2683">
        <v>10</v>
      </c>
      <c r="D2683" t="s">
        <v>6343</v>
      </c>
      <c r="E2683" t="s">
        <v>4039</v>
      </c>
      <c r="F2683" t="s">
        <v>6344</v>
      </c>
    </row>
    <row r="2684" spans="2:6" x14ac:dyDescent="0.35">
      <c r="B2684">
        <v>4502391620</v>
      </c>
      <c r="C2684">
        <v>40</v>
      </c>
      <c r="D2684" t="s">
        <v>6345</v>
      </c>
      <c r="E2684" t="s">
        <v>4039</v>
      </c>
      <c r="F2684" t="s">
        <v>6346</v>
      </c>
    </row>
    <row r="2685" spans="2:6" x14ac:dyDescent="0.35">
      <c r="B2685">
        <v>4502391571</v>
      </c>
      <c r="C2685">
        <v>10</v>
      </c>
      <c r="D2685" t="s">
        <v>6347</v>
      </c>
      <c r="E2685" t="s">
        <v>4039</v>
      </c>
      <c r="F2685" t="s">
        <v>6348</v>
      </c>
    </row>
    <row r="2686" spans="2:6" x14ac:dyDescent="0.35">
      <c r="B2686">
        <v>4502388479</v>
      </c>
      <c r="C2686">
        <v>10</v>
      </c>
      <c r="D2686" t="s">
        <v>6349</v>
      </c>
      <c r="E2686" t="s">
        <v>4039</v>
      </c>
      <c r="F2686" t="s">
        <v>6350</v>
      </c>
    </row>
    <row r="2687" spans="2:6" x14ac:dyDescent="0.35">
      <c r="B2687">
        <v>4502385900</v>
      </c>
      <c r="C2687">
        <v>10</v>
      </c>
      <c r="D2687" t="s">
        <v>6351</v>
      </c>
      <c r="E2687" t="s">
        <v>4039</v>
      </c>
      <c r="F2687" t="s">
        <v>6352</v>
      </c>
    </row>
    <row r="2688" spans="2:6" x14ac:dyDescent="0.35">
      <c r="B2688">
        <v>4502385682</v>
      </c>
      <c r="C2688">
        <v>350</v>
      </c>
      <c r="D2688" t="s">
        <v>6353</v>
      </c>
      <c r="E2688" t="s">
        <v>3200</v>
      </c>
      <c r="F2688" t="s">
        <v>6354</v>
      </c>
    </row>
    <row r="2689" spans="2:6" x14ac:dyDescent="0.35">
      <c r="B2689">
        <v>4502383473</v>
      </c>
      <c r="C2689">
        <v>10</v>
      </c>
      <c r="D2689" t="s">
        <v>6355</v>
      </c>
      <c r="E2689" t="s">
        <v>4039</v>
      </c>
      <c r="F2689" t="s">
        <v>6356</v>
      </c>
    </row>
    <row r="2690" spans="2:6" x14ac:dyDescent="0.35">
      <c r="B2690">
        <v>4502383165</v>
      </c>
      <c r="C2690">
        <v>10</v>
      </c>
      <c r="D2690" t="s">
        <v>6357</v>
      </c>
      <c r="E2690" t="s">
        <v>4039</v>
      </c>
      <c r="F2690" t="s">
        <v>6358</v>
      </c>
    </row>
    <row r="2691" spans="2:6" x14ac:dyDescent="0.35">
      <c r="B2691">
        <v>4502382650</v>
      </c>
      <c r="C2691">
        <v>10</v>
      </c>
      <c r="D2691" t="s">
        <v>6359</v>
      </c>
      <c r="E2691" t="s">
        <v>4039</v>
      </c>
      <c r="F2691" t="s">
        <v>6360</v>
      </c>
    </row>
    <row r="2692" spans="2:6" x14ac:dyDescent="0.35">
      <c r="B2692">
        <v>4502381803</v>
      </c>
      <c r="C2692">
        <v>30</v>
      </c>
      <c r="D2692" t="s">
        <v>6361</v>
      </c>
      <c r="E2692" t="s">
        <v>4039</v>
      </c>
      <c r="F2692" t="s">
        <v>6362</v>
      </c>
    </row>
    <row r="2693" spans="2:6" x14ac:dyDescent="0.35">
      <c r="B2693">
        <v>4502381803</v>
      </c>
      <c r="C2693">
        <v>20</v>
      </c>
      <c r="D2693" t="s">
        <v>6363</v>
      </c>
      <c r="E2693" t="s">
        <v>4039</v>
      </c>
      <c r="F2693" t="s">
        <v>6364</v>
      </c>
    </row>
    <row r="2694" spans="2:6" x14ac:dyDescent="0.35">
      <c r="B2694">
        <v>4502381803</v>
      </c>
      <c r="C2694">
        <v>10</v>
      </c>
      <c r="D2694" t="s">
        <v>6363</v>
      </c>
      <c r="E2694" t="s">
        <v>4039</v>
      </c>
      <c r="F2694" t="s">
        <v>6364</v>
      </c>
    </row>
    <row r="2695" spans="2:6" x14ac:dyDescent="0.35">
      <c r="B2695">
        <v>4502381110</v>
      </c>
      <c r="C2695">
        <v>10</v>
      </c>
      <c r="D2695" t="s">
        <v>6365</v>
      </c>
      <c r="E2695" t="s">
        <v>4039</v>
      </c>
      <c r="F2695" t="s">
        <v>6366</v>
      </c>
    </row>
    <row r="2696" spans="2:6" x14ac:dyDescent="0.35">
      <c r="B2696">
        <v>4502379309</v>
      </c>
      <c r="C2696">
        <v>20</v>
      </c>
      <c r="D2696" t="s">
        <v>6367</v>
      </c>
      <c r="E2696" t="s">
        <v>4039</v>
      </c>
      <c r="F2696" t="s">
        <v>6368</v>
      </c>
    </row>
    <row r="2697" spans="2:6" x14ac:dyDescent="0.35">
      <c r="B2697">
        <v>4502379309</v>
      </c>
      <c r="C2697">
        <v>10</v>
      </c>
      <c r="D2697" t="s">
        <v>6369</v>
      </c>
      <c r="E2697" t="s">
        <v>4039</v>
      </c>
      <c r="F2697" t="s">
        <v>6370</v>
      </c>
    </row>
    <row r="2698" spans="2:6" x14ac:dyDescent="0.35">
      <c r="B2698">
        <v>4502379296</v>
      </c>
      <c r="C2698">
        <v>10</v>
      </c>
      <c r="D2698" t="s">
        <v>6371</v>
      </c>
      <c r="E2698" t="s">
        <v>4039</v>
      </c>
      <c r="F2698" t="s">
        <v>6372</v>
      </c>
    </row>
    <row r="2699" spans="2:6" x14ac:dyDescent="0.35">
      <c r="B2699">
        <v>4502378737</v>
      </c>
      <c r="C2699">
        <v>70</v>
      </c>
      <c r="D2699" t="s">
        <v>6373</v>
      </c>
      <c r="E2699" t="s">
        <v>4039</v>
      </c>
      <c r="F2699" t="s">
        <v>6374</v>
      </c>
    </row>
    <row r="2700" spans="2:6" x14ac:dyDescent="0.35">
      <c r="B2700">
        <v>4502378733</v>
      </c>
      <c r="C2700">
        <v>20</v>
      </c>
      <c r="D2700" t="s">
        <v>6375</v>
      </c>
      <c r="E2700" t="s">
        <v>4039</v>
      </c>
      <c r="F2700" t="s">
        <v>6376</v>
      </c>
    </row>
    <row r="2701" spans="2:6" x14ac:dyDescent="0.35">
      <c r="B2701">
        <v>4502378733</v>
      </c>
      <c r="C2701">
        <v>10</v>
      </c>
      <c r="D2701" t="s">
        <v>6377</v>
      </c>
      <c r="E2701" t="s">
        <v>4039</v>
      </c>
      <c r="F2701" t="s">
        <v>6378</v>
      </c>
    </row>
    <row r="2702" spans="2:6" x14ac:dyDescent="0.35">
      <c r="B2702">
        <v>4502378721</v>
      </c>
      <c r="C2702">
        <v>10</v>
      </c>
      <c r="D2702" t="s">
        <v>6379</v>
      </c>
      <c r="E2702" t="s">
        <v>4039</v>
      </c>
      <c r="F2702" t="s">
        <v>6380</v>
      </c>
    </row>
    <row r="2703" spans="2:6" x14ac:dyDescent="0.35">
      <c r="B2703">
        <v>4502378716</v>
      </c>
      <c r="C2703">
        <v>10</v>
      </c>
      <c r="D2703" t="s">
        <v>6381</v>
      </c>
      <c r="E2703" t="s">
        <v>4039</v>
      </c>
      <c r="F2703" t="s">
        <v>6382</v>
      </c>
    </row>
    <row r="2704" spans="2:6" x14ac:dyDescent="0.35">
      <c r="B2704">
        <v>4502378545</v>
      </c>
      <c r="C2704">
        <v>10</v>
      </c>
      <c r="D2704" t="s">
        <v>6383</v>
      </c>
      <c r="E2704" t="s">
        <v>4039</v>
      </c>
      <c r="F2704" t="s">
        <v>6384</v>
      </c>
    </row>
    <row r="2705" spans="2:6" x14ac:dyDescent="0.35">
      <c r="B2705">
        <v>4502377310</v>
      </c>
      <c r="C2705">
        <v>20</v>
      </c>
      <c r="D2705" t="s">
        <v>6385</v>
      </c>
      <c r="E2705" t="s">
        <v>4039</v>
      </c>
      <c r="F2705" t="s">
        <v>6386</v>
      </c>
    </row>
    <row r="2706" spans="2:6" x14ac:dyDescent="0.35">
      <c r="B2706">
        <v>4502377310</v>
      </c>
      <c r="C2706">
        <v>10</v>
      </c>
      <c r="D2706" t="s">
        <v>6387</v>
      </c>
      <c r="E2706" t="s">
        <v>4039</v>
      </c>
      <c r="F2706" t="s">
        <v>6388</v>
      </c>
    </row>
    <row r="2707" spans="2:6" x14ac:dyDescent="0.35">
      <c r="B2707">
        <v>4502377279</v>
      </c>
      <c r="C2707">
        <v>10</v>
      </c>
      <c r="D2707" t="s">
        <v>6069</v>
      </c>
      <c r="E2707" t="s">
        <v>4039</v>
      </c>
      <c r="F2707" t="s">
        <v>6389</v>
      </c>
    </row>
    <row r="2708" spans="2:6" x14ac:dyDescent="0.35">
      <c r="B2708">
        <v>4502377256</v>
      </c>
      <c r="C2708">
        <v>10</v>
      </c>
      <c r="D2708" t="s">
        <v>6390</v>
      </c>
      <c r="E2708" t="s">
        <v>4039</v>
      </c>
      <c r="F2708" t="s">
        <v>6391</v>
      </c>
    </row>
    <row r="2709" spans="2:6" x14ac:dyDescent="0.35">
      <c r="B2709">
        <v>4502377016</v>
      </c>
      <c r="C2709">
        <v>20</v>
      </c>
      <c r="D2709" t="s">
        <v>6392</v>
      </c>
      <c r="E2709" t="s">
        <v>4039</v>
      </c>
      <c r="F2709" t="s">
        <v>6393</v>
      </c>
    </row>
    <row r="2710" spans="2:6" x14ac:dyDescent="0.35">
      <c r="B2710">
        <v>4502377009</v>
      </c>
      <c r="C2710">
        <v>10</v>
      </c>
      <c r="D2710" t="s">
        <v>6394</v>
      </c>
      <c r="E2710" t="s">
        <v>4039</v>
      </c>
      <c r="F2710" t="s">
        <v>6395</v>
      </c>
    </row>
    <row r="2711" spans="2:6" x14ac:dyDescent="0.35">
      <c r="B2711">
        <v>4502376613</v>
      </c>
      <c r="C2711">
        <v>10</v>
      </c>
      <c r="D2711" t="s">
        <v>359</v>
      </c>
      <c r="E2711" t="s">
        <v>4039</v>
      </c>
      <c r="F2711" t="s">
        <v>6396</v>
      </c>
    </row>
    <row r="2712" spans="2:6" x14ac:dyDescent="0.35">
      <c r="B2712">
        <v>4502375895</v>
      </c>
      <c r="C2712">
        <v>30</v>
      </c>
      <c r="D2712" t="s">
        <v>6397</v>
      </c>
      <c r="E2712" t="s">
        <v>4039</v>
      </c>
      <c r="F2712" t="s">
        <v>6398</v>
      </c>
    </row>
    <row r="2713" spans="2:6" x14ac:dyDescent="0.35">
      <c r="B2713">
        <v>4502375895</v>
      </c>
      <c r="C2713">
        <v>20</v>
      </c>
      <c r="D2713" t="s">
        <v>6399</v>
      </c>
      <c r="E2713" t="s">
        <v>4039</v>
      </c>
      <c r="F2713" t="s">
        <v>6400</v>
      </c>
    </row>
    <row r="2714" spans="2:6" x14ac:dyDescent="0.35">
      <c r="B2714">
        <v>4502375895</v>
      </c>
      <c r="C2714">
        <v>10</v>
      </c>
      <c r="D2714" t="s">
        <v>6401</v>
      </c>
      <c r="E2714" t="s">
        <v>4039</v>
      </c>
      <c r="F2714" t="s">
        <v>6402</v>
      </c>
    </row>
    <row r="2715" spans="2:6" x14ac:dyDescent="0.35">
      <c r="B2715">
        <v>4502375230</v>
      </c>
      <c r="C2715">
        <v>10</v>
      </c>
      <c r="D2715" t="s">
        <v>3801</v>
      </c>
      <c r="E2715" t="s">
        <v>4039</v>
      </c>
      <c r="F2715" t="s">
        <v>6403</v>
      </c>
    </row>
    <row r="2716" spans="2:6" x14ac:dyDescent="0.35">
      <c r="B2716">
        <v>4502375122</v>
      </c>
      <c r="C2716">
        <v>20</v>
      </c>
      <c r="D2716" t="s">
        <v>6404</v>
      </c>
      <c r="E2716" t="s">
        <v>4039</v>
      </c>
      <c r="F2716" t="s">
        <v>6405</v>
      </c>
    </row>
    <row r="2717" spans="2:6" x14ac:dyDescent="0.35">
      <c r="B2717">
        <v>4502373294</v>
      </c>
      <c r="C2717">
        <v>10</v>
      </c>
      <c r="D2717" t="s">
        <v>6406</v>
      </c>
      <c r="E2717" t="s">
        <v>6407</v>
      </c>
      <c r="F2717" t="s">
        <v>6408</v>
      </c>
    </row>
    <row r="2718" spans="2:6" x14ac:dyDescent="0.35">
      <c r="B2718">
        <v>4502372822</v>
      </c>
      <c r="C2718">
        <v>20</v>
      </c>
      <c r="D2718" t="s">
        <v>6409</v>
      </c>
      <c r="E2718" t="s">
        <v>6407</v>
      </c>
      <c r="F2718" t="s">
        <v>6410</v>
      </c>
    </row>
    <row r="2719" spans="2:6" x14ac:dyDescent="0.35">
      <c r="B2719">
        <v>4502372822</v>
      </c>
      <c r="C2719">
        <v>10</v>
      </c>
      <c r="D2719" t="s">
        <v>6409</v>
      </c>
      <c r="E2719" t="s">
        <v>6407</v>
      </c>
      <c r="F2719" t="s">
        <v>6410</v>
      </c>
    </row>
    <row r="2720" spans="2:6" x14ac:dyDescent="0.35">
      <c r="B2720">
        <v>4502372504</v>
      </c>
      <c r="C2720">
        <v>10</v>
      </c>
      <c r="D2720" t="s">
        <v>6411</v>
      </c>
      <c r="E2720" t="s">
        <v>6407</v>
      </c>
      <c r="F2720" t="s">
        <v>6412</v>
      </c>
    </row>
    <row r="2721" spans="2:6" x14ac:dyDescent="0.35">
      <c r="B2721">
        <v>4502372313</v>
      </c>
      <c r="C2721">
        <v>20</v>
      </c>
      <c r="D2721" t="s">
        <v>6347</v>
      </c>
      <c r="E2721" t="s">
        <v>6407</v>
      </c>
      <c r="F2721" t="s">
        <v>6413</v>
      </c>
    </row>
    <row r="2722" spans="2:6" x14ac:dyDescent="0.35">
      <c r="B2722">
        <v>4502372313</v>
      </c>
      <c r="C2722">
        <v>10</v>
      </c>
      <c r="D2722" t="s">
        <v>6414</v>
      </c>
      <c r="E2722" t="s">
        <v>6407</v>
      </c>
      <c r="F2722" t="s">
        <v>6415</v>
      </c>
    </row>
    <row r="2723" spans="2:6" x14ac:dyDescent="0.35">
      <c r="B2723">
        <v>4502371843</v>
      </c>
      <c r="C2723">
        <v>10</v>
      </c>
      <c r="D2723" t="s">
        <v>5123</v>
      </c>
      <c r="E2723" t="s">
        <v>6407</v>
      </c>
      <c r="F2723" t="s">
        <v>6416</v>
      </c>
    </row>
    <row r="2724" spans="2:6" x14ac:dyDescent="0.35">
      <c r="B2724">
        <v>4502367664</v>
      </c>
      <c r="C2724">
        <v>20</v>
      </c>
      <c r="D2724" t="s">
        <v>6417</v>
      </c>
      <c r="E2724" t="s">
        <v>6407</v>
      </c>
      <c r="F2724" t="s">
        <v>6418</v>
      </c>
    </row>
    <row r="2725" spans="2:6" x14ac:dyDescent="0.35">
      <c r="B2725">
        <v>4502367664</v>
      </c>
      <c r="C2725">
        <v>10</v>
      </c>
      <c r="D2725" t="s">
        <v>6419</v>
      </c>
      <c r="E2725" t="s">
        <v>6407</v>
      </c>
      <c r="F2725" t="s">
        <v>6420</v>
      </c>
    </row>
    <row r="2726" spans="2:6" x14ac:dyDescent="0.35">
      <c r="B2726">
        <v>4502367650</v>
      </c>
      <c r="C2726">
        <v>10</v>
      </c>
      <c r="D2726" t="s">
        <v>6421</v>
      </c>
      <c r="E2726" t="s">
        <v>6407</v>
      </c>
      <c r="F2726" t="s">
        <v>6422</v>
      </c>
    </row>
    <row r="2727" spans="2:6" x14ac:dyDescent="0.35">
      <c r="B2727">
        <v>4502365530</v>
      </c>
      <c r="C2727">
        <v>40</v>
      </c>
      <c r="D2727" t="s">
        <v>6423</v>
      </c>
      <c r="E2727" t="s">
        <v>6407</v>
      </c>
      <c r="F2727" t="s">
        <v>6424</v>
      </c>
    </row>
    <row r="2728" spans="2:6" x14ac:dyDescent="0.35">
      <c r="B2728">
        <v>4502365530</v>
      </c>
      <c r="C2728">
        <v>30</v>
      </c>
      <c r="D2728" t="s">
        <v>6425</v>
      </c>
      <c r="E2728" t="s">
        <v>6407</v>
      </c>
      <c r="F2728" t="s">
        <v>6426</v>
      </c>
    </row>
    <row r="2729" spans="2:6" x14ac:dyDescent="0.35">
      <c r="B2729">
        <v>4502365530</v>
      </c>
      <c r="C2729">
        <v>20</v>
      </c>
      <c r="D2729" t="s">
        <v>6427</v>
      </c>
      <c r="E2729" t="s">
        <v>6407</v>
      </c>
      <c r="F2729" t="s">
        <v>6428</v>
      </c>
    </row>
    <row r="2730" spans="2:6" x14ac:dyDescent="0.35">
      <c r="B2730">
        <v>4502365530</v>
      </c>
      <c r="C2730">
        <v>10</v>
      </c>
      <c r="D2730" t="s">
        <v>6429</v>
      </c>
      <c r="E2730" t="s">
        <v>6407</v>
      </c>
      <c r="F2730" t="s">
        <v>6430</v>
      </c>
    </row>
    <row r="2731" spans="2:6" x14ac:dyDescent="0.35">
      <c r="B2731">
        <v>4502364949</v>
      </c>
      <c r="C2731">
        <v>10</v>
      </c>
      <c r="D2731" t="s">
        <v>6431</v>
      </c>
      <c r="E2731" t="s">
        <v>4039</v>
      </c>
      <c r="F2731" t="s">
        <v>6432</v>
      </c>
    </row>
    <row r="2732" spans="2:6" x14ac:dyDescent="0.35">
      <c r="B2732">
        <v>4502364187</v>
      </c>
      <c r="C2732">
        <v>60</v>
      </c>
      <c r="D2732" t="s">
        <v>6433</v>
      </c>
      <c r="E2732" t="s">
        <v>4039</v>
      </c>
      <c r="F2732" t="s">
        <v>6434</v>
      </c>
    </row>
    <row r="2733" spans="2:6" x14ac:dyDescent="0.35">
      <c r="B2733">
        <v>4502364187</v>
      </c>
      <c r="C2733">
        <v>50</v>
      </c>
      <c r="D2733" t="s">
        <v>6433</v>
      </c>
      <c r="E2733" t="s">
        <v>4039</v>
      </c>
      <c r="F2733" t="s">
        <v>6434</v>
      </c>
    </row>
    <row r="2734" spans="2:6" x14ac:dyDescent="0.35">
      <c r="B2734">
        <v>4502364156</v>
      </c>
      <c r="C2734">
        <v>20</v>
      </c>
      <c r="D2734" t="s">
        <v>6435</v>
      </c>
      <c r="E2734" t="s">
        <v>4039</v>
      </c>
      <c r="F2734" t="s">
        <v>6436</v>
      </c>
    </row>
    <row r="2735" spans="2:6" x14ac:dyDescent="0.35">
      <c r="B2735">
        <v>4502364156</v>
      </c>
      <c r="C2735">
        <v>10</v>
      </c>
      <c r="D2735" t="s">
        <v>6437</v>
      </c>
      <c r="E2735" t="s">
        <v>4039</v>
      </c>
      <c r="F2735" t="s">
        <v>6438</v>
      </c>
    </row>
    <row r="2736" spans="2:6" x14ac:dyDescent="0.35">
      <c r="B2736">
        <v>4502363551</v>
      </c>
      <c r="C2736">
        <v>10</v>
      </c>
      <c r="D2736" t="s">
        <v>6439</v>
      </c>
      <c r="E2736" t="s">
        <v>4039</v>
      </c>
      <c r="F2736" t="s">
        <v>6440</v>
      </c>
    </row>
    <row r="2737" spans="2:6" x14ac:dyDescent="0.35">
      <c r="B2737">
        <v>4502357836</v>
      </c>
      <c r="C2737">
        <v>10</v>
      </c>
      <c r="D2737" t="s">
        <v>6441</v>
      </c>
      <c r="E2737" t="s">
        <v>4039</v>
      </c>
      <c r="F2737" t="s">
        <v>6442</v>
      </c>
    </row>
    <row r="2738" spans="2:6" x14ac:dyDescent="0.35">
      <c r="B2738">
        <v>4502357682</v>
      </c>
      <c r="C2738">
        <v>10</v>
      </c>
      <c r="D2738" t="s">
        <v>6443</v>
      </c>
      <c r="E2738" t="s">
        <v>4039</v>
      </c>
      <c r="F2738" t="s">
        <v>6444</v>
      </c>
    </row>
    <row r="2739" spans="2:6" x14ac:dyDescent="0.35">
      <c r="B2739">
        <v>4502351647</v>
      </c>
      <c r="C2739">
        <v>30</v>
      </c>
      <c r="D2739" t="s">
        <v>6445</v>
      </c>
      <c r="E2739" t="s">
        <v>4039</v>
      </c>
      <c r="F2739" t="s">
        <v>6446</v>
      </c>
    </row>
    <row r="2740" spans="2:6" x14ac:dyDescent="0.35">
      <c r="B2740">
        <v>4502350253</v>
      </c>
      <c r="C2740">
        <v>10</v>
      </c>
      <c r="D2740" t="s">
        <v>6447</v>
      </c>
      <c r="E2740" t="s">
        <v>4039</v>
      </c>
      <c r="F2740" t="s">
        <v>6448</v>
      </c>
    </row>
    <row r="2741" spans="2:6" x14ac:dyDescent="0.35">
      <c r="B2741">
        <v>4502349976</v>
      </c>
      <c r="C2741">
        <v>40</v>
      </c>
      <c r="D2741" t="s">
        <v>6449</v>
      </c>
      <c r="E2741" t="s">
        <v>4039</v>
      </c>
      <c r="F2741" t="s">
        <v>6450</v>
      </c>
    </row>
    <row r="2742" spans="2:6" x14ac:dyDescent="0.35">
      <c r="B2742">
        <v>4502348608</v>
      </c>
      <c r="C2742">
        <v>10</v>
      </c>
      <c r="D2742" t="s">
        <v>6451</v>
      </c>
      <c r="E2742" t="s">
        <v>4039</v>
      </c>
      <c r="F2742" t="s">
        <v>6452</v>
      </c>
    </row>
    <row r="2743" spans="2:6" x14ac:dyDescent="0.35">
      <c r="B2743">
        <v>4502348599</v>
      </c>
      <c r="C2743">
        <v>10</v>
      </c>
      <c r="D2743" t="s">
        <v>6453</v>
      </c>
      <c r="E2743" t="s">
        <v>4039</v>
      </c>
      <c r="F2743" t="s">
        <v>6454</v>
      </c>
    </row>
    <row r="2744" spans="2:6" x14ac:dyDescent="0.35">
      <c r="B2744">
        <v>4502348006</v>
      </c>
      <c r="C2744">
        <v>10</v>
      </c>
      <c r="D2744" t="s">
        <v>6455</v>
      </c>
      <c r="E2744" t="s">
        <v>4039</v>
      </c>
      <c r="F2744" t="s">
        <v>6456</v>
      </c>
    </row>
    <row r="2745" spans="2:6" x14ac:dyDescent="0.35">
      <c r="B2745">
        <v>4502346010</v>
      </c>
      <c r="C2745">
        <v>10</v>
      </c>
      <c r="D2745" t="s">
        <v>6457</v>
      </c>
      <c r="E2745" t="s">
        <v>4039</v>
      </c>
      <c r="F2745" t="s">
        <v>6458</v>
      </c>
    </row>
    <row r="2746" spans="2:6" x14ac:dyDescent="0.35">
      <c r="B2746">
        <v>4502342657</v>
      </c>
      <c r="C2746">
        <v>10</v>
      </c>
      <c r="D2746" t="s">
        <v>6459</v>
      </c>
      <c r="E2746" t="s">
        <v>4039</v>
      </c>
      <c r="F2746" t="s">
        <v>6460</v>
      </c>
    </row>
    <row r="2747" spans="2:6" x14ac:dyDescent="0.35">
      <c r="B2747">
        <v>4502341852</v>
      </c>
      <c r="C2747">
        <v>10</v>
      </c>
      <c r="D2747" t="s">
        <v>6461</v>
      </c>
      <c r="E2747" t="s">
        <v>4039</v>
      </c>
      <c r="F2747" t="s">
        <v>6462</v>
      </c>
    </row>
    <row r="2748" spans="2:6" x14ac:dyDescent="0.35">
      <c r="B2748">
        <v>4502341437</v>
      </c>
      <c r="C2748">
        <v>10</v>
      </c>
      <c r="D2748" t="s">
        <v>6463</v>
      </c>
      <c r="E2748" t="s">
        <v>4039</v>
      </c>
      <c r="F2748" t="s">
        <v>6464</v>
      </c>
    </row>
    <row r="2749" spans="2:6" x14ac:dyDescent="0.35">
      <c r="B2749">
        <v>4502340965</v>
      </c>
      <c r="C2749">
        <v>20</v>
      </c>
      <c r="D2749" t="s">
        <v>6465</v>
      </c>
      <c r="E2749" t="s">
        <v>6105</v>
      </c>
      <c r="F2749" t="s">
        <v>6466</v>
      </c>
    </row>
    <row r="2750" spans="2:6" x14ac:dyDescent="0.35">
      <c r="B2750">
        <v>4502340924</v>
      </c>
      <c r="C2750">
        <v>10</v>
      </c>
      <c r="D2750" t="s">
        <v>6467</v>
      </c>
      <c r="E2750" t="s">
        <v>4039</v>
      </c>
      <c r="F2750" t="s">
        <v>6468</v>
      </c>
    </row>
    <row r="2751" spans="2:6" x14ac:dyDescent="0.35">
      <c r="B2751">
        <v>4502339996</v>
      </c>
      <c r="C2751">
        <v>10</v>
      </c>
      <c r="D2751" t="s">
        <v>6469</v>
      </c>
      <c r="E2751" t="s">
        <v>4039</v>
      </c>
      <c r="F2751" t="s">
        <v>6470</v>
      </c>
    </row>
    <row r="2752" spans="2:6" x14ac:dyDescent="0.35">
      <c r="B2752">
        <v>4502339988</v>
      </c>
      <c r="C2752">
        <v>40</v>
      </c>
      <c r="D2752" t="s">
        <v>6471</v>
      </c>
      <c r="E2752" t="s">
        <v>4039</v>
      </c>
      <c r="F2752" t="s">
        <v>6472</v>
      </c>
    </row>
    <row r="2753" spans="2:6" x14ac:dyDescent="0.35">
      <c r="B2753">
        <v>4502339988</v>
      </c>
      <c r="C2753">
        <v>30</v>
      </c>
      <c r="D2753" t="s">
        <v>6473</v>
      </c>
      <c r="E2753" t="s">
        <v>4039</v>
      </c>
      <c r="F2753" t="s">
        <v>6474</v>
      </c>
    </row>
    <row r="2754" spans="2:6" x14ac:dyDescent="0.35">
      <c r="B2754">
        <v>4502339988</v>
      </c>
      <c r="C2754">
        <v>20</v>
      </c>
      <c r="D2754" t="s">
        <v>6475</v>
      </c>
      <c r="E2754" t="s">
        <v>4039</v>
      </c>
      <c r="F2754" t="s">
        <v>6476</v>
      </c>
    </row>
    <row r="2755" spans="2:6" x14ac:dyDescent="0.35">
      <c r="B2755">
        <v>4502339988</v>
      </c>
      <c r="C2755">
        <v>10</v>
      </c>
      <c r="D2755" t="s">
        <v>6477</v>
      </c>
      <c r="E2755" t="s">
        <v>4039</v>
      </c>
      <c r="F2755" t="s">
        <v>6478</v>
      </c>
    </row>
    <row r="2756" spans="2:6" x14ac:dyDescent="0.35">
      <c r="B2756">
        <v>4502339984</v>
      </c>
      <c r="C2756">
        <v>20</v>
      </c>
      <c r="D2756" t="s">
        <v>6479</v>
      </c>
      <c r="E2756" t="s">
        <v>4039</v>
      </c>
      <c r="F2756" t="s">
        <v>6480</v>
      </c>
    </row>
    <row r="2757" spans="2:6" x14ac:dyDescent="0.35">
      <c r="B2757">
        <v>4502339984</v>
      </c>
      <c r="C2757">
        <v>10</v>
      </c>
      <c r="D2757" t="s">
        <v>1217</v>
      </c>
      <c r="E2757" t="s">
        <v>4039</v>
      </c>
      <c r="F2757" t="s">
        <v>6481</v>
      </c>
    </row>
    <row r="2758" spans="2:6" x14ac:dyDescent="0.35">
      <c r="B2758">
        <v>4502339874</v>
      </c>
      <c r="C2758">
        <v>10</v>
      </c>
      <c r="D2758" t="s">
        <v>6482</v>
      </c>
      <c r="E2758" t="s">
        <v>6483</v>
      </c>
      <c r="F2758" t="s">
        <v>6484</v>
      </c>
    </row>
    <row r="2759" spans="2:6" x14ac:dyDescent="0.35">
      <c r="B2759">
        <v>4502335267</v>
      </c>
      <c r="C2759">
        <v>20</v>
      </c>
      <c r="D2759" t="s">
        <v>6485</v>
      </c>
      <c r="E2759" t="s">
        <v>6483</v>
      </c>
      <c r="F2759" t="s">
        <v>6486</v>
      </c>
    </row>
    <row r="2760" spans="2:6" x14ac:dyDescent="0.35">
      <c r="B2760">
        <v>4502335267</v>
      </c>
      <c r="C2760">
        <v>10</v>
      </c>
      <c r="D2760" t="s">
        <v>6487</v>
      </c>
      <c r="E2760" t="s">
        <v>6483</v>
      </c>
      <c r="F2760" t="s">
        <v>6488</v>
      </c>
    </row>
    <row r="2761" spans="2:6" x14ac:dyDescent="0.35">
      <c r="B2761">
        <v>4502327746</v>
      </c>
      <c r="C2761">
        <v>10</v>
      </c>
      <c r="D2761" t="s">
        <v>6489</v>
      </c>
      <c r="E2761" t="s">
        <v>3200</v>
      </c>
      <c r="F2761" t="s">
        <v>6490</v>
      </c>
    </row>
    <row r="2762" spans="2:6" x14ac:dyDescent="0.35">
      <c r="B2762">
        <v>4502318099</v>
      </c>
      <c r="C2762">
        <v>10</v>
      </c>
      <c r="D2762" t="s">
        <v>6104</v>
      </c>
      <c r="E2762" t="s">
        <v>3200</v>
      </c>
      <c r="F2762" t="s">
        <v>6491</v>
      </c>
    </row>
    <row r="2763" spans="2:6" x14ac:dyDescent="0.35">
      <c r="B2763">
        <v>4502317048</v>
      </c>
      <c r="C2763">
        <v>40</v>
      </c>
      <c r="D2763" t="s">
        <v>6492</v>
      </c>
      <c r="E2763" t="s">
        <v>3200</v>
      </c>
      <c r="F2763" t="s">
        <v>6493</v>
      </c>
    </row>
    <row r="2764" spans="2:6" x14ac:dyDescent="0.35">
      <c r="B2764">
        <v>4502317048</v>
      </c>
      <c r="C2764">
        <v>30</v>
      </c>
      <c r="D2764" t="s">
        <v>6494</v>
      </c>
      <c r="E2764" t="s">
        <v>3200</v>
      </c>
      <c r="F2764" t="s">
        <v>6495</v>
      </c>
    </row>
    <row r="2765" spans="2:6" x14ac:dyDescent="0.35">
      <c r="B2765">
        <v>4502317048</v>
      </c>
      <c r="C2765">
        <v>20</v>
      </c>
      <c r="D2765" t="s">
        <v>6496</v>
      </c>
      <c r="E2765" t="s">
        <v>3200</v>
      </c>
      <c r="F2765" t="s">
        <v>6497</v>
      </c>
    </row>
    <row r="2766" spans="2:6" x14ac:dyDescent="0.35">
      <c r="B2766">
        <v>4502317048</v>
      </c>
      <c r="C2766">
        <v>10</v>
      </c>
      <c r="D2766" t="s">
        <v>3211</v>
      </c>
      <c r="E2766" t="s">
        <v>3200</v>
      </c>
      <c r="F2766" t="s">
        <v>6498</v>
      </c>
    </row>
    <row r="2767" spans="2:6" x14ac:dyDescent="0.35">
      <c r="B2767">
        <v>4502316096</v>
      </c>
      <c r="C2767">
        <v>10</v>
      </c>
      <c r="D2767" t="s">
        <v>6499</v>
      </c>
      <c r="E2767" t="s">
        <v>3200</v>
      </c>
      <c r="F2767" t="s">
        <v>6500</v>
      </c>
    </row>
    <row r="2768" spans="2:6" x14ac:dyDescent="0.35">
      <c r="B2768">
        <v>4502316072</v>
      </c>
      <c r="C2768">
        <v>10</v>
      </c>
      <c r="D2768" t="s">
        <v>3211</v>
      </c>
      <c r="E2768" t="s">
        <v>3200</v>
      </c>
      <c r="F2768" t="s">
        <v>6501</v>
      </c>
    </row>
    <row r="2769" spans="2:6" x14ac:dyDescent="0.35">
      <c r="B2769">
        <v>4502315835</v>
      </c>
      <c r="C2769">
        <v>10</v>
      </c>
      <c r="D2769" t="s">
        <v>6502</v>
      </c>
      <c r="E2769" t="s">
        <v>4767</v>
      </c>
      <c r="F2769" t="s">
        <v>6503</v>
      </c>
    </row>
    <row r="2770" spans="2:6" x14ac:dyDescent="0.35">
      <c r="B2770">
        <v>4502315779</v>
      </c>
      <c r="C2770">
        <v>10</v>
      </c>
      <c r="D2770" t="s">
        <v>6504</v>
      </c>
      <c r="E2770" t="s">
        <v>4767</v>
      </c>
      <c r="F2770" t="s">
        <v>6505</v>
      </c>
    </row>
    <row r="2771" spans="2:6" x14ac:dyDescent="0.35">
      <c r="B2771">
        <v>4502315065</v>
      </c>
      <c r="C2771">
        <v>10</v>
      </c>
      <c r="D2771" t="s">
        <v>5897</v>
      </c>
      <c r="E2771" t="s">
        <v>4039</v>
      </c>
      <c r="F2771" t="s">
        <v>6506</v>
      </c>
    </row>
    <row r="2772" spans="2:6" x14ac:dyDescent="0.35">
      <c r="B2772">
        <v>4502311292</v>
      </c>
      <c r="C2772">
        <v>10</v>
      </c>
      <c r="D2772" t="s">
        <v>6507</v>
      </c>
      <c r="E2772" t="s">
        <v>4039</v>
      </c>
      <c r="F2772" t="s">
        <v>6508</v>
      </c>
    </row>
    <row r="2773" spans="2:6" x14ac:dyDescent="0.35">
      <c r="B2773">
        <v>4502310938</v>
      </c>
      <c r="C2773">
        <v>10</v>
      </c>
      <c r="D2773" t="s">
        <v>6509</v>
      </c>
      <c r="E2773" t="s">
        <v>4039</v>
      </c>
      <c r="F2773" t="s">
        <v>6510</v>
      </c>
    </row>
    <row r="2774" spans="2:6" x14ac:dyDescent="0.35">
      <c r="B2774">
        <v>4502310861</v>
      </c>
      <c r="C2774">
        <v>130</v>
      </c>
      <c r="D2774" t="s">
        <v>6511</v>
      </c>
      <c r="E2774" t="s">
        <v>4039</v>
      </c>
      <c r="F2774" t="s">
        <v>6512</v>
      </c>
    </row>
    <row r="2775" spans="2:6" x14ac:dyDescent="0.35">
      <c r="B2775">
        <v>4502310385</v>
      </c>
      <c r="C2775">
        <v>10</v>
      </c>
      <c r="D2775" t="s">
        <v>6482</v>
      </c>
      <c r="E2775" t="s">
        <v>4039</v>
      </c>
      <c r="F2775" t="s">
        <v>6513</v>
      </c>
    </row>
    <row r="2776" spans="2:6" x14ac:dyDescent="0.35">
      <c r="B2776">
        <v>4502308327</v>
      </c>
      <c r="C2776">
        <v>10</v>
      </c>
      <c r="D2776" t="s">
        <v>6514</v>
      </c>
      <c r="E2776" t="s">
        <v>4039</v>
      </c>
      <c r="F2776" t="s">
        <v>6515</v>
      </c>
    </row>
    <row r="2777" spans="2:6" x14ac:dyDescent="0.35">
      <c r="B2777">
        <v>4502306811</v>
      </c>
      <c r="C2777">
        <v>10</v>
      </c>
      <c r="D2777" t="s">
        <v>6516</v>
      </c>
      <c r="E2777" t="s">
        <v>4039</v>
      </c>
      <c r="F2777" t="s">
        <v>6517</v>
      </c>
    </row>
    <row r="2778" spans="2:6" x14ac:dyDescent="0.35">
      <c r="B2778">
        <v>4502305623</v>
      </c>
      <c r="C2778">
        <v>10</v>
      </c>
      <c r="D2778" t="s">
        <v>6518</v>
      </c>
      <c r="E2778" t="s">
        <v>4039</v>
      </c>
      <c r="F2778" t="s">
        <v>6519</v>
      </c>
    </row>
    <row r="2779" spans="2:6" x14ac:dyDescent="0.35">
      <c r="B2779">
        <v>4502303895</v>
      </c>
      <c r="C2779">
        <v>10</v>
      </c>
      <c r="D2779" t="s">
        <v>1484</v>
      </c>
      <c r="E2779" t="s">
        <v>4039</v>
      </c>
      <c r="F2779" t="s">
        <v>6520</v>
      </c>
    </row>
    <row r="2780" spans="2:6" x14ac:dyDescent="0.35">
      <c r="B2780">
        <v>4502303436</v>
      </c>
      <c r="C2780">
        <v>10</v>
      </c>
      <c r="D2780" t="s">
        <v>6521</v>
      </c>
      <c r="E2780" t="s">
        <v>4039</v>
      </c>
      <c r="F2780" t="s">
        <v>6522</v>
      </c>
    </row>
    <row r="2781" spans="2:6" x14ac:dyDescent="0.35">
      <c r="B2781">
        <v>4502303424</v>
      </c>
      <c r="C2781">
        <v>20</v>
      </c>
      <c r="D2781" t="s">
        <v>6523</v>
      </c>
      <c r="E2781" t="s">
        <v>4039</v>
      </c>
      <c r="F2781" t="s">
        <v>6524</v>
      </c>
    </row>
    <row r="2782" spans="2:6" x14ac:dyDescent="0.35">
      <c r="B2782">
        <v>4502303424</v>
      </c>
      <c r="C2782">
        <v>10</v>
      </c>
      <c r="D2782" t="s">
        <v>6525</v>
      </c>
      <c r="E2782" t="s">
        <v>4039</v>
      </c>
      <c r="F2782" t="s">
        <v>6526</v>
      </c>
    </row>
    <row r="2783" spans="2:6" x14ac:dyDescent="0.35">
      <c r="B2783">
        <v>4502302599</v>
      </c>
      <c r="C2783">
        <v>20</v>
      </c>
      <c r="D2783" t="s">
        <v>6527</v>
      </c>
      <c r="E2783" t="s">
        <v>4039</v>
      </c>
      <c r="F2783" t="s">
        <v>6528</v>
      </c>
    </row>
    <row r="2784" spans="2:6" x14ac:dyDescent="0.35">
      <c r="B2784">
        <v>4502301478</v>
      </c>
      <c r="C2784">
        <v>20</v>
      </c>
      <c r="D2784" t="s">
        <v>6529</v>
      </c>
      <c r="E2784" t="s">
        <v>4039</v>
      </c>
      <c r="F2784" t="s">
        <v>6530</v>
      </c>
    </row>
    <row r="2785" spans="2:6" x14ac:dyDescent="0.35">
      <c r="B2785">
        <v>4502301478</v>
      </c>
      <c r="C2785">
        <v>10</v>
      </c>
      <c r="D2785" t="s">
        <v>6531</v>
      </c>
      <c r="E2785" t="s">
        <v>4039</v>
      </c>
      <c r="F2785" t="s">
        <v>6532</v>
      </c>
    </row>
    <row r="2786" spans="2:6" x14ac:dyDescent="0.35">
      <c r="B2786">
        <v>4502300350</v>
      </c>
      <c r="C2786">
        <v>10</v>
      </c>
      <c r="D2786" t="s">
        <v>2475</v>
      </c>
      <c r="E2786" t="s">
        <v>4039</v>
      </c>
      <c r="F2786" t="s">
        <v>6533</v>
      </c>
    </row>
    <row r="2787" spans="2:6" x14ac:dyDescent="0.35">
      <c r="B2787">
        <v>4502298869</v>
      </c>
      <c r="C2787">
        <v>20</v>
      </c>
      <c r="D2787" t="s">
        <v>6534</v>
      </c>
      <c r="E2787" t="s">
        <v>4039</v>
      </c>
      <c r="F2787" t="s">
        <v>6535</v>
      </c>
    </row>
    <row r="2788" spans="2:6" x14ac:dyDescent="0.35">
      <c r="B2788">
        <v>4502298869</v>
      </c>
      <c r="C2788">
        <v>10</v>
      </c>
      <c r="D2788" t="s">
        <v>6536</v>
      </c>
      <c r="E2788" t="s">
        <v>4039</v>
      </c>
      <c r="F2788" t="s">
        <v>6537</v>
      </c>
    </row>
    <row r="2789" spans="2:6" x14ac:dyDescent="0.35">
      <c r="B2789">
        <v>4502297655</v>
      </c>
      <c r="C2789">
        <v>40</v>
      </c>
      <c r="D2789" t="s">
        <v>6538</v>
      </c>
      <c r="E2789" t="s">
        <v>4039</v>
      </c>
      <c r="F2789" t="s">
        <v>6539</v>
      </c>
    </row>
    <row r="2790" spans="2:6" x14ac:dyDescent="0.35">
      <c r="B2790">
        <v>4502295938</v>
      </c>
      <c r="C2790">
        <v>10</v>
      </c>
      <c r="D2790" t="s">
        <v>6540</v>
      </c>
      <c r="E2790" t="s">
        <v>4039</v>
      </c>
      <c r="F2790" t="s">
        <v>6541</v>
      </c>
    </row>
    <row r="2791" spans="2:6" x14ac:dyDescent="0.35">
      <c r="B2791">
        <v>4502295497</v>
      </c>
      <c r="C2791">
        <v>10</v>
      </c>
      <c r="D2791" t="s">
        <v>6542</v>
      </c>
      <c r="E2791" t="s">
        <v>4039</v>
      </c>
      <c r="F2791" t="s">
        <v>6543</v>
      </c>
    </row>
    <row r="2792" spans="2:6" x14ac:dyDescent="0.35">
      <c r="B2792">
        <v>4502293159</v>
      </c>
      <c r="C2792">
        <v>10</v>
      </c>
      <c r="D2792" t="s">
        <v>6544</v>
      </c>
      <c r="E2792" t="s">
        <v>4039</v>
      </c>
      <c r="F2792" t="s">
        <v>6545</v>
      </c>
    </row>
    <row r="2793" spans="2:6" x14ac:dyDescent="0.35">
      <c r="B2793">
        <v>4502290572</v>
      </c>
      <c r="C2793">
        <v>10</v>
      </c>
      <c r="D2793" t="s">
        <v>6546</v>
      </c>
      <c r="E2793" t="s">
        <v>4039</v>
      </c>
      <c r="F2793" t="s">
        <v>6547</v>
      </c>
    </row>
    <row r="2794" spans="2:6" x14ac:dyDescent="0.35">
      <c r="B2794">
        <v>4502286581</v>
      </c>
      <c r="C2794">
        <v>10</v>
      </c>
      <c r="D2794" t="s">
        <v>6548</v>
      </c>
      <c r="E2794" t="s">
        <v>4039</v>
      </c>
      <c r="F2794" t="s">
        <v>6549</v>
      </c>
    </row>
    <row r="2795" spans="2:6" x14ac:dyDescent="0.35">
      <c r="B2795">
        <v>4502286417</v>
      </c>
      <c r="C2795">
        <v>10</v>
      </c>
      <c r="D2795" t="s">
        <v>6550</v>
      </c>
      <c r="E2795" t="s">
        <v>4039</v>
      </c>
      <c r="F2795" t="s">
        <v>6551</v>
      </c>
    </row>
    <row r="2796" spans="2:6" x14ac:dyDescent="0.35">
      <c r="B2796">
        <v>4502283016</v>
      </c>
      <c r="C2796">
        <v>30</v>
      </c>
      <c r="D2796" t="s">
        <v>6552</v>
      </c>
      <c r="E2796" t="s">
        <v>4039</v>
      </c>
      <c r="F2796" t="s">
        <v>6553</v>
      </c>
    </row>
    <row r="2797" spans="2:6" x14ac:dyDescent="0.35">
      <c r="B2797">
        <v>4502283016</v>
      </c>
      <c r="C2797">
        <v>140</v>
      </c>
      <c r="D2797" t="s">
        <v>6554</v>
      </c>
      <c r="E2797" t="s">
        <v>4039</v>
      </c>
      <c r="F2797" t="s">
        <v>6555</v>
      </c>
    </row>
    <row r="2798" spans="2:6" x14ac:dyDescent="0.35">
      <c r="B2798">
        <v>4502278503</v>
      </c>
      <c r="C2798">
        <v>10</v>
      </c>
      <c r="D2798" t="s">
        <v>6556</v>
      </c>
      <c r="E2798" t="s">
        <v>4039</v>
      </c>
      <c r="F2798" t="s">
        <v>6557</v>
      </c>
    </row>
    <row r="2799" spans="2:6" x14ac:dyDescent="0.35">
      <c r="B2799">
        <v>4502277122</v>
      </c>
      <c r="C2799">
        <v>10</v>
      </c>
      <c r="D2799" t="s">
        <v>6558</v>
      </c>
      <c r="E2799" t="s">
        <v>4039</v>
      </c>
      <c r="F2799" t="s">
        <v>6559</v>
      </c>
    </row>
    <row r="2800" spans="2:6" x14ac:dyDescent="0.35">
      <c r="B2800">
        <v>4502276366</v>
      </c>
      <c r="C2800">
        <v>20</v>
      </c>
      <c r="D2800" t="s">
        <v>6560</v>
      </c>
      <c r="E2800" t="s">
        <v>4767</v>
      </c>
      <c r="F2800" t="s">
        <v>6561</v>
      </c>
    </row>
    <row r="2801" spans="2:6" x14ac:dyDescent="0.35">
      <c r="B2801">
        <v>4502276366</v>
      </c>
      <c r="C2801">
        <v>10</v>
      </c>
      <c r="D2801" t="s">
        <v>6562</v>
      </c>
      <c r="E2801" t="s">
        <v>4767</v>
      </c>
      <c r="F2801" t="s">
        <v>6563</v>
      </c>
    </row>
    <row r="2802" spans="2:6" x14ac:dyDescent="0.35">
      <c r="B2802">
        <v>4502274955</v>
      </c>
      <c r="C2802">
        <v>20</v>
      </c>
      <c r="D2802" t="s">
        <v>6564</v>
      </c>
      <c r="E2802" t="s">
        <v>4039</v>
      </c>
      <c r="F2802" t="s">
        <v>6565</v>
      </c>
    </row>
    <row r="2803" spans="2:6" x14ac:dyDescent="0.35">
      <c r="B2803">
        <v>4502273037</v>
      </c>
      <c r="C2803">
        <v>70</v>
      </c>
      <c r="D2803" t="s">
        <v>6566</v>
      </c>
      <c r="E2803" t="s">
        <v>4039</v>
      </c>
      <c r="F2803" t="s">
        <v>6567</v>
      </c>
    </row>
    <row r="2804" spans="2:6" x14ac:dyDescent="0.35">
      <c r="B2804">
        <v>4502273037</v>
      </c>
      <c r="C2804">
        <v>40</v>
      </c>
      <c r="D2804" t="s">
        <v>6568</v>
      </c>
      <c r="E2804" t="s">
        <v>4039</v>
      </c>
      <c r="F2804" t="s">
        <v>6569</v>
      </c>
    </row>
    <row r="2805" spans="2:6" x14ac:dyDescent="0.35">
      <c r="B2805">
        <v>4502272737</v>
      </c>
      <c r="C2805">
        <v>10</v>
      </c>
      <c r="D2805" t="s">
        <v>6449</v>
      </c>
      <c r="E2805" t="s">
        <v>4039</v>
      </c>
      <c r="F2805" t="s">
        <v>6570</v>
      </c>
    </row>
    <row r="2806" spans="2:6" x14ac:dyDescent="0.35">
      <c r="B2806">
        <v>4502270694</v>
      </c>
      <c r="C2806">
        <v>10</v>
      </c>
      <c r="D2806" t="s">
        <v>6571</v>
      </c>
      <c r="E2806" t="s">
        <v>4767</v>
      </c>
      <c r="F2806" t="s">
        <v>6572</v>
      </c>
    </row>
    <row r="2807" spans="2:6" x14ac:dyDescent="0.35">
      <c r="B2807">
        <v>4502269785</v>
      </c>
      <c r="C2807">
        <v>20</v>
      </c>
      <c r="D2807" t="s">
        <v>6573</v>
      </c>
      <c r="E2807" t="s">
        <v>4039</v>
      </c>
      <c r="F2807" t="s">
        <v>6574</v>
      </c>
    </row>
    <row r="2808" spans="2:6" x14ac:dyDescent="0.35">
      <c r="B2808">
        <v>4502269785</v>
      </c>
      <c r="C2808">
        <v>10</v>
      </c>
      <c r="D2808" t="s">
        <v>6347</v>
      </c>
      <c r="E2808" t="s">
        <v>4039</v>
      </c>
      <c r="F2808" t="s">
        <v>6575</v>
      </c>
    </row>
    <row r="2809" spans="2:6" x14ac:dyDescent="0.35">
      <c r="B2809">
        <v>4502266846</v>
      </c>
      <c r="C2809">
        <v>10</v>
      </c>
      <c r="D2809" t="s">
        <v>6576</v>
      </c>
      <c r="E2809" t="s">
        <v>4039</v>
      </c>
      <c r="F2809" t="s">
        <v>6577</v>
      </c>
    </row>
    <row r="2810" spans="2:6" x14ac:dyDescent="0.35">
      <c r="B2810">
        <v>4502262319</v>
      </c>
      <c r="C2810">
        <v>10</v>
      </c>
      <c r="D2810" t="s">
        <v>2506</v>
      </c>
      <c r="E2810" t="s">
        <v>4039</v>
      </c>
      <c r="F2810" t="s">
        <v>6578</v>
      </c>
    </row>
    <row r="2811" spans="2:6" x14ac:dyDescent="0.35">
      <c r="B2811">
        <v>4502261101</v>
      </c>
      <c r="C2811">
        <v>10</v>
      </c>
      <c r="D2811" t="s">
        <v>6579</v>
      </c>
      <c r="E2811" t="s">
        <v>4039</v>
      </c>
      <c r="F2811" t="s">
        <v>6580</v>
      </c>
    </row>
    <row r="2812" spans="2:6" x14ac:dyDescent="0.35">
      <c r="B2812">
        <v>4502260787</v>
      </c>
      <c r="C2812">
        <v>10</v>
      </c>
      <c r="D2812" t="s">
        <v>6581</v>
      </c>
      <c r="E2812" t="s">
        <v>3200</v>
      </c>
      <c r="F2812" t="s">
        <v>6582</v>
      </c>
    </row>
    <row r="2813" spans="2:6" x14ac:dyDescent="0.35">
      <c r="B2813">
        <v>4502259770</v>
      </c>
      <c r="C2813">
        <v>70</v>
      </c>
      <c r="D2813" t="s">
        <v>6583</v>
      </c>
      <c r="E2813" t="s">
        <v>4039</v>
      </c>
      <c r="F2813" t="s">
        <v>6584</v>
      </c>
    </row>
    <row r="2814" spans="2:6" x14ac:dyDescent="0.35">
      <c r="B2814">
        <v>4502259770</v>
      </c>
      <c r="C2814">
        <v>60</v>
      </c>
      <c r="D2814" t="s">
        <v>6585</v>
      </c>
      <c r="E2814" t="s">
        <v>4039</v>
      </c>
      <c r="F2814" t="s">
        <v>6586</v>
      </c>
    </row>
    <row r="2815" spans="2:6" x14ac:dyDescent="0.35">
      <c r="B2815">
        <v>4502259770</v>
      </c>
      <c r="C2815">
        <v>50</v>
      </c>
      <c r="D2815" t="s">
        <v>6587</v>
      </c>
      <c r="E2815" t="s">
        <v>4039</v>
      </c>
      <c r="F2815" t="s">
        <v>6588</v>
      </c>
    </row>
    <row r="2816" spans="2:6" x14ac:dyDescent="0.35">
      <c r="B2816">
        <v>4502259770</v>
      </c>
      <c r="C2816">
        <v>40</v>
      </c>
      <c r="D2816" t="s">
        <v>6589</v>
      </c>
      <c r="E2816" t="s">
        <v>6105</v>
      </c>
      <c r="F2816" t="s">
        <v>6590</v>
      </c>
    </row>
    <row r="2817" spans="2:6" x14ac:dyDescent="0.35">
      <c r="B2817">
        <v>4502259770</v>
      </c>
      <c r="C2817">
        <v>30</v>
      </c>
      <c r="D2817" t="s">
        <v>6591</v>
      </c>
      <c r="E2817" t="s">
        <v>6105</v>
      </c>
      <c r="F2817" t="s">
        <v>6592</v>
      </c>
    </row>
    <row r="2818" spans="2:6" x14ac:dyDescent="0.35">
      <c r="B2818">
        <v>4502259770</v>
      </c>
      <c r="C2818">
        <v>20</v>
      </c>
      <c r="D2818" t="s">
        <v>6593</v>
      </c>
      <c r="E2818" t="s">
        <v>6105</v>
      </c>
      <c r="F2818" t="s">
        <v>6594</v>
      </c>
    </row>
    <row r="2819" spans="2:6" x14ac:dyDescent="0.35">
      <c r="B2819">
        <v>4502259770</v>
      </c>
      <c r="C2819">
        <v>10</v>
      </c>
      <c r="D2819" t="s">
        <v>6595</v>
      </c>
      <c r="E2819" t="s">
        <v>6105</v>
      </c>
      <c r="F2819" t="s">
        <v>6596</v>
      </c>
    </row>
    <row r="2820" spans="2:6" x14ac:dyDescent="0.35">
      <c r="B2820">
        <v>4502256813</v>
      </c>
      <c r="C2820">
        <v>20</v>
      </c>
      <c r="D2820" t="s">
        <v>6597</v>
      </c>
      <c r="E2820" t="s">
        <v>4039</v>
      </c>
      <c r="F2820" t="s">
        <v>6598</v>
      </c>
    </row>
    <row r="2821" spans="2:6" x14ac:dyDescent="0.35">
      <c r="B2821">
        <v>4502256813</v>
      </c>
      <c r="C2821">
        <v>10</v>
      </c>
      <c r="D2821" t="s">
        <v>6599</v>
      </c>
      <c r="E2821" t="s">
        <v>4039</v>
      </c>
      <c r="F2821" t="s">
        <v>6600</v>
      </c>
    </row>
    <row r="2822" spans="2:6" x14ac:dyDescent="0.35">
      <c r="B2822">
        <v>4502254026</v>
      </c>
      <c r="C2822">
        <v>50</v>
      </c>
      <c r="D2822" t="s">
        <v>6601</v>
      </c>
      <c r="E2822" t="s">
        <v>4039</v>
      </c>
      <c r="F2822" t="s">
        <v>6602</v>
      </c>
    </row>
    <row r="2823" spans="2:6" x14ac:dyDescent="0.35">
      <c r="B2823">
        <v>4502254026</v>
      </c>
      <c r="C2823">
        <v>40</v>
      </c>
      <c r="D2823" t="s">
        <v>6603</v>
      </c>
      <c r="E2823" t="s">
        <v>4039</v>
      </c>
      <c r="F2823" t="s">
        <v>6604</v>
      </c>
    </row>
    <row r="2824" spans="2:6" x14ac:dyDescent="0.35">
      <c r="B2824">
        <v>4502254026</v>
      </c>
      <c r="C2824">
        <v>30</v>
      </c>
      <c r="D2824" t="s">
        <v>6605</v>
      </c>
      <c r="E2824" t="s">
        <v>4039</v>
      </c>
      <c r="F2824" t="s">
        <v>6606</v>
      </c>
    </row>
    <row r="2825" spans="2:6" x14ac:dyDescent="0.35">
      <c r="B2825">
        <v>4502254026</v>
      </c>
      <c r="C2825">
        <v>20</v>
      </c>
      <c r="D2825" t="s">
        <v>6607</v>
      </c>
      <c r="E2825" t="s">
        <v>4039</v>
      </c>
      <c r="F2825" t="s">
        <v>6608</v>
      </c>
    </row>
    <row r="2826" spans="2:6" x14ac:dyDescent="0.35">
      <c r="B2826">
        <v>4502254026</v>
      </c>
      <c r="C2826">
        <v>10</v>
      </c>
      <c r="D2826" t="s">
        <v>6609</v>
      </c>
      <c r="E2826" t="s">
        <v>4039</v>
      </c>
      <c r="F2826" t="s">
        <v>6610</v>
      </c>
    </row>
    <row r="2827" spans="2:6" x14ac:dyDescent="0.35">
      <c r="B2827">
        <v>4502253039</v>
      </c>
      <c r="C2827">
        <v>100</v>
      </c>
      <c r="D2827" t="s">
        <v>3590</v>
      </c>
      <c r="E2827" t="s">
        <v>4039</v>
      </c>
      <c r="F2827" t="s">
        <v>6611</v>
      </c>
    </row>
    <row r="2828" spans="2:6" x14ac:dyDescent="0.35">
      <c r="B2828">
        <v>4502250858</v>
      </c>
      <c r="C2828">
        <v>30</v>
      </c>
      <c r="D2828" t="s">
        <v>6612</v>
      </c>
      <c r="E2828" t="s">
        <v>4039</v>
      </c>
      <c r="F2828" t="s">
        <v>6613</v>
      </c>
    </row>
    <row r="2829" spans="2:6" x14ac:dyDescent="0.35">
      <c r="B2829">
        <v>4502250858</v>
      </c>
      <c r="C2829">
        <v>20</v>
      </c>
      <c r="D2829" t="s">
        <v>6614</v>
      </c>
      <c r="E2829" t="s">
        <v>4039</v>
      </c>
      <c r="F2829" t="s">
        <v>6615</v>
      </c>
    </row>
    <row r="2830" spans="2:6" x14ac:dyDescent="0.35">
      <c r="B2830">
        <v>4502250858</v>
      </c>
      <c r="C2830">
        <v>10</v>
      </c>
      <c r="D2830" t="s">
        <v>6616</v>
      </c>
      <c r="E2830" t="s">
        <v>4039</v>
      </c>
      <c r="F2830" t="s">
        <v>6617</v>
      </c>
    </row>
    <row r="2831" spans="2:6" x14ac:dyDescent="0.35">
      <c r="B2831">
        <v>4502250696</v>
      </c>
      <c r="C2831">
        <v>10</v>
      </c>
      <c r="D2831" t="s">
        <v>3211</v>
      </c>
      <c r="E2831" t="s">
        <v>4039</v>
      </c>
      <c r="F2831" t="s">
        <v>6618</v>
      </c>
    </row>
    <row r="2832" spans="2:6" x14ac:dyDescent="0.35">
      <c r="B2832">
        <v>4502246324</v>
      </c>
      <c r="C2832">
        <v>10</v>
      </c>
      <c r="D2832" t="s">
        <v>6218</v>
      </c>
      <c r="E2832" t="s">
        <v>4039</v>
      </c>
      <c r="F2832" t="s">
        <v>6619</v>
      </c>
    </row>
    <row r="2833" spans="2:6" x14ac:dyDescent="0.35">
      <c r="B2833">
        <v>4502243888</v>
      </c>
      <c r="C2833">
        <v>20</v>
      </c>
      <c r="D2833" t="s">
        <v>6620</v>
      </c>
      <c r="E2833" t="s">
        <v>68</v>
      </c>
      <c r="F2833" t="s">
        <v>6621</v>
      </c>
    </row>
    <row r="2834" spans="2:6" x14ac:dyDescent="0.35">
      <c r="B2834">
        <v>4502243426</v>
      </c>
      <c r="C2834">
        <v>30</v>
      </c>
      <c r="D2834" t="s">
        <v>6622</v>
      </c>
      <c r="E2834" t="s">
        <v>4039</v>
      </c>
      <c r="F2834" t="s">
        <v>6623</v>
      </c>
    </row>
    <row r="2835" spans="2:6" x14ac:dyDescent="0.35">
      <c r="B2835">
        <v>4502243426</v>
      </c>
      <c r="C2835">
        <v>20</v>
      </c>
      <c r="D2835" t="s">
        <v>6624</v>
      </c>
      <c r="E2835" t="s">
        <v>4039</v>
      </c>
      <c r="F2835" t="s">
        <v>6625</v>
      </c>
    </row>
    <row r="2836" spans="2:6" x14ac:dyDescent="0.35">
      <c r="B2836">
        <v>4502243426</v>
      </c>
      <c r="C2836">
        <v>10</v>
      </c>
      <c r="D2836" t="s">
        <v>6626</v>
      </c>
      <c r="E2836" t="s">
        <v>4039</v>
      </c>
      <c r="F2836" t="s">
        <v>6627</v>
      </c>
    </row>
    <row r="2837" spans="2:6" x14ac:dyDescent="0.35">
      <c r="B2837">
        <v>4502237284</v>
      </c>
      <c r="C2837">
        <v>30</v>
      </c>
      <c r="D2837" t="s">
        <v>6628</v>
      </c>
      <c r="E2837" t="s">
        <v>4767</v>
      </c>
      <c r="F2837" t="s">
        <v>6629</v>
      </c>
    </row>
    <row r="2838" spans="2:6" x14ac:dyDescent="0.35">
      <c r="B2838">
        <v>4502237284</v>
      </c>
      <c r="C2838">
        <v>20</v>
      </c>
      <c r="D2838" t="s">
        <v>6630</v>
      </c>
      <c r="E2838" t="s">
        <v>4767</v>
      </c>
      <c r="F2838" t="s">
        <v>6631</v>
      </c>
    </row>
    <row r="2839" spans="2:6" x14ac:dyDescent="0.35">
      <c r="B2839">
        <v>4502237284</v>
      </c>
      <c r="C2839">
        <v>10</v>
      </c>
      <c r="D2839" t="s">
        <v>6632</v>
      </c>
      <c r="E2839" t="s">
        <v>4767</v>
      </c>
      <c r="F2839" t="s">
        <v>6633</v>
      </c>
    </row>
    <row r="2840" spans="2:6" x14ac:dyDescent="0.35">
      <c r="B2840">
        <v>4502237192</v>
      </c>
      <c r="C2840">
        <v>10</v>
      </c>
      <c r="D2840" t="s">
        <v>6634</v>
      </c>
      <c r="E2840" t="s">
        <v>4039</v>
      </c>
      <c r="F2840" t="s">
        <v>6635</v>
      </c>
    </row>
    <row r="2841" spans="2:6" x14ac:dyDescent="0.35">
      <c r="B2841">
        <v>4502234766</v>
      </c>
      <c r="C2841">
        <v>10</v>
      </c>
      <c r="D2841" t="s">
        <v>6636</v>
      </c>
      <c r="E2841" t="s">
        <v>4039</v>
      </c>
      <c r="F2841" t="s">
        <v>6637</v>
      </c>
    </row>
    <row r="2842" spans="2:6" x14ac:dyDescent="0.35">
      <c r="B2842">
        <v>4502234618</v>
      </c>
      <c r="C2842">
        <v>10</v>
      </c>
      <c r="D2842" t="s">
        <v>3211</v>
      </c>
      <c r="E2842" t="s">
        <v>4039</v>
      </c>
      <c r="F2842" t="s">
        <v>6638</v>
      </c>
    </row>
    <row r="2843" spans="2:6" x14ac:dyDescent="0.35">
      <c r="B2843">
        <v>4502233844</v>
      </c>
      <c r="C2843">
        <v>50</v>
      </c>
      <c r="D2843" t="s">
        <v>6639</v>
      </c>
      <c r="E2843" t="s">
        <v>4039</v>
      </c>
      <c r="F2843" t="s">
        <v>6640</v>
      </c>
    </row>
    <row r="2844" spans="2:6" x14ac:dyDescent="0.35">
      <c r="B2844">
        <v>4502233844</v>
      </c>
      <c r="C2844">
        <v>20</v>
      </c>
      <c r="D2844" t="s">
        <v>6641</v>
      </c>
      <c r="E2844" t="s">
        <v>4039</v>
      </c>
      <c r="F2844" t="s">
        <v>6642</v>
      </c>
    </row>
    <row r="2845" spans="2:6" x14ac:dyDescent="0.35">
      <c r="B2845">
        <v>4502233844</v>
      </c>
      <c r="C2845">
        <v>10</v>
      </c>
      <c r="D2845" t="s">
        <v>6643</v>
      </c>
      <c r="E2845" t="s">
        <v>4039</v>
      </c>
      <c r="F2845" t="s">
        <v>6644</v>
      </c>
    </row>
    <row r="2846" spans="2:6" x14ac:dyDescent="0.35">
      <c r="B2846">
        <v>4502232026</v>
      </c>
      <c r="C2846">
        <v>130</v>
      </c>
      <c r="D2846" t="s">
        <v>6645</v>
      </c>
      <c r="E2846" t="s">
        <v>4039</v>
      </c>
      <c r="F2846" t="s">
        <v>6646</v>
      </c>
    </row>
    <row r="2847" spans="2:6" x14ac:dyDescent="0.35">
      <c r="B2847">
        <v>4502231886</v>
      </c>
      <c r="C2847">
        <v>20</v>
      </c>
      <c r="D2847" t="s">
        <v>6647</v>
      </c>
      <c r="E2847" t="s">
        <v>4039</v>
      </c>
      <c r="F2847" t="s">
        <v>6648</v>
      </c>
    </row>
    <row r="2848" spans="2:6" x14ac:dyDescent="0.35">
      <c r="B2848">
        <v>4502231564</v>
      </c>
      <c r="C2848">
        <v>20</v>
      </c>
      <c r="D2848" t="s">
        <v>6649</v>
      </c>
      <c r="E2848" t="s">
        <v>4039</v>
      </c>
      <c r="F2848" t="s">
        <v>6650</v>
      </c>
    </row>
    <row r="2849" spans="2:6" x14ac:dyDescent="0.35">
      <c r="B2849">
        <v>4502231564</v>
      </c>
      <c r="C2849">
        <v>10</v>
      </c>
      <c r="D2849" t="s">
        <v>6651</v>
      </c>
      <c r="E2849" t="s">
        <v>4039</v>
      </c>
      <c r="F2849" t="s">
        <v>6652</v>
      </c>
    </row>
    <row r="2850" spans="2:6" x14ac:dyDescent="0.35">
      <c r="B2850">
        <v>4502229987</v>
      </c>
      <c r="C2850">
        <v>20</v>
      </c>
      <c r="D2850" t="s">
        <v>6653</v>
      </c>
      <c r="E2850" t="s">
        <v>4039</v>
      </c>
      <c r="F2850" t="s">
        <v>6654</v>
      </c>
    </row>
    <row r="2851" spans="2:6" x14ac:dyDescent="0.35">
      <c r="B2851">
        <v>4502229949</v>
      </c>
      <c r="C2851">
        <v>30</v>
      </c>
      <c r="D2851" t="s">
        <v>6655</v>
      </c>
      <c r="E2851" t="s">
        <v>4039</v>
      </c>
      <c r="F2851" t="s">
        <v>6656</v>
      </c>
    </row>
    <row r="2852" spans="2:6" x14ac:dyDescent="0.35">
      <c r="B2852">
        <v>4502229949</v>
      </c>
      <c r="C2852">
        <v>20</v>
      </c>
      <c r="D2852" t="s">
        <v>6657</v>
      </c>
      <c r="E2852" t="s">
        <v>4039</v>
      </c>
      <c r="F2852" t="s">
        <v>6658</v>
      </c>
    </row>
    <row r="2853" spans="2:6" x14ac:dyDescent="0.35">
      <c r="B2853">
        <v>4502229949</v>
      </c>
      <c r="C2853">
        <v>10</v>
      </c>
      <c r="D2853" t="s">
        <v>6659</v>
      </c>
      <c r="E2853" t="s">
        <v>4039</v>
      </c>
      <c r="F2853" t="s">
        <v>6660</v>
      </c>
    </row>
    <row r="2854" spans="2:6" x14ac:dyDescent="0.35">
      <c r="B2854">
        <v>4502229300</v>
      </c>
      <c r="C2854">
        <v>10</v>
      </c>
      <c r="D2854" t="s">
        <v>6661</v>
      </c>
      <c r="E2854" t="s">
        <v>4039</v>
      </c>
      <c r="F2854" t="s">
        <v>6662</v>
      </c>
    </row>
    <row r="2855" spans="2:6" x14ac:dyDescent="0.35">
      <c r="B2855">
        <v>4502228778</v>
      </c>
      <c r="C2855">
        <v>20</v>
      </c>
      <c r="D2855" t="s">
        <v>6663</v>
      </c>
      <c r="E2855" t="s">
        <v>4039</v>
      </c>
      <c r="F2855" t="s">
        <v>6664</v>
      </c>
    </row>
    <row r="2856" spans="2:6" x14ac:dyDescent="0.35">
      <c r="B2856">
        <v>4502228452</v>
      </c>
      <c r="C2856">
        <v>10</v>
      </c>
      <c r="D2856" t="s">
        <v>6665</v>
      </c>
      <c r="E2856" t="s">
        <v>4039</v>
      </c>
      <c r="F2856" t="s">
        <v>6666</v>
      </c>
    </row>
    <row r="2857" spans="2:6" x14ac:dyDescent="0.35">
      <c r="B2857">
        <v>4502224702</v>
      </c>
      <c r="C2857">
        <v>40</v>
      </c>
      <c r="D2857" t="s">
        <v>6667</v>
      </c>
      <c r="E2857" t="s">
        <v>3200</v>
      </c>
      <c r="F2857" t="s">
        <v>6668</v>
      </c>
    </row>
    <row r="2858" spans="2:6" x14ac:dyDescent="0.35">
      <c r="B2858">
        <v>4502224642</v>
      </c>
      <c r="C2858">
        <v>20</v>
      </c>
      <c r="D2858" t="s">
        <v>6669</v>
      </c>
      <c r="E2858" t="s">
        <v>4039</v>
      </c>
      <c r="F2858" t="s">
        <v>6670</v>
      </c>
    </row>
    <row r="2859" spans="2:6" x14ac:dyDescent="0.35">
      <c r="B2859">
        <v>4502223542</v>
      </c>
      <c r="C2859">
        <v>20</v>
      </c>
      <c r="D2859" t="s">
        <v>6671</v>
      </c>
      <c r="E2859" t="s">
        <v>4039</v>
      </c>
      <c r="F2859" t="s">
        <v>6672</v>
      </c>
    </row>
    <row r="2860" spans="2:6" x14ac:dyDescent="0.35">
      <c r="B2860">
        <v>4502223321</v>
      </c>
      <c r="C2860">
        <v>10</v>
      </c>
      <c r="D2860" t="s">
        <v>6673</v>
      </c>
      <c r="E2860" t="s">
        <v>6105</v>
      </c>
      <c r="F2860" t="s">
        <v>6674</v>
      </c>
    </row>
    <row r="2861" spans="2:6" x14ac:dyDescent="0.35">
      <c r="B2861">
        <v>4502215101</v>
      </c>
      <c r="C2861">
        <v>10</v>
      </c>
      <c r="D2861" t="s">
        <v>6675</v>
      </c>
      <c r="E2861" t="s">
        <v>4039</v>
      </c>
      <c r="F2861" t="s">
        <v>6676</v>
      </c>
    </row>
    <row r="2862" spans="2:6" x14ac:dyDescent="0.35">
      <c r="B2862">
        <v>4502214553</v>
      </c>
      <c r="C2862">
        <v>10</v>
      </c>
      <c r="D2862" t="s">
        <v>6677</v>
      </c>
      <c r="E2862" t="s">
        <v>4039</v>
      </c>
      <c r="F2862" t="s">
        <v>6678</v>
      </c>
    </row>
    <row r="2863" spans="2:6" x14ac:dyDescent="0.35">
      <c r="B2863">
        <v>4502212685</v>
      </c>
      <c r="C2863">
        <v>10</v>
      </c>
      <c r="D2863" t="s">
        <v>6679</v>
      </c>
      <c r="E2863" t="s">
        <v>4039</v>
      </c>
      <c r="F2863" t="s">
        <v>6680</v>
      </c>
    </row>
    <row r="2864" spans="2:6" x14ac:dyDescent="0.35">
      <c r="B2864">
        <v>4502212289</v>
      </c>
      <c r="C2864">
        <v>30</v>
      </c>
      <c r="D2864" t="s">
        <v>6681</v>
      </c>
      <c r="E2864" t="s">
        <v>4039</v>
      </c>
      <c r="F2864" t="s">
        <v>6682</v>
      </c>
    </row>
    <row r="2865" spans="2:6" x14ac:dyDescent="0.35">
      <c r="B2865">
        <v>4502209231</v>
      </c>
      <c r="C2865">
        <v>10</v>
      </c>
      <c r="D2865" t="s">
        <v>6683</v>
      </c>
      <c r="E2865" t="s">
        <v>4039</v>
      </c>
      <c r="F2865" t="s">
        <v>6684</v>
      </c>
    </row>
    <row r="2866" spans="2:6" x14ac:dyDescent="0.35">
      <c r="B2866">
        <v>4502208534</v>
      </c>
      <c r="C2866">
        <v>10</v>
      </c>
      <c r="D2866" t="s">
        <v>6685</v>
      </c>
      <c r="E2866" t="s">
        <v>4039</v>
      </c>
      <c r="F2866" t="s">
        <v>6686</v>
      </c>
    </row>
    <row r="2867" spans="2:6" x14ac:dyDescent="0.35">
      <c r="B2867">
        <v>4502208067</v>
      </c>
      <c r="C2867">
        <v>30</v>
      </c>
      <c r="D2867" t="s">
        <v>6687</v>
      </c>
      <c r="E2867" t="s">
        <v>4039</v>
      </c>
      <c r="F2867" t="s">
        <v>6688</v>
      </c>
    </row>
    <row r="2868" spans="2:6" x14ac:dyDescent="0.35">
      <c r="B2868">
        <v>4502208067</v>
      </c>
      <c r="C2868">
        <v>20</v>
      </c>
      <c r="D2868" t="s">
        <v>6689</v>
      </c>
      <c r="E2868" t="s">
        <v>4039</v>
      </c>
      <c r="F2868" t="s">
        <v>6690</v>
      </c>
    </row>
    <row r="2869" spans="2:6" x14ac:dyDescent="0.35">
      <c r="B2869">
        <v>4502208067</v>
      </c>
      <c r="C2869">
        <v>10</v>
      </c>
      <c r="D2869" t="s">
        <v>6691</v>
      </c>
      <c r="E2869" t="s">
        <v>4039</v>
      </c>
      <c r="F2869" t="s">
        <v>6692</v>
      </c>
    </row>
    <row r="2870" spans="2:6" x14ac:dyDescent="0.35">
      <c r="B2870">
        <v>4502207949</v>
      </c>
      <c r="C2870">
        <v>10</v>
      </c>
      <c r="D2870" t="s">
        <v>1484</v>
      </c>
      <c r="E2870" t="s">
        <v>4039</v>
      </c>
      <c r="F2870" t="s">
        <v>6693</v>
      </c>
    </row>
    <row r="2871" spans="2:6" x14ac:dyDescent="0.35">
      <c r="B2871">
        <v>4502206077</v>
      </c>
      <c r="C2871">
        <v>20</v>
      </c>
      <c r="D2871" t="s">
        <v>6694</v>
      </c>
      <c r="E2871" t="s">
        <v>4039</v>
      </c>
      <c r="F2871" t="s">
        <v>6695</v>
      </c>
    </row>
    <row r="2872" spans="2:6" x14ac:dyDescent="0.35">
      <c r="B2872">
        <v>4502206077</v>
      </c>
      <c r="C2872">
        <v>10</v>
      </c>
      <c r="D2872" t="s">
        <v>6687</v>
      </c>
      <c r="E2872" t="s">
        <v>4039</v>
      </c>
      <c r="F2872" t="s">
        <v>6696</v>
      </c>
    </row>
    <row r="2873" spans="2:6" x14ac:dyDescent="0.35">
      <c r="B2873">
        <v>4502205965</v>
      </c>
      <c r="C2873">
        <v>40</v>
      </c>
      <c r="D2873" t="s">
        <v>6697</v>
      </c>
      <c r="E2873" t="s">
        <v>4039</v>
      </c>
      <c r="F2873" t="s">
        <v>6698</v>
      </c>
    </row>
    <row r="2874" spans="2:6" x14ac:dyDescent="0.35">
      <c r="B2874">
        <v>4502200691</v>
      </c>
      <c r="C2874">
        <v>10</v>
      </c>
      <c r="D2874" t="s">
        <v>6699</v>
      </c>
      <c r="E2874" t="s">
        <v>4039</v>
      </c>
      <c r="F2874" t="s">
        <v>6700</v>
      </c>
    </row>
    <row r="2875" spans="2:6" x14ac:dyDescent="0.35">
      <c r="B2875">
        <v>4502198409</v>
      </c>
      <c r="C2875">
        <v>10</v>
      </c>
      <c r="D2875" t="s">
        <v>6701</v>
      </c>
      <c r="E2875" t="s">
        <v>4039</v>
      </c>
      <c r="F2875" t="s">
        <v>6702</v>
      </c>
    </row>
    <row r="2876" spans="2:6" x14ac:dyDescent="0.35">
      <c r="B2876">
        <v>4502197812</v>
      </c>
      <c r="C2876">
        <v>50</v>
      </c>
      <c r="D2876" t="s">
        <v>3501</v>
      </c>
      <c r="E2876" t="s">
        <v>4039</v>
      </c>
      <c r="F2876" t="s">
        <v>6703</v>
      </c>
    </row>
    <row r="2877" spans="2:6" x14ac:dyDescent="0.35">
      <c r="B2877">
        <v>4502197812</v>
      </c>
      <c r="C2877">
        <v>30</v>
      </c>
      <c r="D2877" t="s">
        <v>6704</v>
      </c>
      <c r="E2877" t="s">
        <v>4039</v>
      </c>
      <c r="F2877" t="s">
        <v>6705</v>
      </c>
    </row>
    <row r="2878" spans="2:6" x14ac:dyDescent="0.35">
      <c r="B2878">
        <v>4502196191</v>
      </c>
      <c r="C2878">
        <v>30</v>
      </c>
      <c r="D2878" t="s">
        <v>6706</v>
      </c>
      <c r="E2878" t="s">
        <v>4039</v>
      </c>
      <c r="F2878" t="s">
        <v>6707</v>
      </c>
    </row>
    <row r="2879" spans="2:6" x14ac:dyDescent="0.35">
      <c r="B2879">
        <v>4502196191</v>
      </c>
      <c r="C2879">
        <v>20</v>
      </c>
      <c r="D2879" t="s">
        <v>6708</v>
      </c>
      <c r="E2879" t="s">
        <v>4039</v>
      </c>
      <c r="F2879" t="s">
        <v>6709</v>
      </c>
    </row>
    <row r="2880" spans="2:6" x14ac:dyDescent="0.35">
      <c r="B2880">
        <v>4502196191</v>
      </c>
      <c r="C2880">
        <v>10</v>
      </c>
      <c r="D2880" t="s">
        <v>6710</v>
      </c>
      <c r="E2880" t="s">
        <v>4039</v>
      </c>
      <c r="F2880" t="s">
        <v>6711</v>
      </c>
    </row>
    <row r="2881" spans="2:6" x14ac:dyDescent="0.35">
      <c r="B2881">
        <v>4502188317</v>
      </c>
      <c r="C2881">
        <v>30</v>
      </c>
      <c r="D2881" t="s">
        <v>6712</v>
      </c>
      <c r="E2881" t="s">
        <v>4039</v>
      </c>
      <c r="F2881" t="s">
        <v>6713</v>
      </c>
    </row>
    <row r="2882" spans="2:6" x14ac:dyDescent="0.35">
      <c r="B2882">
        <v>4502188317</v>
      </c>
      <c r="C2882">
        <v>20</v>
      </c>
      <c r="D2882" t="s">
        <v>6714</v>
      </c>
      <c r="E2882" t="s">
        <v>6715</v>
      </c>
      <c r="F2882" t="s">
        <v>6716</v>
      </c>
    </row>
    <row r="2883" spans="2:6" x14ac:dyDescent="0.35">
      <c r="B2883">
        <v>4502188317</v>
      </c>
      <c r="C2883">
        <v>10</v>
      </c>
      <c r="D2883" t="s">
        <v>6717</v>
      </c>
      <c r="E2883" t="s">
        <v>3200</v>
      </c>
      <c r="F2883" t="s">
        <v>6718</v>
      </c>
    </row>
    <row r="2884" spans="2:6" x14ac:dyDescent="0.35">
      <c r="B2884">
        <v>4502184079</v>
      </c>
      <c r="C2884">
        <v>20</v>
      </c>
      <c r="D2884" t="s">
        <v>1484</v>
      </c>
      <c r="E2884" t="s">
        <v>4039</v>
      </c>
      <c r="F2884" t="s">
        <v>6719</v>
      </c>
    </row>
    <row r="2885" spans="2:6" x14ac:dyDescent="0.35">
      <c r="B2885">
        <v>4502178468</v>
      </c>
      <c r="C2885">
        <v>30</v>
      </c>
      <c r="D2885" t="s">
        <v>6720</v>
      </c>
      <c r="E2885" t="s">
        <v>4039</v>
      </c>
      <c r="F2885" t="s">
        <v>6721</v>
      </c>
    </row>
    <row r="2886" spans="2:6" x14ac:dyDescent="0.35">
      <c r="B2886">
        <v>4502178290</v>
      </c>
      <c r="C2886">
        <v>10</v>
      </c>
      <c r="D2886" t="s">
        <v>6722</v>
      </c>
      <c r="E2886" t="s">
        <v>4039</v>
      </c>
      <c r="F2886" t="s">
        <v>6723</v>
      </c>
    </row>
    <row r="2887" spans="2:6" x14ac:dyDescent="0.35">
      <c r="B2887">
        <v>4502171561</v>
      </c>
      <c r="C2887">
        <v>10</v>
      </c>
      <c r="D2887" t="s">
        <v>6724</v>
      </c>
      <c r="E2887" t="s">
        <v>4039</v>
      </c>
      <c r="F2887" t="s">
        <v>6725</v>
      </c>
    </row>
    <row r="2888" spans="2:6" x14ac:dyDescent="0.35">
      <c r="B2888">
        <v>4502170587</v>
      </c>
      <c r="C2888">
        <v>10</v>
      </c>
      <c r="D2888" t="s">
        <v>6726</v>
      </c>
      <c r="E2888" t="s">
        <v>4039</v>
      </c>
      <c r="F2888" t="s">
        <v>6727</v>
      </c>
    </row>
    <row r="2889" spans="2:6" x14ac:dyDescent="0.35">
      <c r="B2889">
        <v>4502158318</v>
      </c>
      <c r="C2889">
        <v>40</v>
      </c>
      <c r="D2889" t="s">
        <v>6728</v>
      </c>
      <c r="E2889" t="s">
        <v>4039</v>
      </c>
      <c r="F2889" t="s">
        <v>6729</v>
      </c>
    </row>
    <row r="2890" spans="2:6" x14ac:dyDescent="0.35">
      <c r="B2890">
        <v>4502158318</v>
      </c>
      <c r="C2890">
        <v>30</v>
      </c>
      <c r="D2890" t="s">
        <v>6728</v>
      </c>
      <c r="E2890" t="s">
        <v>4039</v>
      </c>
      <c r="F2890" t="s">
        <v>6729</v>
      </c>
    </row>
    <row r="2891" spans="2:6" x14ac:dyDescent="0.35">
      <c r="B2891">
        <v>4502158318</v>
      </c>
      <c r="C2891">
        <v>20</v>
      </c>
      <c r="D2891" t="s">
        <v>6728</v>
      </c>
      <c r="E2891" t="s">
        <v>4039</v>
      </c>
      <c r="F2891" t="s">
        <v>6729</v>
      </c>
    </row>
    <row r="2892" spans="2:6" x14ac:dyDescent="0.35">
      <c r="B2892">
        <v>4502158318</v>
      </c>
      <c r="C2892">
        <v>10</v>
      </c>
      <c r="D2892" t="s">
        <v>6728</v>
      </c>
      <c r="E2892" t="s">
        <v>4039</v>
      </c>
      <c r="F2892" t="s">
        <v>6729</v>
      </c>
    </row>
    <row r="2893" spans="2:6" x14ac:dyDescent="0.35">
      <c r="B2893">
        <v>4502155986</v>
      </c>
      <c r="C2893">
        <v>10</v>
      </c>
      <c r="D2893" t="s">
        <v>6730</v>
      </c>
      <c r="E2893" t="s">
        <v>4039</v>
      </c>
      <c r="F2893" t="s">
        <v>6731</v>
      </c>
    </row>
    <row r="2894" spans="2:6" x14ac:dyDescent="0.35">
      <c r="B2894">
        <v>4502155909</v>
      </c>
      <c r="C2894">
        <v>30</v>
      </c>
      <c r="D2894" t="s">
        <v>6732</v>
      </c>
      <c r="E2894" t="s">
        <v>4039</v>
      </c>
      <c r="F2894" t="s">
        <v>6733</v>
      </c>
    </row>
    <row r="2895" spans="2:6" x14ac:dyDescent="0.35">
      <c r="B2895">
        <v>4502155909</v>
      </c>
      <c r="C2895">
        <v>20</v>
      </c>
      <c r="D2895" t="s">
        <v>6734</v>
      </c>
      <c r="E2895" t="s">
        <v>4039</v>
      </c>
      <c r="F2895" t="s">
        <v>6735</v>
      </c>
    </row>
    <row r="2896" spans="2:6" x14ac:dyDescent="0.35">
      <c r="B2896">
        <v>4502155909</v>
      </c>
      <c r="C2896">
        <v>10</v>
      </c>
      <c r="D2896" t="s">
        <v>6736</v>
      </c>
      <c r="E2896" t="s">
        <v>4039</v>
      </c>
      <c r="F2896" t="s">
        <v>6737</v>
      </c>
    </row>
    <row r="2897" spans="2:6" x14ac:dyDescent="0.35">
      <c r="B2897">
        <v>4502154603</v>
      </c>
      <c r="C2897">
        <v>10</v>
      </c>
      <c r="D2897" t="s">
        <v>6518</v>
      </c>
      <c r="E2897" t="s">
        <v>4039</v>
      </c>
      <c r="F2897" t="s">
        <v>6738</v>
      </c>
    </row>
    <row r="2898" spans="2:6" x14ac:dyDescent="0.35">
      <c r="B2898">
        <v>4502153257</v>
      </c>
      <c r="C2898">
        <v>10</v>
      </c>
      <c r="D2898" t="s">
        <v>6739</v>
      </c>
      <c r="E2898" t="s">
        <v>4039</v>
      </c>
      <c r="F2898" t="s">
        <v>6740</v>
      </c>
    </row>
    <row r="2899" spans="2:6" x14ac:dyDescent="0.35">
      <c r="B2899">
        <v>4502152621</v>
      </c>
      <c r="C2899">
        <v>10</v>
      </c>
      <c r="D2899" t="s">
        <v>6573</v>
      </c>
      <c r="E2899" t="s">
        <v>4039</v>
      </c>
      <c r="F2899" t="s">
        <v>6741</v>
      </c>
    </row>
    <row r="2900" spans="2:6" x14ac:dyDescent="0.35">
      <c r="B2900">
        <v>4502149875</v>
      </c>
      <c r="C2900">
        <v>10</v>
      </c>
      <c r="D2900" t="s">
        <v>2475</v>
      </c>
      <c r="E2900" t="s">
        <v>4039</v>
      </c>
      <c r="F2900" t="s">
        <v>6742</v>
      </c>
    </row>
    <row r="2901" spans="2:6" x14ac:dyDescent="0.35">
      <c r="B2901">
        <v>4502149459</v>
      </c>
      <c r="C2901">
        <v>20</v>
      </c>
      <c r="D2901" t="s">
        <v>6743</v>
      </c>
      <c r="E2901" t="s">
        <v>4039</v>
      </c>
      <c r="F2901" t="s">
        <v>6744</v>
      </c>
    </row>
    <row r="2902" spans="2:6" x14ac:dyDescent="0.35">
      <c r="B2902">
        <v>4502149459</v>
      </c>
      <c r="C2902">
        <v>10</v>
      </c>
      <c r="D2902" t="s">
        <v>6745</v>
      </c>
      <c r="E2902" t="s">
        <v>4039</v>
      </c>
      <c r="F2902" t="s">
        <v>6746</v>
      </c>
    </row>
    <row r="2903" spans="2:6" x14ac:dyDescent="0.35">
      <c r="B2903">
        <v>4502149412</v>
      </c>
      <c r="C2903">
        <v>10</v>
      </c>
      <c r="D2903" t="s">
        <v>6747</v>
      </c>
      <c r="E2903" t="s">
        <v>4039</v>
      </c>
      <c r="F2903" t="s">
        <v>6748</v>
      </c>
    </row>
    <row r="2904" spans="2:6" x14ac:dyDescent="0.35">
      <c r="B2904">
        <v>4502144586</v>
      </c>
      <c r="C2904">
        <v>30</v>
      </c>
      <c r="D2904" t="s">
        <v>6749</v>
      </c>
      <c r="E2904" t="s">
        <v>4039</v>
      </c>
      <c r="F2904" t="s">
        <v>6750</v>
      </c>
    </row>
    <row r="2905" spans="2:6" x14ac:dyDescent="0.35">
      <c r="B2905">
        <v>4502144586</v>
      </c>
      <c r="C2905">
        <v>10</v>
      </c>
      <c r="D2905" t="s">
        <v>6751</v>
      </c>
      <c r="E2905" t="s">
        <v>4039</v>
      </c>
      <c r="F2905" t="s">
        <v>6752</v>
      </c>
    </row>
    <row r="2906" spans="2:6" x14ac:dyDescent="0.35">
      <c r="B2906">
        <v>4502143155</v>
      </c>
      <c r="C2906">
        <v>10</v>
      </c>
      <c r="D2906" t="s">
        <v>6753</v>
      </c>
      <c r="E2906" t="s">
        <v>4039</v>
      </c>
      <c r="F2906" t="s">
        <v>6754</v>
      </c>
    </row>
    <row r="2907" spans="2:6" x14ac:dyDescent="0.35">
      <c r="B2907">
        <v>4502140416</v>
      </c>
      <c r="C2907">
        <v>50</v>
      </c>
      <c r="D2907" t="s">
        <v>6755</v>
      </c>
      <c r="E2907" t="s">
        <v>4039</v>
      </c>
      <c r="F2907" t="s">
        <v>6756</v>
      </c>
    </row>
    <row r="2908" spans="2:6" x14ac:dyDescent="0.35">
      <c r="B2908">
        <v>4502140416</v>
      </c>
      <c r="C2908">
        <v>40</v>
      </c>
      <c r="D2908" t="s">
        <v>6757</v>
      </c>
      <c r="E2908" t="s">
        <v>4039</v>
      </c>
      <c r="F2908" t="s">
        <v>6758</v>
      </c>
    </row>
    <row r="2909" spans="2:6" x14ac:dyDescent="0.35">
      <c r="B2909">
        <v>4502140416</v>
      </c>
      <c r="C2909">
        <v>30</v>
      </c>
      <c r="D2909" t="s">
        <v>6759</v>
      </c>
      <c r="E2909" t="s">
        <v>4039</v>
      </c>
      <c r="F2909" t="s">
        <v>6760</v>
      </c>
    </row>
    <row r="2910" spans="2:6" x14ac:dyDescent="0.35">
      <c r="B2910">
        <v>4502140416</v>
      </c>
      <c r="C2910">
        <v>20</v>
      </c>
      <c r="D2910" t="s">
        <v>6761</v>
      </c>
      <c r="E2910" t="s">
        <v>4039</v>
      </c>
      <c r="F2910" t="s">
        <v>6762</v>
      </c>
    </row>
    <row r="2911" spans="2:6" x14ac:dyDescent="0.35">
      <c r="B2911">
        <v>4502140416</v>
      </c>
      <c r="C2911">
        <v>10</v>
      </c>
      <c r="D2911" t="s">
        <v>6763</v>
      </c>
      <c r="E2911" t="s">
        <v>4039</v>
      </c>
      <c r="F2911" t="s">
        <v>6764</v>
      </c>
    </row>
    <row r="2912" spans="2:6" x14ac:dyDescent="0.35">
      <c r="B2912">
        <v>4502137454</v>
      </c>
      <c r="C2912">
        <v>90</v>
      </c>
      <c r="D2912" t="s">
        <v>6765</v>
      </c>
      <c r="E2912" t="s">
        <v>4039</v>
      </c>
      <c r="F2912" t="s">
        <v>6766</v>
      </c>
    </row>
    <row r="2913" spans="2:6" x14ac:dyDescent="0.35">
      <c r="B2913">
        <v>4502137454</v>
      </c>
      <c r="C2913">
        <v>140</v>
      </c>
      <c r="D2913" t="s">
        <v>6767</v>
      </c>
      <c r="E2913" t="s">
        <v>4039</v>
      </c>
      <c r="F2913" t="s">
        <v>6768</v>
      </c>
    </row>
    <row r="2914" spans="2:6" x14ac:dyDescent="0.35">
      <c r="B2914">
        <v>4502136750</v>
      </c>
      <c r="C2914">
        <v>10</v>
      </c>
      <c r="D2914" t="s">
        <v>6769</v>
      </c>
      <c r="E2914" t="s">
        <v>4039</v>
      </c>
      <c r="F2914" t="s">
        <v>6770</v>
      </c>
    </row>
    <row r="2915" spans="2:6" x14ac:dyDescent="0.35">
      <c r="B2915">
        <v>4502133121</v>
      </c>
      <c r="C2915">
        <v>10</v>
      </c>
      <c r="D2915" t="s">
        <v>6771</v>
      </c>
      <c r="E2915" t="s">
        <v>4039</v>
      </c>
      <c r="F2915" t="s">
        <v>6772</v>
      </c>
    </row>
    <row r="2916" spans="2:6" x14ac:dyDescent="0.35">
      <c r="B2916">
        <v>4502131539</v>
      </c>
      <c r="C2916">
        <v>10</v>
      </c>
      <c r="D2916" t="s">
        <v>6773</v>
      </c>
      <c r="E2916" t="s">
        <v>4039</v>
      </c>
      <c r="F2916" t="s">
        <v>6774</v>
      </c>
    </row>
    <row r="2917" spans="2:6" x14ac:dyDescent="0.35">
      <c r="B2917">
        <v>4502128324</v>
      </c>
      <c r="C2917">
        <v>30</v>
      </c>
      <c r="D2917" t="s">
        <v>6775</v>
      </c>
      <c r="E2917" t="s">
        <v>4767</v>
      </c>
      <c r="F2917" t="s">
        <v>6776</v>
      </c>
    </row>
    <row r="2918" spans="2:6" x14ac:dyDescent="0.35">
      <c r="B2918">
        <v>4502127964</v>
      </c>
      <c r="C2918">
        <v>10</v>
      </c>
      <c r="D2918" t="s">
        <v>6459</v>
      </c>
      <c r="E2918" t="s">
        <v>4039</v>
      </c>
      <c r="F2918" t="s">
        <v>6777</v>
      </c>
    </row>
    <row r="2919" spans="2:6" x14ac:dyDescent="0.35">
      <c r="B2919">
        <v>4502123528</v>
      </c>
      <c r="C2919">
        <v>10</v>
      </c>
      <c r="D2919" t="s">
        <v>6218</v>
      </c>
      <c r="E2919" t="s">
        <v>4039</v>
      </c>
      <c r="F2919" t="s">
        <v>6778</v>
      </c>
    </row>
    <row r="2920" spans="2:6" x14ac:dyDescent="0.35">
      <c r="B2920">
        <v>4502123315</v>
      </c>
      <c r="C2920">
        <v>30</v>
      </c>
      <c r="D2920" t="s">
        <v>6779</v>
      </c>
      <c r="E2920" t="s">
        <v>4039</v>
      </c>
      <c r="F2920" t="s">
        <v>6780</v>
      </c>
    </row>
    <row r="2921" spans="2:6" x14ac:dyDescent="0.35">
      <c r="B2921">
        <v>4502118856</v>
      </c>
      <c r="C2921">
        <v>10</v>
      </c>
      <c r="D2921" t="s">
        <v>6781</v>
      </c>
      <c r="E2921" t="s">
        <v>4039</v>
      </c>
      <c r="F2921" t="s">
        <v>6782</v>
      </c>
    </row>
    <row r="2922" spans="2:6" x14ac:dyDescent="0.35">
      <c r="B2922">
        <v>4502108602</v>
      </c>
      <c r="C2922">
        <v>30</v>
      </c>
      <c r="D2922" t="s">
        <v>6783</v>
      </c>
      <c r="E2922" t="s">
        <v>4039</v>
      </c>
      <c r="F2922" t="s">
        <v>6784</v>
      </c>
    </row>
    <row r="2923" spans="2:6" x14ac:dyDescent="0.35">
      <c r="B2923">
        <v>4502104913</v>
      </c>
      <c r="C2923">
        <v>10</v>
      </c>
      <c r="D2923" t="s">
        <v>6785</v>
      </c>
      <c r="E2923" t="s">
        <v>4039</v>
      </c>
      <c r="F2923" t="s">
        <v>6786</v>
      </c>
    </row>
    <row r="2924" spans="2:6" x14ac:dyDescent="0.35">
      <c r="B2924">
        <v>4502104151</v>
      </c>
      <c r="C2924">
        <v>10</v>
      </c>
      <c r="D2924" t="s">
        <v>2475</v>
      </c>
      <c r="E2924" t="s">
        <v>4039</v>
      </c>
      <c r="F2924" t="s">
        <v>6787</v>
      </c>
    </row>
    <row r="2925" spans="2:6" x14ac:dyDescent="0.35">
      <c r="B2925">
        <v>4502102000</v>
      </c>
      <c r="C2925">
        <v>10</v>
      </c>
      <c r="D2925" t="s">
        <v>6788</v>
      </c>
      <c r="E2925" t="s">
        <v>4039</v>
      </c>
      <c r="F2925" t="s">
        <v>6789</v>
      </c>
    </row>
    <row r="2926" spans="2:6" x14ac:dyDescent="0.35">
      <c r="B2926">
        <v>4502101153</v>
      </c>
      <c r="C2926">
        <v>10</v>
      </c>
      <c r="D2926" t="s">
        <v>2475</v>
      </c>
      <c r="E2926" t="s">
        <v>4039</v>
      </c>
      <c r="F2926" t="s">
        <v>6790</v>
      </c>
    </row>
    <row r="2927" spans="2:6" x14ac:dyDescent="0.35">
      <c r="B2927">
        <v>4502098835</v>
      </c>
      <c r="C2927">
        <v>10</v>
      </c>
      <c r="D2927" t="s">
        <v>6791</v>
      </c>
      <c r="E2927" t="s">
        <v>4039</v>
      </c>
      <c r="F2927" t="s">
        <v>6792</v>
      </c>
    </row>
    <row r="2928" spans="2:6" x14ac:dyDescent="0.35">
      <c r="B2928">
        <v>4502086972</v>
      </c>
      <c r="C2928">
        <v>10</v>
      </c>
      <c r="D2928" t="s">
        <v>6793</v>
      </c>
      <c r="E2928" t="s">
        <v>4039</v>
      </c>
      <c r="F2928" t="s">
        <v>6794</v>
      </c>
    </row>
    <row r="2929" spans="2:6" x14ac:dyDescent="0.35">
      <c r="B2929">
        <v>4502083676</v>
      </c>
      <c r="C2929">
        <v>20</v>
      </c>
      <c r="D2929" t="s">
        <v>6347</v>
      </c>
      <c r="E2929" t="s">
        <v>4039</v>
      </c>
      <c r="F2929" t="s">
        <v>6795</v>
      </c>
    </row>
    <row r="2930" spans="2:6" x14ac:dyDescent="0.35">
      <c r="B2930">
        <v>4502083676</v>
      </c>
      <c r="C2930">
        <v>10</v>
      </c>
      <c r="D2930" t="s">
        <v>6781</v>
      </c>
      <c r="E2930" t="s">
        <v>4039</v>
      </c>
      <c r="F2930" t="s">
        <v>6796</v>
      </c>
    </row>
    <row r="2931" spans="2:6" x14ac:dyDescent="0.35">
      <c r="B2931">
        <v>4502073320</v>
      </c>
      <c r="C2931">
        <v>10</v>
      </c>
      <c r="D2931" t="s">
        <v>6797</v>
      </c>
      <c r="E2931" t="s">
        <v>4039</v>
      </c>
      <c r="F2931" t="s">
        <v>6798</v>
      </c>
    </row>
    <row r="2932" spans="2:6" x14ac:dyDescent="0.35">
      <c r="B2932">
        <v>4502073237</v>
      </c>
      <c r="C2932">
        <v>30</v>
      </c>
      <c r="D2932" t="s">
        <v>6459</v>
      </c>
      <c r="E2932" t="s">
        <v>4039</v>
      </c>
      <c r="F2932" t="s">
        <v>6799</v>
      </c>
    </row>
    <row r="2933" spans="2:6" x14ac:dyDescent="0.35">
      <c r="B2933">
        <v>4502073237</v>
      </c>
      <c r="C2933">
        <v>20</v>
      </c>
      <c r="D2933" t="s">
        <v>6800</v>
      </c>
      <c r="E2933" t="s">
        <v>4039</v>
      </c>
      <c r="F2933" t="s">
        <v>6801</v>
      </c>
    </row>
    <row r="2934" spans="2:6" x14ac:dyDescent="0.35">
      <c r="B2934">
        <v>4502073237</v>
      </c>
      <c r="C2934">
        <v>10</v>
      </c>
      <c r="D2934" t="s">
        <v>1484</v>
      </c>
      <c r="E2934" t="s">
        <v>4039</v>
      </c>
      <c r="F2934" t="s">
        <v>6802</v>
      </c>
    </row>
    <row r="2935" spans="2:6" x14ac:dyDescent="0.35">
      <c r="B2935">
        <v>4502071043</v>
      </c>
      <c r="C2935">
        <v>20</v>
      </c>
      <c r="D2935" t="s">
        <v>6803</v>
      </c>
      <c r="E2935" t="s">
        <v>3200</v>
      </c>
      <c r="F2935" t="s">
        <v>6804</v>
      </c>
    </row>
    <row r="2936" spans="2:6" x14ac:dyDescent="0.35">
      <c r="B2936">
        <v>4502071043</v>
      </c>
      <c r="C2936">
        <v>10</v>
      </c>
      <c r="D2936" t="s">
        <v>6805</v>
      </c>
      <c r="E2936" t="s">
        <v>3200</v>
      </c>
      <c r="F2936" t="s">
        <v>6806</v>
      </c>
    </row>
    <row r="2937" spans="2:6" x14ac:dyDescent="0.35">
      <c r="B2937">
        <v>4502070608</v>
      </c>
      <c r="C2937">
        <v>20</v>
      </c>
      <c r="D2937" t="s">
        <v>2475</v>
      </c>
      <c r="E2937" t="s">
        <v>4039</v>
      </c>
      <c r="F2937" t="s">
        <v>6807</v>
      </c>
    </row>
    <row r="2938" spans="2:6" x14ac:dyDescent="0.35">
      <c r="B2938">
        <v>4502070591</v>
      </c>
      <c r="C2938">
        <v>10</v>
      </c>
      <c r="D2938" t="s">
        <v>6808</v>
      </c>
      <c r="E2938" t="s">
        <v>4039</v>
      </c>
      <c r="F2938" t="s">
        <v>6809</v>
      </c>
    </row>
    <row r="2939" spans="2:6" x14ac:dyDescent="0.35">
      <c r="B2939">
        <v>4502070008</v>
      </c>
      <c r="C2939">
        <v>10</v>
      </c>
      <c r="D2939" t="s">
        <v>6810</v>
      </c>
      <c r="E2939" t="s">
        <v>4039</v>
      </c>
      <c r="F2939" t="s">
        <v>6811</v>
      </c>
    </row>
    <row r="2940" spans="2:6" x14ac:dyDescent="0.35">
      <c r="B2940">
        <v>4502068459</v>
      </c>
      <c r="C2940">
        <v>10</v>
      </c>
      <c r="D2940" t="s">
        <v>6812</v>
      </c>
      <c r="E2940" t="s">
        <v>4039</v>
      </c>
      <c r="F2940" t="s">
        <v>6813</v>
      </c>
    </row>
    <row r="2941" spans="2:6" x14ac:dyDescent="0.35">
      <c r="B2941">
        <v>4502064221</v>
      </c>
      <c r="C2941">
        <v>50</v>
      </c>
      <c r="D2941" t="s">
        <v>3554</v>
      </c>
      <c r="E2941" t="s">
        <v>4039</v>
      </c>
      <c r="F2941" t="s">
        <v>6814</v>
      </c>
    </row>
    <row r="2942" spans="2:6" x14ac:dyDescent="0.35">
      <c r="B2942">
        <v>4502060500</v>
      </c>
      <c r="C2942">
        <v>10</v>
      </c>
      <c r="D2942" t="s">
        <v>6815</v>
      </c>
      <c r="E2942" t="s">
        <v>4039</v>
      </c>
      <c r="F2942" t="s">
        <v>6816</v>
      </c>
    </row>
    <row r="2943" spans="2:6" x14ac:dyDescent="0.35">
      <c r="B2943">
        <v>4502059653</v>
      </c>
      <c r="C2943">
        <v>10</v>
      </c>
      <c r="D2943" t="s">
        <v>6817</v>
      </c>
      <c r="E2943" t="s">
        <v>4039</v>
      </c>
      <c r="F2943" t="s">
        <v>6818</v>
      </c>
    </row>
    <row r="2944" spans="2:6" x14ac:dyDescent="0.35">
      <c r="B2944">
        <v>4502059155</v>
      </c>
      <c r="C2944">
        <v>10</v>
      </c>
      <c r="D2944" t="s">
        <v>6819</v>
      </c>
      <c r="E2944" t="s">
        <v>4039</v>
      </c>
      <c r="F2944" t="s">
        <v>6820</v>
      </c>
    </row>
    <row r="2945" spans="2:6" x14ac:dyDescent="0.35">
      <c r="B2945">
        <v>4502059115</v>
      </c>
      <c r="C2945">
        <v>10</v>
      </c>
      <c r="D2945" t="s">
        <v>6821</v>
      </c>
      <c r="E2945" t="s">
        <v>4039</v>
      </c>
      <c r="F2945" t="s">
        <v>6822</v>
      </c>
    </row>
    <row r="2946" spans="2:6" x14ac:dyDescent="0.35">
      <c r="B2946">
        <v>4502056913</v>
      </c>
      <c r="C2946">
        <v>10</v>
      </c>
      <c r="D2946" t="s">
        <v>6823</v>
      </c>
      <c r="E2946" t="s">
        <v>4039</v>
      </c>
      <c r="F2946" t="s">
        <v>6824</v>
      </c>
    </row>
    <row r="2947" spans="2:6" x14ac:dyDescent="0.35">
      <c r="B2947">
        <v>4501947326</v>
      </c>
      <c r="C2947">
        <v>20</v>
      </c>
      <c r="D2947" t="s">
        <v>6825</v>
      </c>
      <c r="E2947" t="s">
        <v>4039</v>
      </c>
      <c r="F2947" t="s">
        <v>6826</v>
      </c>
    </row>
    <row r="2948" spans="2:6" x14ac:dyDescent="0.35">
      <c r="B2948">
        <v>4501947326</v>
      </c>
      <c r="C2948">
        <v>10</v>
      </c>
      <c r="D2948" t="s">
        <v>6827</v>
      </c>
      <c r="E2948" t="s">
        <v>4039</v>
      </c>
      <c r="F2948" t="s">
        <v>6828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10C80-9266-44C8-A276-F0A0E197A205}">
  <dimension ref="A1:A34"/>
  <sheetViews>
    <sheetView workbookViewId="0">
      <selection sqref="A1:A34"/>
    </sheetView>
  </sheetViews>
  <sheetFormatPr baseColWidth="10" defaultRowHeight="14.5" x14ac:dyDescent="0.35"/>
  <sheetData>
    <row r="1" spans="1:1" x14ac:dyDescent="0.35">
      <c r="A1" s="33"/>
    </row>
    <row r="2" spans="1:1" x14ac:dyDescent="0.35">
      <c r="A2" s="33"/>
    </row>
    <row r="3" spans="1:1" x14ac:dyDescent="0.35">
      <c r="A3" s="33"/>
    </row>
    <row r="4" spans="1:1" x14ac:dyDescent="0.35">
      <c r="A4" s="33"/>
    </row>
    <row r="5" spans="1:1" x14ac:dyDescent="0.35">
      <c r="A5" s="33"/>
    </row>
    <row r="6" spans="1:1" x14ac:dyDescent="0.35">
      <c r="A6" s="33"/>
    </row>
    <row r="7" spans="1:1" x14ac:dyDescent="0.35">
      <c r="A7" s="33"/>
    </row>
    <row r="8" spans="1:1" x14ac:dyDescent="0.35">
      <c r="A8" s="33"/>
    </row>
    <row r="9" spans="1:1" x14ac:dyDescent="0.35">
      <c r="A9" s="33"/>
    </row>
    <row r="10" spans="1:1" x14ac:dyDescent="0.35">
      <c r="A10" s="33"/>
    </row>
    <row r="11" spans="1:1" x14ac:dyDescent="0.35">
      <c r="A11" s="33"/>
    </row>
    <row r="12" spans="1:1" x14ac:dyDescent="0.35">
      <c r="A12" s="33"/>
    </row>
    <row r="13" spans="1:1" x14ac:dyDescent="0.35">
      <c r="A13" s="33"/>
    </row>
    <row r="14" spans="1:1" x14ac:dyDescent="0.35">
      <c r="A14" s="33"/>
    </row>
    <row r="15" spans="1:1" x14ac:dyDescent="0.35">
      <c r="A15" s="33"/>
    </row>
    <row r="16" spans="1:1" x14ac:dyDescent="0.35">
      <c r="A16" s="33"/>
    </row>
    <row r="17" spans="1:1" x14ac:dyDescent="0.35">
      <c r="A17" s="33"/>
    </row>
    <row r="18" spans="1:1" x14ac:dyDescent="0.35">
      <c r="A18" s="33"/>
    </row>
    <row r="19" spans="1:1" x14ac:dyDescent="0.35">
      <c r="A19" s="33"/>
    </row>
    <row r="20" spans="1:1" x14ac:dyDescent="0.35">
      <c r="A20" s="33"/>
    </row>
    <row r="21" spans="1:1" x14ac:dyDescent="0.35">
      <c r="A21" s="33"/>
    </row>
    <row r="22" spans="1:1" x14ac:dyDescent="0.35">
      <c r="A22" s="33"/>
    </row>
    <row r="23" spans="1:1" x14ac:dyDescent="0.35">
      <c r="A23" s="33"/>
    </row>
    <row r="24" spans="1:1" x14ac:dyDescent="0.35">
      <c r="A24" s="33"/>
    </row>
    <row r="25" spans="1:1" x14ac:dyDescent="0.35">
      <c r="A25" s="33"/>
    </row>
    <row r="26" spans="1:1" x14ac:dyDescent="0.35">
      <c r="A26" s="33"/>
    </row>
    <row r="27" spans="1:1" x14ac:dyDescent="0.35">
      <c r="A27" s="33"/>
    </row>
    <row r="28" spans="1:1" x14ac:dyDescent="0.35">
      <c r="A28" s="33"/>
    </row>
    <row r="29" spans="1:1" x14ac:dyDescent="0.35">
      <c r="A29" s="33"/>
    </row>
    <row r="30" spans="1:1" x14ac:dyDescent="0.35">
      <c r="A30" s="33"/>
    </row>
    <row r="31" spans="1:1" x14ac:dyDescent="0.35">
      <c r="A31" s="33"/>
    </row>
    <row r="32" spans="1:1" x14ac:dyDescent="0.35">
      <c r="A32" s="33"/>
    </row>
    <row r="33" spans="1:1" x14ac:dyDescent="0.35">
      <c r="A33" s="33"/>
    </row>
    <row r="34" spans="1:1" x14ac:dyDescent="0.35">
      <c r="A34" s="51"/>
    </row>
  </sheetData>
  <conditionalFormatting sqref="A1:A34">
    <cfRule type="duplicateValues" dxfId="109" priority="1"/>
    <cfRule type="duplicateValues" dxfId="108" priority="2"/>
    <cfRule type="duplicateValues" dxfId="107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B81E-7AF1-408A-BE6E-9756EE066B89}">
  <sheetPr filterMode="1"/>
  <dimension ref="A3:K1318"/>
  <sheetViews>
    <sheetView topLeftCell="A5" workbookViewId="0">
      <selection activeCell="G132" sqref="F132:G132"/>
    </sheetView>
  </sheetViews>
  <sheetFormatPr baseColWidth="10" defaultRowHeight="14.5" x14ac:dyDescent="0.35"/>
  <cols>
    <col min="2" max="2" width="45.81640625" bestFit="1" customWidth="1"/>
    <col min="10" max="10" width="12.81640625" bestFit="1" customWidth="1"/>
    <col min="11" max="11" width="16.453125" customWidth="1"/>
  </cols>
  <sheetData>
    <row r="3" spans="1:11" ht="18.5" x14ac:dyDescent="0.35">
      <c r="B3" s="63" t="s">
        <v>1560</v>
      </c>
    </row>
    <row r="4" spans="1:11" ht="21" x14ac:dyDescent="0.35">
      <c r="B4" s="58">
        <f>AVERAGE(K8:K1318)</f>
        <v>1.72993131461297</v>
      </c>
    </row>
    <row r="7" spans="1:11" ht="29" x14ac:dyDescent="0.35">
      <c r="A7" s="32" t="s">
        <v>0</v>
      </c>
      <c r="B7" s="34" t="s">
        <v>1</v>
      </c>
      <c r="C7" s="34" t="s">
        <v>15</v>
      </c>
      <c r="D7" s="34" t="s">
        <v>64</v>
      </c>
      <c r="E7" s="34" t="s">
        <v>1275</v>
      </c>
      <c r="F7" s="34" t="s">
        <v>2</v>
      </c>
      <c r="G7" s="34" t="s">
        <v>3</v>
      </c>
      <c r="H7" s="34" t="s">
        <v>4</v>
      </c>
      <c r="I7" s="34" t="s">
        <v>5</v>
      </c>
      <c r="J7" s="34" t="s">
        <v>6</v>
      </c>
      <c r="K7" s="34" t="s">
        <v>1561</v>
      </c>
    </row>
    <row r="8" spans="1:11" hidden="1" x14ac:dyDescent="0.35">
      <c r="A8" s="33">
        <v>20004806</v>
      </c>
      <c r="B8" s="36" t="s">
        <v>1211</v>
      </c>
      <c r="C8" s="37" t="s">
        <v>86</v>
      </c>
      <c r="D8" s="38" t="s">
        <v>87</v>
      </c>
      <c r="E8" s="38" t="s">
        <v>89</v>
      </c>
      <c r="F8" s="37">
        <v>40</v>
      </c>
      <c r="G8" s="37">
        <v>50</v>
      </c>
      <c r="H8" s="37">
        <v>32</v>
      </c>
      <c r="I8" s="37" t="s">
        <v>8</v>
      </c>
      <c r="J8" s="37" t="s">
        <v>7</v>
      </c>
      <c r="K8" s="62">
        <f>H8/(F8+G8)</f>
        <v>0.35555555555555557</v>
      </c>
    </row>
    <row r="9" spans="1:11" hidden="1" x14ac:dyDescent="0.35">
      <c r="A9" s="33">
        <v>20005088</v>
      </c>
      <c r="B9" s="36" t="s">
        <v>1236</v>
      </c>
      <c r="C9" s="37" t="s">
        <v>86</v>
      </c>
      <c r="D9" s="38"/>
      <c r="E9" s="38" t="s">
        <v>68</v>
      </c>
      <c r="F9" s="37">
        <v>2</v>
      </c>
      <c r="G9" s="37">
        <v>2</v>
      </c>
      <c r="H9" s="37">
        <v>12</v>
      </c>
      <c r="I9" s="37" t="s">
        <v>8</v>
      </c>
      <c r="J9" s="37" t="s">
        <v>7</v>
      </c>
      <c r="K9" s="62">
        <f t="shared" ref="K9:K72" si="0">H9/(F9+G9)</f>
        <v>3</v>
      </c>
    </row>
    <row r="10" spans="1:11" hidden="1" x14ac:dyDescent="0.35">
      <c r="A10" s="33">
        <v>20004808</v>
      </c>
      <c r="B10" s="36" t="s">
        <v>93</v>
      </c>
      <c r="C10" s="37" t="s">
        <v>86</v>
      </c>
      <c r="D10" s="38"/>
      <c r="E10" s="38" t="s">
        <v>89</v>
      </c>
      <c r="F10" s="37">
        <v>60</v>
      </c>
      <c r="G10" s="37">
        <v>100</v>
      </c>
      <c r="H10" s="37">
        <v>40</v>
      </c>
      <c r="I10" s="37" t="s">
        <v>8</v>
      </c>
      <c r="J10" s="59" t="s">
        <v>9</v>
      </c>
      <c r="K10" s="62">
        <f t="shared" si="0"/>
        <v>0.25</v>
      </c>
    </row>
    <row r="11" spans="1:11" hidden="1" x14ac:dyDescent="0.35">
      <c r="A11" s="33">
        <v>20019781</v>
      </c>
      <c r="B11" s="36" t="s">
        <v>90</v>
      </c>
      <c r="C11" s="37" t="s">
        <v>86</v>
      </c>
      <c r="D11" s="38" t="s">
        <v>91</v>
      </c>
      <c r="E11" s="38" t="s">
        <v>89</v>
      </c>
      <c r="F11" s="37">
        <v>75</v>
      </c>
      <c r="G11" s="37">
        <v>100</v>
      </c>
      <c r="H11" s="37">
        <v>70</v>
      </c>
      <c r="I11" s="37" t="s">
        <v>8</v>
      </c>
      <c r="J11" s="37" t="s">
        <v>7</v>
      </c>
      <c r="K11" s="62">
        <f t="shared" si="0"/>
        <v>0.4</v>
      </c>
    </row>
    <row r="12" spans="1:11" hidden="1" x14ac:dyDescent="0.35">
      <c r="A12" s="33">
        <v>20004847</v>
      </c>
      <c r="B12" s="36" t="s">
        <v>1339</v>
      </c>
      <c r="C12" s="37" t="s">
        <v>86</v>
      </c>
      <c r="D12" s="38"/>
      <c r="E12" s="38" t="s">
        <v>68</v>
      </c>
      <c r="F12" s="37">
        <v>10</v>
      </c>
      <c r="G12" s="37">
        <v>10</v>
      </c>
      <c r="H12" s="37">
        <v>12</v>
      </c>
      <c r="I12" s="37" t="s">
        <v>8</v>
      </c>
      <c r="J12" s="37" t="s">
        <v>7</v>
      </c>
      <c r="K12" s="62">
        <f t="shared" si="0"/>
        <v>0.6</v>
      </c>
    </row>
    <row r="13" spans="1:11" hidden="1" x14ac:dyDescent="0.35">
      <c r="A13" s="33">
        <v>20004877</v>
      </c>
      <c r="B13" s="36" t="s">
        <v>1228</v>
      </c>
      <c r="C13" s="37" t="s">
        <v>86</v>
      </c>
      <c r="D13" s="38"/>
      <c r="E13" s="38" t="s">
        <v>68</v>
      </c>
      <c r="F13" s="37">
        <v>20</v>
      </c>
      <c r="G13" s="37">
        <v>25</v>
      </c>
      <c r="H13" s="37">
        <v>35</v>
      </c>
      <c r="I13" s="37" t="s">
        <v>23</v>
      </c>
      <c r="J13" s="37" t="s">
        <v>7</v>
      </c>
      <c r="K13" s="62">
        <f t="shared" si="0"/>
        <v>0.77777777777777779</v>
      </c>
    </row>
    <row r="14" spans="1:11" hidden="1" x14ac:dyDescent="0.35">
      <c r="A14" s="33">
        <v>20004885</v>
      </c>
      <c r="B14" s="36" t="s">
        <v>1229</v>
      </c>
      <c r="C14" s="37" t="s">
        <v>86</v>
      </c>
      <c r="D14" s="38"/>
      <c r="E14" s="38" t="s">
        <v>68</v>
      </c>
      <c r="F14" s="37">
        <v>5</v>
      </c>
      <c r="G14" s="37">
        <v>10</v>
      </c>
      <c r="H14" s="37">
        <v>13</v>
      </c>
      <c r="I14" s="37" t="s">
        <v>24</v>
      </c>
      <c r="J14" s="37" t="s">
        <v>7</v>
      </c>
      <c r="K14" s="62">
        <f t="shared" si="0"/>
        <v>0.8666666666666667</v>
      </c>
    </row>
    <row r="15" spans="1:11" hidden="1" x14ac:dyDescent="0.35">
      <c r="A15" s="33">
        <v>20014604</v>
      </c>
      <c r="B15" s="36" t="s">
        <v>95</v>
      </c>
      <c r="C15" s="37" t="s">
        <v>86</v>
      </c>
      <c r="D15" s="38" t="s">
        <v>91</v>
      </c>
      <c r="E15" s="38" t="s">
        <v>89</v>
      </c>
      <c r="F15" s="37">
        <v>5</v>
      </c>
      <c r="G15" s="37">
        <v>10</v>
      </c>
      <c r="H15" s="37">
        <v>6</v>
      </c>
      <c r="I15" s="37" t="s">
        <v>354</v>
      </c>
      <c r="J15" s="59" t="s">
        <v>14</v>
      </c>
      <c r="K15" s="62">
        <f t="shared" si="0"/>
        <v>0.4</v>
      </c>
    </row>
    <row r="16" spans="1:11" hidden="1" x14ac:dyDescent="0.35">
      <c r="A16" s="33">
        <v>20004886</v>
      </c>
      <c r="B16" s="36" t="s">
        <v>1230</v>
      </c>
      <c r="C16" s="37" t="s">
        <v>86</v>
      </c>
      <c r="D16" s="38"/>
      <c r="E16" s="38" t="s">
        <v>68</v>
      </c>
      <c r="F16" s="37">
        <v>2</v>
      </c>
      <c r="G16" s="37">
        <v>2</v>
      </c>
      <c r="H16" s="37">
        <v>30</v>
      </c>
      <c r="I16" s="37" t="s">
        <v>8</v>
      </c>
      <c r="J16" s="59" t="s">
        <v>7</v>
      </c>
      <c r="K16" s="62">
        <f t="shared" si="0"/>
        <v>7.5</v>
      </c>
    </row>
    <row r="17" spans="1:11" hidden="1" x14ac:dyDescent="0.35">
      <c r="A17" s="33">
        <v>20004927</v>
      </c>
      <c r="B17" s="36" t="s">
        <v>1405</v>
      </c>
      <c r="C17" s="37" t="s">
        <v>86</v>
      </c>
      <c r="D17" s="38"/>
      <c r="E17" s="38" t="s">
        <v>68</v>
      </c>
      <c r="F17" s="37">
        <v>50</v>
      </c>
      <c r="G17" s="37">
        <v>100</v>
      </c>
      <c r="H17" s="37">
        <v>100</v>
      </c>
      <c r="I17" s="37" t="s">
        <v>353</v>
      </c>
      <c r="J17" s="59" t="s">
        <v>7</v>
      </c>
      <c r="K17" s="62">
        <f t="shared" si="0"/>
        <v>0.66666666666666663</v>
      </c>
    </row>
    <row r="18" spans="1:11" hidden="1" x14ac:dyDescent="0.35">
      <c r="A18" s="33">
        <v>20004931</v>
      </c>
      <c r="B18" s="36" t="s">
        <v>96</v>
      </c>
      <c r="C18" s="37" t="s">
        <v>86</v>
      </c>
      <c r="D18" s="38" t="s">
        <v>97</v>
      </c>
      <c r="E18" s="38" t="s">
        <v>89</v>
      </c>
      <c r="F18" s="37">
        <v>1001</v>
      </c>
      <c r="G18" s="37">
        <v>3000</v>
      </c>
      <c r="H18" s="37">
        <v>3000</v>
      </c>
      <c r="I18" s="37" t="s">
        <v>353</v>
      </c>
      <c r="J18" s="59" t="s">
        <v>14</v>
      </c>
      <c r="K18" s="62">
        <f t="shared" si="0"/>
        <v>0.74981254686328414</v>
      </c>
    </row>
    <row r="19" spans="1:11" hidden="1" x14ac:dyDescent="0.35">
      <c r="A19" s="33">
        <v>20004932</v>
      </c>
      <c r="B19" s="36" t="s">
        <v>1231</v>
      </c>
      <c r="C19" s="37" t="s">
        <v>86</v>
      </c>
      <c r="D19" s="38"/>
      <c r="E19" s="38" t="s">
        <v>68</v>
      </c>
      <c r="F19" s="37">
        <v>250</v>
      </c>
      <c r="G19" s="37">
        <v>250</v>
      </c>
      <c r="H19" s="37">
        <v>750</v>
      </c>
      <c r="I19" s="37" t="s">
        <v>353</v>
      </c>
      <c r="J19" s="37" t="s">
        <v>7</v>
      </c>
      <c r="K19" s="62">
        <f t="shared" si="0"/>
        <v>1.5</v>
      </c>
    </row>
    <row r="20" spans="1:11" hidden="1" x14ac:dyDescent="0.35">
      <c r="A20" s="33">
        <v>20004936</v>
      </c>
      <c r="B20" s="36" t="s">
        <v>99</v>
      </c>
      <c r="C20" s="37" t="s">
        <v>86</v>
      </c>
      <c r="D20" s="38" t="s">
        <v>97</v>
      </c>
      <c r="E20" s="38" t="s">
        <v>89</v>
      </c>
      <c r="F20" s="37">
        <v>2</v>
      </c>
      <c r="G20" s="37">
        <v>3</v>
      </c>
      <c r="H20" s="37">
        <v>4</v>
      </c>
      <c r="I20" s="37" t="s">
        <v>24</v>
      </c>
      <c r="J20" s="59" t="s">
        <v>14</v>
      </c>
      <c r="K20" s="62">
        <f t="shared" si="0"/>
        <v>0.8</v>
      </c>
    </row>
    <row r="21" spans="1:11" hidden="1" x14ac:dyDescent="0.35">
      <c r="A21" s="33">
        <v>20004983</v>
      </c>
      <c r="B21" s="36" t="s">
        <v>100</v>
      </c>
      <c r="C21" s="37" t="s">
        <v>86</v>
      </c>
      <c r="D21" s="38" t="s">
        <v>97</v>
      </c>
      <c r="E21" s="38" t="s">
        <v>89</v>
      </c>
      <c r="F21" s="37">
        <v>1</v>
      </c>
      <c r="G21" s="37">
        <v>3</v>
      </c>
      <c r="H21" s="37">
        <v>7</v>
      </c>
      <c r="I21" s="37" t="s">
        <v>24</v>
      </c>
      <c r="J21" s="37" t="s">
        <v>7</v>
      </c>
      <c r="K21" s="62">
        <f t="shared" si="0"/>
        <v>1.75</v>
      </c>
    </row>
    <row r="22" spans="1:11" hidden="1" x14ac:dyDescent="0.35">
      <c r="A22" s="33">
        <v>20004986</v>
      </c>
      <c r="B22" s="36" t="s">
        <v>1232</v>
      </c>
      <c r="C22" s="37" t="s">
        <v>86</v>
      </c>
      <c r="D22" s="38"/>
      <c r="E22" s="38" t="s">
        <v>68</v>
      </c>
      <c r="F22" s="37">
        <v>4</v>
      </c>
      <c r="G22" s="37">
        <v>4</v>
      </c>
      <c r="H22" s="37">
        <v>7</v>
      </c>
      <c r="I22" s="37" t="s">
        <v>8</v>
      </c>
      <c r="J22" s="59" t="s">
        <v>9</v>
      </c>
      <c r="K22" s="62">
        <f t="shared" si="0"/>
        <v>0.875</v>
      </c>
    </row>
    <row r="23" spans="1:11" hidden="1" x14ac:dyDescent="0.35">
      <c r="A23" s="33">
        <v>20005053</v>
      </c>
      <c r="B23" s="36" t="s">
        <v>101</v>
      </c>
      <c r="C23" s="37" t="s">
        <v>86</v>
      </c>
      <c r="D23" s="38" t="s">
        <v>97</v>
      </c>
      <c r="E23" s="38" t="s">
        <v>89</v>
      </c>
      <c r="F23" s="37">
        <v>80</v>
      </c>
      <c r="G23" s="37">
        <v>100</v>
      </c>
      <c r="H23" s="37">
        <v>134</v>
      </c>
      <c r="I23" s="37" t="s">
        <v>23</v>
      </c>
      <c r="J23" s="59" t="s">
        <v>7</v>
      </c>
      <c r="K23" s="62">
        <f t="shared" si="0"/>
        <v>0.74444444444444446</v>
      </c>
    </row>
    <row r="24" spans="1:11" hidden="1" x14ac:dyDescent="0.35">
      <c r="A24" s="33">
        <v>20004998</v>
      </c>
      <c r="B24" s="36" t="s">
        <v>1233</v>
      </c>
      <c r="C24" s="37" t="s">
        <v>86</v>
      </c>
      <c r="D24" s="38"/>
      <c r="E24" s="38" t="s">
        <v>68</v>
      </c>
      <c r="F24" s="37">
        <v>10</v>
      </c>
      <c r="G24" s="37">
        <v>20</v>
      </c>
      <c r="H24" s="37">
        <v>10</v>
      </c>
      <c r="I24" s="37" t="s">
        <v>23</v>
      </c>
      <c r="J24" s="37" t="s">
        <v>7</v>
      </c>
      <c r="K24" s="62">
        <f t="shared" si="0"/>
        <v>0.33333333333333331</v>
      </c>
    </row>
    <row r="25" spans="1:11" hidden="1" x14ac:dyDescent="0.35">
      <c r="A25" s="33">
        <v>20005001</v>
      </c>
      <c r="B25" s="36" t="s">
        <v>1267</v>
      </c>
      <c r="C25" s="37" t="s">
        <v>86</v>
      </c>
      <c r="D25" s="38"/>
      <c r="E25" s="38" t="s">
        <v>68</v>
      </c>
      <c r="F25" s="37">
        <v>300</v>
      </c>
      <c r="G25" s="37">
        <v>600</v>
      </c>
      <c r="H25" s="37">
        <v>400</v>
      </c>
      <c r="I25" s="37" t="s">
        <v>23</v>
      </c>
      <c r="J25" s="37" t="s">
        <v>7</v>
      </c>
      <c r="K25" s="62">
        <f t="shared" si="0"/>
        <v>0.44444444444444442</v>
      </c>
    </row>
    <row r="26" spans="1:11" hidden="1" x14ac:dyDescent="0.35">
      <c r="A26" s="33">
        <v>20019900</v>
      </c>
      <c r="B26" s="36" t="s">
        <v>103</v>
      </c>
      <c r="C26" s="37" t="s">
        <v>86</v>
      </c>
      <c r="D26" s="38" t="s">
        <v>87</v>
      </c>
      <c r="E26" s="38" t="s">
        <v>89</v>
      </c>
      <c r="F26" s="37">
        <v>50</v>
      </c>
      <c r="G26" s="37">
        <v>30</v>
      </c>
      <c r="H26" s="37">
        <v>67</v>
      </c>
      <c r="I26" s="37" t="s">
        <v>8</v>
      </c>
      <c r="J26" s="37" t="s">
        <v>7</v>
      </c>
      <c r="K26" s="62">
        <f t="shared" si="0"/>
        <v>0.83750000000000002</v>
      </c>
    </row>
    <row r="27" spans="1:11" hidden="1" x14ac:dyDescent="0.35">
      <c r="A27" s="33">
        <v>20005022</v>
      </c>
      <c r="B27" s="36" t="s">
        <v>1262</v>
      </c>
      <c r="C27" s="37" t="s">
        <v>86</v>
      </c>
      <c r="D27" s="38"/>
      <c r="E27" s="38" t="s">
        <v>68</v>
      </c>
      <c r="F27" s="37">
        <v>2</v>
      </c>
      <c r="G27" s="37">
        <v>2</v>
      </c>
      <c r="H27" s="37">
        <v>4</v>
      </c>
      <c r="I27" s="37" t="s">
        <v>8</v>
      </c>
      <c r="J27" s="59" t="s">
        <v>7</v>
      </c>
      <c r="K27" s="62">
        <f t="shared" si="0"/>
        <v>1</v>
      </c>
    </row>
    <row r="28" spans="1:11" hidden="1" x14ac:dyDescent="0.35">
      <c r="A28" s="33">
        <v>20005239</v>
      </c>
      <c r="B28" s="36" t="s">
        <v>104</v>
      </c>
      <c r="C28" s="37" t="s">
        <v>86</v>
      </c>
      <c r="D28" s="38" t="s">
        <v>97</v>
      </c>
      <c r="E28" s="38" t="s">
        <v>89</v>
      </c>
      <c r="F28" s="37">
        <v>13</v>
      </c>
      <c r="G28" s="37">
        <v>20</v>
      </c>
      <c r="H28" s="37">
        <v>57</v>
      </c>
      <c r="I28" s="37" t="s">
        <v>8</v>
      </c>
      <c r="J28" s="37" t="s">
        <v>14</v>
      </c>
      <c r="K28" s="62">
        <f t="shared" si="0"/>
        <v>1.7272727272727273</v>
      </c>
    </row>
    <row r="29" spans="1:11" hidden="1" x14ac:dyDescent="0.35">
      <c r="A29" s="33">
        <v>20019901</v>
      </c>
      <c r="B29" s="36" t="s">
        <v>105</v>
      </c>
      <c r="C29" s="37" t="s">
        <v>86</v>
      </c>
      <c r="D29" s="38" t="s">
        <v>87</v>
      </c>
      <c r="E29" s="38" t="s">
        <v>89</v>
      </c>
      <c r="F29" s="37">
        <v>50</v>
      </c>
      <c r="G29" s="37">
        <v>30</v>
      </c>
      <c r="H29" s="37">
        <v>76</v>
      </c>
      <c r="I29" s="37" t="s">
        <v>8</v>
      </c>
      <c r="J29" s="37" t="s">
        <v>7</v>
      </c>
      <c r="K29" s="62">
        <f t="shared" si="0"/>
        <v>0.95</v>
      </c>
    </row>
    <row r="30" spans="1:11" hidden="1" x14ac:dyDescent="0.35">
      <c r="A30" s="33">
        <v>20005070</v>
      </c>
      <c r="B30" s="36" t="s">
        <v>1449</v>
      </c>
      <c r="C30" s="37" t="s">
        <v>86</v>
      </c>
      <c r="D30" s="38"/>
      <c r="E30" s="38" t="s">
        <v>68</v>
      </c>
      <c r="F30" s="37">
        <v>5</v>
      </c>
      <c r="G30" s="37">
        <v>15</v>
      </c>
      <c r="H30" s="37">
        <v>20</v>
      </c>
      <c r="I30" s="37" t="s">
        <v>8</v>
      </c>
      <c r="J30" s="37" t="s">
        <v>7</v>
      </c>
      <c r="K30" s="62">
        <f t="shared" si="0"/>
        <v>1</v>
      </c>
    </row>
    <row r="31" spans="1:11" hidden="1" x14ac:dyDescent="0.35">
      <c r="A31" s="33">
        <v>20005074</v>
      </c>
      <c r="B31" s="36" t="s">
        <v>1234</v>
      </c>
      <c r="C31" s="37" t="s">
        <v>86</v>
      </c>
      <c r="D31" s="38"/>
      <c r="E31" s="38" t="s">
        <v>68</v>
      </c>
      <c r="F31" s="37">
        <v>100</v>
      </c>
      <c r="G31" s="37">
        <v>100</v>
      </c>
      <c r="H31" s="37">
        <v>200</v>
      </c>
      <c r="I31" s="37" t="s">
        <v>353</v>
      </c>
      <c r="J31" s="37" t="s">
        <v>7</v>
      </c>
      <c r="K31" s="62">
        <f t="shared" si="0"/>
        <v>1</v>
      </c>
    </row>
    <row r="32" spans="1:11" hidden="1" x14ac:dyDescent="0.35">
      <c r="A32" s="33">
        <v>20005402</v>
      </c>
      <c r="B32" s="36" t="s">
        <v>106</v>
      </c>
      <c r="C32" s="37" t="s">
        <v>86</v>
      </c>
      <c r="D32" s="38" t="s">
        <v>87</v>
      </c>
      <c r="E32" s="38" t="s">
        <v>89</v>
      </c>
      <c r="F32" s="37">
        <v>2</v>
      </c>
      <c r="G32" s="37">
        <v>2</v>
      </c>
      <c r="H32" s="37">
        <v>3</v>
      </c>
      <c r="I32" s="37" t="s">
        <v>8</v>
      </c>
      <c r="J32" s="59" t="s">
        <v>7</v>
      </c>
      <c r="K32" s="62">
        <f t="shared" si="0"/>
        <v>0.75</v>
      </c>
    </row>
    <row r="33" spans="1:11" hidden="1" x14ac:dyDescent="0.35">
      <c r="A33" s="33">
        <v>20005083</v>
      </c>
      <c r="B33" s="36" t="s">
        <v>1235</v>
      </c>
      <c r="C33" s="37" t="s">
        <v>86</v>
      </c>
      <c r="D33" s="38"/>
      <c r="E33" s="38" t="s">
        <v>68</v>
      </c>
      <c r="F33" s="37">
        <v>50</v>
      </c>
      <c r="G33" s="37">
        <v>100</v>
      </c>
      <c r="H33" s="37">
        <v>100</v>
      </c>
      <c r="I33" s="37" t="s">
        <v>353</v>
      </c>
      <c r="J33" s="37" t="s">
        <v>7</v>
      </c>
      <c r="K33" s="62">
        <f t="shared" si="0"/>
        <v>0.66666666666666663</v>
      </c>
    </row>
    <row r="34" spans="1:11" hidden="1" x14ac:dyDescent="0.35">
      <c r="A34" s="33">
        <v>20019902</v>
      </c>
      <c r="B34" s="36" t="s">
        <v>107</v>
      </c>
      <c r="C34" s="37" t="s">
        <v>86</v>
      </c>
      <c r="D34" s="38" t="s">
        <v>87</v>
      </c>
      <c r="E34" s="38" t="s">
        <v>89</v>
      </c>
      <c r="F34" s="37">
        <v>45</v>
      </c>
      <c r="G34" s="37">
        <v>30</v>
      </c>
      <c r="H34" s="37">
        <v>59</v>
      </c>
      <c r="I34" s="37" t="s">
        <v>8</v>
      </c>
      <c r="J34" s="59" t="s">
        <v>14</v>
      </c>
      <c r="K34" s="62">
        <f t="shared" si="0"/>
        <v>0.78666666666666663</v>
      </c>
    </row>
    <row r="35" spans="1:11" hidden="1" x14ac:dyDescent="0.35">
      <c r="A35" s="33">
        <v>20005106</v>
      </c>
      <c r="B35" s="36" t="s">
        <v>1237</v>
      </c>
      <c r="C35" s="37" t="s">
        <v>86</v>
      </c>
      <c r="D35" s="38"/>
      <c r="E35" s="38" t="s">
        <v>68</v>
      </c>
      <c r="F35" s="37">
        <v>2</v>
      </c>
      <c r="G35" s="37">
        <v>2</v>
      </c>
      <c r="H35" s="37">
        <v>2</v>
      </c>
      <c r="I35" s="37" t="s">
        <v>1238</v>
      </c>
      <c r="J35" s="37" t="s">
        <v>7</v>
      </c>
      <c r="K35" s="62">
        <f t="shared" si="0"/>
        <v>0.5</v>
      </c>
    </row>
    <row r="36" spans="1:11" hidden="1" x14ac:dyDescent="0.35">
      <c r="A36" s="33">
        <v>20005210</v>
      </c>
      <c r="B36" s="36" t="s">
        <v>1415</v>
      </c>
      <c r="C36" s="37" t="s">
        <v>86</v>
      </c>
      <c r="D36" s="38"/>
      <c r="E36" s="38" t="s">
        <v>68</v>
      </c>
      <c r="F36" s="37">
        <v>130</v>
      </c>
      <c r="G36" s="37">
        <v>200</v>
      </c>
      <c r="H36" s="37">
        <v>150</v>
      </c>
      <c r="I36" s="37" t="s">
        <v>24</v>
      </c>
      <c r="J36" s="37" t="s">
        <v>7</v>
      </c>
      <c r="K36" s="62">
        <f t="shared" si="0"/>
        <v>0.45454545454545453</v>
      </c>
    </row>
    <row r="37" spans="1:11" hidden="1" x14ac:dyDescent="0.35">
      <c r="A37" s="33">
        <v>20005414</v>
      </c>
      <c r="B37" s="36" t="s">
        <v>108</v>
      </c>
      <c r="C37" s="37" t="s">
        <v>86</v>
      </c>
      <c r="D37" s="38" t="s">
        <v>87</v>
      </c>
      <c r="E37" s="38" t="s">
        <v>89</v>
      </c>
      <c r="F37" s="37">
        <v>25</v>
      </c>
      <c r="G37" s="37">
        <v>50</v>
      </c>
      <c r="H37" s="37">
        <v>36</v>
      </c>
      <c r="I37" s="37" t="s">
        <v>24</v>
      </c>
      <c r="J37" s="37" t="s">
        <v>7</v>
      </c>
      <c r="K37" s="62">
        <f t="shared" si="0"/>
        <v>0.48</v>
      </c>
    </row>
    <row r="38" spans="1:11" hidden="1" x14ac:dyDescent="0.35">
      <c r="A38" s="33">
        <v>20005221</v>
      </c>
      <c r="B38" s="36" t="s">
        <v>1433</v>
      </c>
      <c r="C38" s="37" t="s">
        <v>86</v>
      </c>
      <c r="D38" s="38"/>
      <c r="E38" s="38" t="s">
        <v>68</v>
      </c>
      <c r="F38" s="37">
        <v>6</v>
      </c>
      <c r="G38" s="37">
        <v>10</v>
      </c>
      <c r="H38" s="37">
        <v>25</v>
      </c>
      <c r="I38" s="37" t="s">
        <v>8</v>
      </c>
      <c r="J38" s="37" t="s">
        <v>7</v>
      </c>
      <c r="K38" s="62">
        <f t="shared" si="0"/>
        <v>1.5625</v>
      </c>
    </row>
    <row r="39" spans="1:11" hidden="1" x14ac:dyDescent="0.35">
      <c r="A39" s="33">
        <v>20005224</v>
      </c>
      <c r="B39" s="36" t="s">
        <v>1239</v>
      </c>
      <c r="C39" s="37" t="s">
        <v>86</v>
      </c>
      <c r="D39" s="38"/>
      <c r="E39" s="38" t="s">
        <v>68</v>
      </c>
      <c r="F39" s="37">
        <v>2</v>
      </c>
      <c r="G39" s="37">
        <v>2</v>
      </c>
      <c r="H39" s="37">
        <v>3</v>
      </c>
      <c r="I39" s="37" t="s">
        <v>8</v>
      </c>
      <c r="J39" s="37" t="s">
        <v>14</v>
      </c>
      <c r="K39" s="62">
        <f t="shared" si="0"/>
        <v>0.75</v>
      </c>
    </row>
    <row r="40" spans="1:11" hidden="1" x14ac:dyDescent="0.35">
      <c r="A40" s="33">
        <v>20005460</v>
      </c>
      <c r="B40" s="36" t="s">
        <v>110</v>
      </c>
      <c r="C40" s="37" t="s">
        <v>86</v>
      </c>
      <c r="D40" s="38" t="s">
        <v>87</v>
      </c>
      <c r="E40" s="38" t="s">
        <v>89</v>
      </c>
      <c r="F40" s="37">
        <v>20</v>
      </c>
      <c r="G40" s="37">
        <v>20</v>
      </c>
      <c r="H40" s="37">
        <v>83</v>
      </c>
      <c r="I40" s="37" t="s">
        <v>24</v>
      </c>
      <c r="J40" s="37" t="s">
        <v>7</v>
      </c>
      <c r="K40" s="62">
        <f t="shared" si="0"/>
        <v>2.0750000000000002</v>
      </c>
    </row>
    <row r="41" spans="1:11" hidden="1" x14ac:dyDescent="0.35">
      <c r="A41" s="33">
        <v>20005235</v>
      </c>
      <c r="B41" s="36" t="s">
        <v>1240</v>
      </c>
      <c r="C41" s="37" t="s">
        <v>86</v>
      </c>
      <c r="D41" s="38"/>
      <c r="E41" s="38" t="s">
        <v>68</v>
      </c>
      <c r="F41" s="37">
        <v>5</v>
      </c>
      <c r="G41" s="37">
        <v>10</v>
      </c>
      <c r="H41" s="37">
        <v>8</v>
      </c>
      <c r="I41" s="37" t="s">
        <v>1241</v>
      </c>
      <c r="J41" s="37" t="s">
        <v>14</v>
      </c>
      <c r="K41" s="62">
        <f t="shared" si="0"/>
        <v>0.53333333333333333</v>
      </c>
    </row>
    <row r="42" spans="1:11" hidden="1" x14ac:dyDescent="0.35">
      <c r="A42" s="33">
        <v>20005464</v>
      </c>
      <c r="B42" s="36" t="s">
        <v>111</v>
      </c>
      <c r="C42" s="37" t="s">
        <v>86</v>
      </c>
      <c r="D42" s="38" t="s">
        <v>87</v>
      </c>
      <c r="E42" s="38" t="s">
        <v>89</v>
      </c>
      <c r="F42" s="37">
        <v>20</v>
      </c>
      <c r="G42" s="37">
        <v>20</v>
      </c>
      <c r="H42" s="37">
        <v>25</v>
      </c>
      <c r="I42" s="37" t="s">
        <v>24</v>
      </c>
      <c r="J42" s="37" t="s">
        <v>7</v>
      </c>
      <c r="K42" s="62">
        <f t="shared" si="0"/>
        <v>0.625</v>
      </c>
    </row>
    <row r="43" spans="1:11" hidden="1" x14ac:dyDescent="0.35">
      <c r="A43" s="33">
        <v>20005258</v>
      </c>
      <c r="B43" s="36" t="s">
        <v>1406</v>
      </c>
      <c r="C43" s="37" t="s">
        <v>86</v>
      </c>
      <c r="D43" s="38"/>
      <c r="E43" s="38" t="s">
        <v>68</v>
      </c>
      <c r="F43" s="37">
        <v>10</v>
      </c>
      <c r="G43" s="37">
        <v>20</v>
      </c>
      <c r="H43" s="37">
        <v>44</v>
      </c>
      <c r="I43" s="37" t="s">
        <v>8</v>
      </c>
      <c r="J43" s="37" t="s">
        <v>7</v>
      </c>
      <c r="K43" s="62">
        <f t="shared" si="0"/>
        <v>1.4666666666666666</v>
      </c>
    </row>
    <row r="44" spans="1:11" hidden="1" x14ac:dyDescent="0.35">
      <c r="A44" s="33">
        <v>20005498</v>
      </c>
      <c r="B44" s="36" t="s">
        <v>112</v>
      </c>
      <c r="C44" s="37" t="s">
        <v>86</v>
      </c>
      <c r="D44" s="38" t="s">
        <v>87</v>
      </c>
      <c r="E44" s="38" t="s">
        <v>89</v>
      </c>
      <c r="F44" s="37">
        <v>25</v>
      </c>
      <c r="G44" s="37">
        <v>50</v>
      </c>
      <c r="H44" s="37">
        <v>55</v>
      </c>
      <c r="I44" s="37" t="s">
        <v>24</v>
      </c>
      <c r="J44" s="37" t="s">
        <v>7</v>
      </c>
      <c r="K44" s="62">
        <f t="shared" si="0"/>
        <v>0.73333333333333328</v>
      </c>
    </row>
    <row r="45" spans="1:11" hidden="1" x14ac:dyDescent="0.35">
      <c r="A45" s="33">
        <v>20005259</v>
      </c>
      <c r="B45" s="36" t="s">
        <v>1242</v>
      </c>
      <c r="C45" s="37" t="s">
        <v>86</v>
      </c>
      <c r="D45" s="38"/>
      <c r="E45" s="38" t="s">
        <v>68</v>
      </c>
      <c r="F45" s="37">
        <v>2</v>
      </c>
      <c r="G45" s="37">
        <v>2</v>
      </c>
      <c r="H45" s="37">
        <v>6</v>
      </c>
      <c r="I45" s="37" t="s">
        <v>8</v>
      </c>
      <c r="J45" s="37" t="s">
        <v>14</v>
      </c>
      <c r="K45" s="62">
        <f t="shared" si="0"/>
        <v>1.5</v>
      </c>
    </row>
    <row r="46" spans="1:11" hidden="1" x14ac:dyDescent="0.35">
      <c r="A46" s="33">
        <v>20005298</v>
      </c>
      <c r="B46" s="36" t="s">
        <v>1243</v>
      </c>
      <c r="C46" s="37" t="s">
        <v>86</v>
      </c>
      <c r="D46" s="38"/>
      <c r="E46" s="38" t="s">
        <v>68</v>
      </c>
      <c r="F46" s="37">
        <v>2</v>
      </c>
      <c r="G46" s="37">
        <v>10</v>
      </c>
      <c r="H46" s="37">
        <v>21</v>
      </c>
      <c r="I46" s="37" t="s">
        <v>8</v>
      </c>
      <c r="J46" s="37" t="s">
        <v>14</v>
      </c>
      <c r="K46" s="62">
        <f t="shared" si="0"/>
        <v>1.75</v>
      </c>
    </row>
    <row r="47" spans="1:11" hidden="1" x14ac:dyDescent="0.35">
      <c r="A47" s="33">
        <v>20005877</v>
      </c>
      <c r="B47" s="36" t="s">
        <v>16</v>
      </c>
      <c r="C47" s="37" t="s">
        <v>86</v>
      </c>
      <c r="D47" s="38"/>
      <c r="E47" s="38" t="s">
        <v>89</v>
      </c>
      <c r="F47" s="37">
        <v>72</v>
      </c>
      <c r="G47" s="37">
        <v>120</v>
      </c>
      <c r="H47" s="37">
        <v>119</v>
      </c>
      <c r="I47" s="37" t="s">
        <v>8</v>
      </c>
      <c r="J47" s="37" t="s">
        <v>7</v>
      </c>
      <c r="K47" s="62">
        <f t="shared" si="0"/>
        <v>0.61979166666666663</v>
      </c>
    </row>
    <row r="48" spans="1:11" hidden="1" x14ac:dyDescent="0.35">
      <c r="A48" s="33">
        <v>20005318</v>
      </c>
      <c r="B48" s="36" t="s">
        <v>1450</v>
      </c>
      <c r="C48" s="37" t="s">
        <v>86</v>
      </c>
      <c r="D48" s="38"/>
      <c r="E48" s="38" t="s">
        <v>68</v>
      </c>
      <c r="F48" s="37">
        <v>5</v>
      </c>
      <c r="G48" s="37">
        <v>15</v>
      </c>
      <c r="H48" s="37">
        <v>30</v>
      </c>
      <c r="I48" s="37" t="s">
        <v>8</v>
      </c>
      <c r="J48" s="37" t="s">
        <v>14</v>
      </c>
      <c r="K48" s="62">
        <f t="shared" si="0"/>
        <v>1.5</v>
      </c>
    </row>
    <row r="49" spans="1:11" hidden="1" x14ac:dyDescent="0.35">
      <c r="A49" s="33">
        <v>20005324</v>
      </c>
      <c r="B49" s="36" t="s">
        <v>1244</v>
      </c>
      <c r="C49" s="37" t="s">
        <v>86</v>
      </c>
      <c r="D49" s="38"/>
      <c r="E49" s="38" t="s">
        <v>68</v>
      </c>
      <c r="F49" s="37">
        <v>3</v>
      </c>
      <c r="G49" s="37">
        <v>6</v>
      </c>
      <c r="H49" s="37">
        <v>7</v>
      </c>
      <c r="I49" s="37" t="s">
        <v>1241</v>
      </c>
      <c r="J49" s="37" t="s">
        <v>7</v>
      </c>
      <c r="K49" s="62">
        <f t="shared" si="0"/>
        <v>0.77777777777777779</v>
      </c>
    </row>
    <row r="50" spans="1:11" hidden="1" x14ac:dyDescent="0.35">
      <c r="A50" s="33">
        <v>20005881</v>
      </c>
      <c r="B50" s="36" t="s">
        <v>114</v>
      </c>
      <c r="C50" s="37" t="s">
        <v>86</v>
      </c>
      <c r="D50" s="38" t="s">
        <v>115</v>
      </c>
      <c r="E50" s="38" t="s">
        <v>89</v>
      </c>
      <c r="F50" s="37">
        <v>15</v>
      </c>
      <c r="G50" s="37">
        <v>30</v>
      </c>
      <c r="H50" s="37">
        <v>22</v>
      </c>
      <c r="I50" s="37" t="s">
        <v>8</v>
      </c>
      <c r="J50" s="37" t="s">
        <v>14</v>
      </c>
      <c r="K50" s="62">
        <f t="shared" si="0"/>
        <v>0.48888888888888887</v>
      </c>
    </row>
    <row r="51" spans="1:11" hidden="1" x14ac:dyDescent="0.35">
      <c r="A51" s="33">
        <v>20005325</v>
      </c>
      <c r="B51" s="36" t="s">
        <v>1245</v>
      </c>
      <c r="C51" s="37" t="s">
        <v>86</v>
      </c>
      <c r="D51" s="38"/>
      <c r="E51" s="38" t="s">
        <v>68</v>
      </c>
      <c r="F51" s="37">
        <v>5</v>
      </c>
      <c r="G51" s="37">
        <v>10</v>
      </c>
      <c r="H51" s="37">
        <v>12</v>
      </c>
      <c r="I51" s="37" t="s">
        <v>1241</v>
      </c>
      <c r="J51" s="37" t="s">
        <v>7</v>
      </c>
      <c r="K51" s="62">
        <f t="shared" si="0"/>
        <v>0.8</v>
      </c>
    </row>
    <row r="52" spans="1:11" hidden="1" x14ac:dyDescent="0.35">
      <c r="A52" s="33">
        <v>20005329</v>
      </c>
      <c r="B52" s="36" t="s">
        <v>1246</v>
      </c>
      <c r="C52" s="37" t="s">
        <v>86</v>
      </c>
      <c r="D52" s="38"/>
      <c r="E52" s="38" t="s">
        <v>68</v>
      </c>
      <c r="F52" s="37">
        <v>2</v>
      </c>
      <c r="G52" s="37">
        <v>2</v>
      </c>
      <c r="H52" s="37">
        <v>24</v>
      </c>
      <c r="I52" s="37" t="s">
        <v>8</v>
      </c>
      <c r="J52" s="37" t="s">
        <v>7</v>
      </c>
      <c r="K52" s="62">
        <f t="shared" si="0"/>
        <v>6</v>
      </c>
    </row>
    <row r="53" spans="1:11" hidden="1" x14ac:dyDescent="0.35">
      <c r="A53" s="33">
        <v>20005882</v>
      </c>
      <c r="B53" s="36" t="s">
        <v>51</v>
      </c>
      <c r="C53" s="37" t="s">
        <v>86</v>
      </c>
      <c r="D53" s="38" t="s">
        <v>115</v>
      </c>
      <c r="E53" s="38" t="s">
        <v>89</v>
      </c>
      <c r="F53" s="37">
        <v>10</v>
      </c>
      <c r="G53" s="37">
        <v>30</v>
      </c>
      <c r="H53" s="37">
        <v>0</v>
      </c>
      <c r="I53" s="37" t="s">
        <v>8</v>
      </c>
      <c r="J53" s="37" t="s">
        <v>7</v>
      </c>
      <c r="K53" s="62">
        <f t="shared" si="0"/>
        <v>0</v>
      </c>
    </row>
    <row r="54" spans="1:11" hidden="1" x14ac:dyDescent="0.35">
      <c r="A54" s="33">
        <v>20005883</v>
      </c>
      <c r="B54" s="36" t="s">
        <v>117</v>
      </c>
      <c r="C54" s="37" t="s">
        <v>86</v>
      </c>
      <c r="D54" s="38" t="s">
        <v>115</v>
      </c>
      <c r="E54" s="38" t="s">
        <v>89</v>
      </c>
      <c r="F54" s="37">
        <v>80</v>
      </c>
      <c r="G54" s="37">
        <v>80</v>
      </c>
      <c r="H54" s="37">
        <v>48</v>
      </c>
      <c r="I54" s="37" t="s">
        <v>8</v>
      </c>
      <c r="J54" s="37" t="s">
        <v>14</v>
      </c>
      <c r="K54" s="62">
        <f t="shared" si="0"/>
        <v>0.3</v>
      </c>
    </row>
    <row r="55" spans="1:11" hidden="1" x14ac:dyDescent="0.35">
      <c r="A55" s="33">
        <v>20005456</v>
      </c>
      <c r="B55" s="36" t="s">
        <v>357</v>
      </c>
      <c r="C55" s="37" t="s">
        <v>86</v>
      </c>
      <c r="D55" s="38"/>
      <c r="E55" s="38" t="s">
        <v>68</v>
      </c>
      <c r="F55" s="37">
        <v>25</v>
      </c>
      <c r="G55" s="37">
        <v>50</v>
      </c>
      <c r="H55" s="37">
        <v>53</v>
      </c>
      <c r="I55" s="37" t="s">
        <v>24</v>
      </c>
      <c r="J55" s="37" t="s">
        <v>13</v>
      </c>
      <c r="K55" s="62">
        <f t="shared" si="0"/>
        <v>0.70666666666666667</v>
      </c>
    </row>
    <row r="56" spans="1:11" hidden="1" x14ac:dyDescent="0.35">
      <c r="A56" s="33">
        <v>20005923</v>
      </c>
      <c r="B56" s="36" t="s">
        <v>1214</v>
      </c>
      <c r="C56" s="37" t="s">
        <v>86</v>
      </c>
      <c r="D56" s="38"/>
      <c r="E56" s="38" t="s">
        <v>89</v>
      </c>
      <c r="F56" s="37">
        <v>20</v>
      </c>
      <c r="G56" s="37">
        <v>20</v>
      </c>
      <c r="H56" s="37">
        <v>30</v>
      </c>
      <c r="I56" s="37" t="s">
        <v>8</v>
      </c>
      <c r="J56" s="37" t="s">
        <v>9</v>
      </c>
      <c r="K56" s="62">
        <f t="shared" si="0"/>
        <v>0.75</v>
      </c>
    </row>
    <row r="57" spans="1:11" hidden="1" x14ac:dyDescent="0.35">
      <c r="A57" s="33">
        <v>20005485</v>
      </c>
      <c r="B57" s="36" t="s">
        <v>356</v>
      </c>
      <c r="C57" s="37" t="s">
        <v>86</v>
      </c>
      <c r="D57" s="38"/>
      <c r="E57" s="38" t="s">
        <v>68</v>
      </c>
      <c r="F57" s="37">
        <v>40</v>
      </c>
      <c r="G57" s="37">
        <v>20</v>
      </c>
      <c r="H57" s="37">
        <v>55</v>
      </c>
      <c r="I57" s="37" t="s">
        <v>24</v>
      </c>
      <c r="J57" s="37" t="s">
        <v>7</v>
      </c>
      <c r="K57" s="62">
        <f t="shared" si="0"/>
        <v>0.91666666666666663</v>
      </c>
    </row>
    <row r="58" spans="1:11" hidden="1" x14ac:dyDescent="0.35">
      <c r="A58" s="33">
        <v>20005494</v>
      </c>
      <c r="B58" s="36" t="s">
        <v>358</v>
      </c>
      <c r="C58" s="37" t="s">
        <v>86</v>
      </c>
      <c r="D58" s="38"/>
      <c r="E58" s="38" t="s">
        <v>68</v>
      </c>
      <c r="F58" s="37">
        <v>25</v>
      </c>
      <c r="G58" s="37">
        <v>50</v>
      </c>
      <c r="H58" s="37">
        <v>40</v>
      </c>
      <c r="I58" s="37" t="s">
        <v>24</v>
      </c>
      <c r="J58" s="37" t="s">
        <v>7</v>
      </c>
      <c r="K58" s="62">
        <f t="shared" si="0"/>
        <v>0.53333333333333333</v>
      </c>
    </row>
    <row r="59" spans="1:11" hidden="1" x14ac:dyDescent="0.35">
      <c r="A59" s="33">
        <v>20005942</v>
      </c>
      <c r="B59" s="36" t="s">
        <v>1373</v>
      </c>
      <c r="C59" s="37" t="s">
        <v>86</v>
      </c>
      <c r="D59" s="38" t="s">
        <v>118</v>
      </c>
      <c r="E59" s="38" t="s">
        <v>89</v>
      </c>
      <c r="F59" s="37">
        <v>1</v>
      </c>
      <c r="G59" s="37">
        <v>1</v>
      </c>
      <c r="H59" s="37">
        <v>1</v>
      </c>
      <c r="I59" s="37" t="s">
        <v>8</v>
      </c>
      <c r="J59" s="37" t="s">
        <v>7</v>
      </c>
      <c r="K59" s="62">
        <f t="shared" si="0"/>
        <v>0.5</v>
      </c>
    </row>
    <row r="60" spans="1:11" hidden="1" x14ac:dyDescent="0.35">
      <c r="A60" s="33">
        <v>20005496</v>
      </c>
      <c r="B60" s="36" t="s">
        <v>355</v>
      </c>
      <c r="C60" s="37" t="s">
        <v>86</v>
      </c>
      <c r="D60" s="38"/>
      <c r="E60" s="38" t="s">
        <v>68</v>
      </c>
      <c r="F60" s="37">
        <v>40</v>
      </c>
      <c r="G60" s="37">
        <v>100</v>
      </c>
      <c r="H60" s="37">
        <v>123</v>
      </c>
      <c r="I60" s="37" t="s">
        <v>24</v>
      </c>
      <c r="J60" s="37" t="s">
        <v>7</v>
      </c>
      <c r="K60" s="62">
        <f t="shared" si="0"/>
        <v>0.87857142857142856</v>
      </c>
    </row>
    <row r="61" spans="1:11" hidden="1" x14ac:dyDescent="0.35">
      <c r="A61" s="33">
        <v>20005497</v>
      </c>
      <c r="B61" s="36" t="s">
        <v>359</v>
      </c>
      <c r="C61" s="37" t="s">
        <v>86</v>
      </c>
      <c r="D61" s="38"/>
      <c r="E61" s="38" t="s">
        <v>68</v>
      </c>
      <c r="F61" s="37">
        <v>25</v>
      </c>
      <c r="G61" s="37">
        <v>50</v>
      </c>
      <c r="H61" s="37">
        <v>35</v>
      </c>
      <c r="I61" s="37" t="s">
        <v>24</v>
      </c>
      <c r="J61" s="37" t="s">
        <v>7</v>
      </c>
      <c r="K61" s="62">
        <f t="shared" si="0"/>
        <v>0.46666666666666667</v>
      </c>
    </row>
    <row r="62" spans="1:11" hidden="1" x14ac:dyDescent="0.35">
      <c r="A62" s="33">
        <v>20005954</v>
      </c>
      <c r="B62" s="36" t="s">
        <v>1338</v>
      </c>
      <c r="C62" s="37" t="s">
        <v>86</v>
      </c>
      <c r="D62" s="38" t="s">
        <v>91</v>
      </c>
      <c r="E62" s="38" t="s">
        <v>89</v>
      </c>
      <c r="F62" s="37">
        <v>1166</v>
      </c>
      <c r="G62" s="37">
        <v>2300</v>
      </c>
      <c r="H62" s="37">
        <v>2900</v>
      </c>
      <c r="I62" s="37" t="s">
        <v>25</v>
      </c>
      <c r="J62" s="37" t="s">
        <v>7</v>
      </c>
      <c r="K62" s="62">
        <f t="shared" si="0"/>
        <v>0.83669936526255051</v>
      </c>
    </row>
    <row r="63" spans="1:11" hidden="1" x14ac:dyDescent="0.35">
      <c r="A63" s="33">
        <v>20005513</v>
      </c>
      <c r="B63" s="36" t="s">
        <v>1423</v>
      </c>
      <c r="C63" s="37" t="s">
        <v>86</v>
      </c>
      <c r="D63" s="38"/>
      <c r="E63" s="38" t="s">
        <v>68</v>
      </c>
      <c r="F63" s="37">
        <v>10</v>
      </c>
      <c r="G63" s="37">
        <v>10</v>
      </c>
      <c r="H63" s="37">
        <v>20</v>
      </c>
      <c r="I63" s="37" t="s">
        <v>24</v>
      </c>
      <c r="J63" s="37" t="s">
        <v>7</v>
      </c>
      <c r="K63" s="62">
        <f t="shared" si="0"/>
        <v>1</v>
      </c>
    </row>
    <row r="64" spans="1:11" hidden="1" x14ac:dyDescent="0.35">
      <c r="A64" s="33">
        <v>20005986</v>
      </c>
      <c r="B64" s="36" t="s">
        <v>120</v>
      </c>
      <c r="C64" s="37" t="s">
        <v>86</v>
      </c>
      <c r="D64" s="38" t="s">
        <v>115</v>
      </c>
      <c r="E64" s="38" t="s">
        <v>89</v>
      </c>
      <c r="F64" s="37">
        <v>10</v>
      </c>
      <c r="G64" s="37">
        <v>10</v>
      </c>
      <c r="H64" s="37">
        <v>14</v>
      </c>
      <c r="I64" s="37" t="s">
        <v>8</v>
      </c>
      <c r="J64" s="37" t="s">
        <v>7</v>
      </c>
      <c r="K64" s="62">
        <f t="shared" si="0"/>
        <v>0.7</v>
      </c>
    </row>
    <row r="65" spans="1:11" hidden="1" x14ac:dyDescent="0.35">
      <c r="A65" s="33">
        <v>20005575</v>
      </c>
      <c r="B65" s="36" t="s">
        <v>1435</v>
      </c>
      <c r="C65" s="37" t="s">
        <v>86</v>
      </c>
      <c r="D65" s="38"/>
      <c r="E65" s="38" t="s">
        <v>68</v>
      </c>
      <c r="F65" s="37">
        <v>4</v>
      </c>
      <c r="G65" s="37">
        <v>10</v>
      </c>
      <c r="H65" s="37">
        <v>6</v>
      </c>
      <c r="I65" s="37" t="s">
        <v>8</v>
      </c>
      <c r="J65" s="37" t="s">
        <v>7</v>
      </c>
      <c r="K65" s="62">
        <f t="shared" si="0"/>
        <v>0.42857142857142855</v>
      </c>
    </row>
    <row r="66" spans="1:11" hidden="1" x14ac:dyDescent="0.35">
      <c r="A66" s="33">
        <v>20005576</v>
      </c>
      <c r="B66" s="36" t="s">
        <v>1436</v>
      </c>
      <c r="C66" s="37" t="s">
        <v>86</v>
      </c>
      <c r="D66" s="38"/>
      <c r="E66" s="38" t="s">
        <v>68</v>
      </c>
      <c r="F66" s="37">
        <v>2</v>
      </c>
      <c r="G66" s="37">
        <v>4</v>
      </c>
      <c r="H66" s="37">
        <v>4</v>
      </c>
      <c r="I66" s="37" t="s">
        <v>8</v>
      </c>
      <c r="J66" s="37" t="s">
        <v>7</v>
      </c>
      <c r="K66" s="62">
        <f t="shared" si="0"/>
        <v>0.66666666666666663</v>
      </c>
    </row>
    <row r="67" spans="1:11" hidden="1" x14ac:dyDescent="0.35">
      <c r="A67" s="33">
        <v>20014660</v>
      </c>
      <c r="B67" s="36" t="s">
        <v>121</v>
      </c>
      <c r="C67" s="37" t="s">
        <v>86</v>
      </c>
      <c r="D67" s="38"/>
      <c r="E67" s="38" t="s">
        <v>89</v>
      </c>
      <c r="F67" s="37">
        <v>14</v>
      </c>
      <c r="G67" s="37">
        <v>20</v>
      </c>
      <c r="H67" s="37">
        <v>14</v>
      </c>
      <c r="I67" s="37" t="s">
        <v>8</v>
      </c>
      <c r="J67" s="37" t="s">
        <v>7</v>
      </c>
      <c r="K67" s="62">
        <f t="shared" si="0"/>
        <v>0.41176470588235292</v>
      </c>
    </row>
    <row r="68" spans="1:11" hidden="1" x14ac:dyDescent="0.35">
      <c r="A68" s="33">
        <v>20005577</v>
      </c>
      <c r="B68" s="36" t="s">
        <v>1437</v>
      </c>
      <c r="C68" s="37" t="s">
        <v>86</v>
      </c>
      <c r="D68" s="38"/>
      <c r="E68" s="38" t="s">
        <v>68</v>
      </c>
      <c r="F68" s="37">
        <v>3</v>
      </c>
      <c r="G68" s="37">
        <v>6</v>
      </c>
      <c r="H68" s="37">
        <v>0</v>
      </c>
      <c r="I68" s="37" t="s">
        <v>8</v>
      </c>
      <c r="J68" s="37" t="s">
        <v>7</v>
      </c>
      <c r="K68" s="62">
        <f t="shared" si="0"/>
        <v>0</v>
      </c>
    </row>
    <row r="69" spans="1:11" hidden="1" x14ac:dyDescent="0.35">
      <c r="A69" s="33">
        <v>20005749</v>
      </c>
      <c r="B69" s="36" t="s">
        <v>1113</v>
      </c>
      <c r="C69" s="37" t="s">
        <v>86</v>
      </c>
      <c r="D69" s="38"/>
      <c r="E69" s="38" t="s">
        <v>68</v>
      </c>
      <c r="F69" s="37">
        <v>10</v>
      </c>
      <c r="G69" s="37">
        <v>50</v>
      </c>
      <c r="H69" s="37">
        <v>25</v>
      </c>
      <c r="I69" s="37" t="s">
        <v>24</v>
      </c>
      <c r="J69" s="37" t="s">
        <v>7</v>
      </c>
      <c r="K69" s="62">
        <f t="shared" si="0"/>
        <v>0.41666666666666669</v>
      </c>
    </row>
    <row r="70" spans="1:11" hidden="1" x14ac:dyDescent="0.35">
      <c r="A70" s="33">
        <v>20006108</v>
      </c>
      <c r="B70" s="36" t="s">
        <v>122</v>
      </c>
      <c r="C70" s="37" t="s">
        <v>86</v>
      </c>
      <c r="D70" s="38"/>
      <c r="E70" s="38" t="s">
        <v>89</v>
      </c>
      <c r="F70" s="37">
        <v>20</v>
      </c>
      <c r="G70" s="37">
        <v>30</v>
      </c>
      <c r="H70" s="37">
        <v>27</v>
      </c>
      <c r="I70" s="37" t="s">
        <v>8</v>
      </c>
      <c r="J70" s="37" t="s">
        <v>7</v>
      </c>
      <c r="K70" s="62">
        <f t="shared" si="0"/>
        <v>0.54</v>
      </c>
    </row>
    <row r="71" spans="1:11" hidden="1" x14ac:dyDescent="0.35">
      <c r="A71" s="33">
        <v>20009103</v>
      </c>
      <c r="B71" s="36" t="s">
        <v>32</v>
      </c>
      <c r="C71" s="37" t="s">
        <v>86</v>
      </c>
      <c r="D71" s="38"/>
      <c r="E71" s="38" t="s">
        <v>89</v>
      </c>
      <c r="F71" s="37">
        <v>80</v>
      </c>
      <c r="G71" s="37">
        <v>100</v>
      </c>
      <c r="H71" s="37">
        <v>154</v>
      </c>
      <c r="I71" s="37" t="s">
        <v>8</v>
      </c>
      <c r="J71" s="37" t="s">
        <v>7</v>
      </c>
      <c r="K71" s="62">
        <f t="shared" si="0"/>
        <v>0.85555555555555551</v>
      </c>
    </row>
    <row r="72" spans="1:11" hidden="1" x14ac:dyDescent="0.35">
      <c r="A72" s="33">
        <v>20006109</v>
      </c>
      <c r="B72" s="36" t="s">
        <v>26</v>
      </c>
      <c r="C72" s="37" t="s">
        <v>86</v>
      </c>
      <c r="D72" s="38"/>
      <c r="E72" s="38" t="s">
        <v>89</v>
      </c>
      <c r="F72" s="37">
        <v>24</v>
      </c>
      <c r="G72" s="37">
        <v>48</v>
      </c>
      <c r="H72" s="37">
        <v>11</v>
      </c>
      <c r="I72" s="37" t="s">
        <v>8</v>
      </c>
      <c r="J72" s="37" t="s">
        <v>7</v>
      </c>
      <c r="K72" s="62">
        <f t="shared" si="0"/>
        <v>0.15277777777777779</v>
      </c>
    </row>
    <row r="73" spans="1:11" hidden="1" x14ac:dyDescent="0.35">
      <c r="A73" s="33">
        <v>20005899</v>
      </c>
      <c r="B73" s="36" t="s">
        <v>1454</v>
      </c>
      <c r="C73" s="37" t="s">
        <v>86</v>
      </c>
      <c r="D73" s="38"/>
      <c r="E73" s="38" t="s">
        <v>68</v>
      </c>
      <c r="F73" s="37">
        <v>5</v>
      </c>
      <c r="G73" s="37">
        <v>10</v>
      </c>
      <c r="H73" s="37">
        <v>12</v>
      </c>
      <c r="I73" s="37" t="s">
        <v>8</v>
      </c>
      <c r="J73" s="37" t="s">
        <v>7</v>
      </c>
      <c r="K73" s="62">
        <f t="shared" ref="K73:K136" si="1">H73/(F73+G73)</f>
        <v>0.8</v>
      </c>
    </row>
    <row r="74" spans="1:11" hidden="1" x14ac:dyDescent="0.35">
      <c r="A74" s="33">
        <v>20012260</v>
      </c>
      <c r="B74" s="36" t="s">
        <v>34</v>
      </c>
      <c r="C74" s="37" t="s">
        <v>86</v>
      </c>
      <c r="D74" s="38"/>
      <c r="E74" s="38" t="s">
        <v>89</v>
      </c>
      <c r="F74" s="37">
        <v>25</v>
      </c>
      <c r="G74" s="37">
        <v>50</v>
      </c>
      <c r="H74" s="37">
        <v>8</v>
      </c>
      <c r="I74" s="37" t="s">
        <v>8</v>
      </c>
      <c r="J74" s="37" t="s">
        <v>7</v>
      </c>
      <c r="K74" s="62">
        <f t="shared" si="1"/>
        <v>0.10666666666666667</v>
      </c>
    </row>
    <row r="75" spans="1:11" hidden="1" x14ac:dyDescent="0.35">
      <c r="A75" s="33">
        <v>20006114</v>
      </c>
      <c r="B75" s="36" t="s">
        <v>123</v>
      </c>
      <c r="C75" s="37" t="s">
        <v>86</v>
      </c>
      <c r="D75" s="38"/>
      <c r="E75" s="38" t="s">
        <v>89</v>
      </c>
      <c r="F75" s="37">
        <v>6</v>
      </c>
      <c r="G75" s="37">
        <v>24</v>
      </c>
      <c r="H75" s="37">
        <v>15</v>
      </c>
      <c r="I75" s="37" t="s">
        <v>8</v>
      </c>
      <c r="J75" s="37" t="s">
        <v>7</v>
      </c>
      <c r="K75" s="62">
        <f t="shared" si="1"/>
        <v>0.5</v>
      </c>
    </row>
    <row r="76" spans="1:11" hidden="1" x14ac:dyDescent="0.35">
      <c r="A76" s="33">
        <v>20005974</v>
      </c>
      <c r="B76" s="36" t="s">
        <v>1264</v>
      </c>
      <c r="C76" s="37" t="s">
        <v>86</v>
      </c>
      <c r="D76" s="38"/>
      <c r="E76" s="38" t="s">
        <v>68</v>
      </c>
      <c r="F76" s="37">
        <v>5</v>
      </c>
      <c r="G76" s="37">
        <v>10</v>
      </c>
      <c r="H76" s="37">
        <v>8</v>
      </c>
      <c r="I76" s="37" t="s">
        <v>8</v>
      </c>
      <c r="J76" s="37" t="s">
        <v>9</v>
      </c>
      <c r="K76" s="62">
        <f t="shared" si="1"/>
        <v>0.53333333333333333</v>
      </c>
    </row>
    <row r="77" spans="1:11" hidden="1" x14ac:dyDescent="0.35">
      <c r="A77" s="33">
        <v>20006120</v>
      </c>
      <c r="B77" s="36" t="s">
        <v>124</v>
      </c>
      <c r="C77" s="37" t="s">
        <v>86</v>
      </c>
      <c r="D77" s="38"/>
      <c r="E77" s="38" t="s">
        <v>89</v>
      </c>
      <c r="F77" s="37">
        <v>72</v>
      </c>
      <c r="G77" s="37">
        <v>72</v>
      </c>
      <c r="H77" s="37">
        <v>112</v>
      </c>
      <c r="I77" s="37" t="s">
        <v>8</v>
      </c>
      <c r="J77" s="37" t="s">
        <v>7</v>
      </c>
      <c r="K77" s="62">
        <f t="shared" si="1"/>
        <v>0.77777777777777779</v>
      </c>
    </row>
    <row r="78" spans="1:11" hidden="1" x14ac:dyDescent="0.35">
      <c r="A78" s="33">
        <v>20011841</v>
      </c>
      <c r="B78" s="36" t="s">
        <v>125</v>
      </c>
      <c r="C78" s="37" t="s">
        <v>86</v>
      </c>
      <c r="D78" s="38" t="s">
        <v>87</v>
      </c>
      <c r="E78" s="38" t="s">
        <v>89</v>
      </c>
      <c r="F78" s="37">
        <v>325</v>
      </c>
      <c r="G78" s="37">
        <v>378</v>
      </c>
      <c r="H78" s="37">
        <v>486</v>
      </c>
      <c r="I78" s="37" t="s">
        <v>24</v>
      </c>
      <c r="J78" s="37" t="s">
        <v>7</v>
      </c>
      <c r="K78" s="62">
        <f t="shared" si="1"/>
        <v>0.69132290184921763</v>
      </c>
    </row>
    <row r="79" spans="1:11" hidden="1" x14ac:dyDescent="0.35">
      <c r="A79" s="33">
        <v>20006144</v>
      </c>
      <c r="B79" s="36" t="s">
        <v>1215</v>
      </c>
      <c r="C79" s="37" t="s">
        <v>86</v>
      </c>
      <c r="D79" s="38" t="s">
        <v>87</v>
      </c>
      <c r="E79" s="38" t="s">
        <v>89</v>
      </c>
      <c r="F79" s="37">
        <v>96</v>
      </c>
      <c r="G79" s="37">
        <v>60</v>
      </c>
      <c r="H79" s="37">
        <v>130</v>
      </c>
      <c r="I79" s="37" t="s">
        <v>8</v>
      </c>
      <c r="J79" s="37" t="s">
        <v>7</v>
      </c>
      <c r="K79" s="62">
        <f t="shared" si="1"/>
        <v>0.83333333333333337</v>
      </c>
    </row>
    <row r="80" spans="1:11" hidden="1" x14ac:dyDescent="0.35">
      <c r="A80" s="33">
        <v>20006145</v>
      </c>
      <c r="B80" s="36" t="s">
        <v>126</v>
      </c>
      <c r="C80" s="37" t="s">
        <v>86</v>
      </c>
      <c r="D80" s="38" t="s">
        <v>87</v>
      </c>
      <c r="E80" s="38" t="s">
        <v>89</v>
      </c>
      <c r="F80" s="37">
        <v>60</v>
      </c>
      <c r="G80" s="37">
        <v>60</v>
      </c>
      <c r="H80" s="37">
        <v>79</v>
      </c>
      <c r="I80" s="37" t="s">
        <v>8</v>
      </c>
      <c r="J80" s="37" t="s">
        <v>7</v>
      </c>
      <c r="K80" s="62">
        <f t="shared" si="1"/>
        <v>0.65833333333333333</v>
      </c>
    </row>
    <row r="81" spans="1:11" hidden="1" x14ac:dyDescent="0.35">
      <c r="A81" s="33">
        <v>20006115</v>
      </c>
      <c r="B81" s="36" t="s">
        <v>1218</v>
      </c>
      <c r="C81" s="37" t="s">
        <v>86</v>
      </c>
      <c r="D81" s="38"/>
      <c r="E81" s="38" t="s">
        <v>68</v>
      </c>
      <c r="F81" s="37">
        <v>200</v>
      </c>
      <c r="G81" s="37">
        <v>400</v>
      </c>
      <c r="H81" s="37">
        <v>700</v>
      </c>
      <c r="I81" s="37" t="s">
        <v>24</v>
      </c>
      <c r="J81" s="37" t="s">
        <v>7</v>
      </c>
      <c r="K81" s="62">
        <f t="shared" si="1"/>
        <v>1.1666666666666667</v>
      </c>
    </row>
    <row r="82" spans="1:11" hidden="1" x14ac:dyDescent="0.35">
      <c r="A82" s="33">
        <v>20006153</v>
      </c>
      <c r="B82" s="36" t="s">
        <v>1217</v>
      </c>
      <c r="C82" s="37" t="s">
        <v>86</v>
      </c>
      <c r="D82" s="38"/>
      <c r="E82" s="38" t="s">
        <v>89</v>
      </c>
      <c r="F82" s="37">
        <v>550</v>
      </c>
      <c r="G82" s="37">
        <v>900</v>
      </c>
      <c r="H82" s="37">
        <v>993</v>
      </c>
      <c r="I82" s="37" t="s">
        <v>24</v>
      </c>
      <c r="J82" s="37" t="s">
        <v>14</v>
      </c>
      <c r="K82" s="62">
        <f t="shared" si="1"/>
        <v>0.68482758620689654</v>
      </c>
    </row>
    <row r="83" spans="1:11" hidden="1" x14ac:dyDescent="0.35">
      <c r="A83" s="33">
        <v>20006158</v>
      </c>
      <c r="B83" s="36" t="s">
        <v>127</v>
      </c>
      <c r="C83" s="37" t="s">
        <v>86</v>
      </c>
      <c r="D83" s="38"/>
      <c r="E83" s="38" t="s">
        <v>89</v>
      </c>
      <c r="F83" s="37">
        <v>50</v>
      </c>
      <c r="G83" s="37">
        <v>50</v>
      </c>
      <c r="H83" s="37">
        <v>62</v>
      </c>
      <c r="I83" s="37" t="s">
        <v>8</v>
      </c>
      <c r="J83" s="37" t="s">
        <v>7</v>
      </c>
      <c r="K83" s="62">
        <f t="shared" si="1"/>
        <v>0.62</v>
      </c>
    </row>
    <row r="84" spans="1:11" hidden="1" x14ac:dyDescent="0.35">
      <c r="A84" s="33">
        <v>20006165</v>
      </c>
      <c r="B84" s="36" t="s">
        <v>128</v>
      </c>
      <c r="C84" s="37" t="s">
        <v>86</v>
      </c>
      <c r="D84" s="38" t="s">
        <v>129</v>
      </c>
      <c r="E84" s="38" t="s">
        <v>89</v>
      </c>
      <c r="F84" s="37">
        <v>400</v>
      </c>
      <c r="G84" s="37">
        <v>400</v>
      </c>
      <c r="H84" s="37">
        <v>1400</v>
      </c>
      <c r="I84" s="37" t="s">
        <v>24</v>
      </c>
      <c r="J84" s="37" t="s">
        <v>7</v>
      </c>
      <c r="K84" s="62">
        <f t="shared" si="1"/>
        <v>1.75</v>
      </c>
    </row>
    <row r="85" spans="1:11" hidden="1" x14ac:dyDescent="0.35">
      <c r="A85" s="33">
        <v>20006156</v>
      </c>
      <c r="B85" s="36" t="s">
        <v>1434</v>
      </c>
      <c r="C85" s="37" t="s">
        <v>86</v>
      </c>
      <c r="D85" s="38"/>
      <c r="E85" s="38" t="s">
        <v>68</v>
      </c>
      <c r="F85" s="37">
        <v>10</v>
      </c>
      <c r="G85" s="37">
        <v>10</v>
      </c>
      <c r="H85" s="37">
        <v>7</v>
      </c>
      <c r="I85" s="37" t="s">
        <v>8</v>
      </c>
      <c r="J85" s="37" t="s">
        <v>7</v>
      </c>
      <c r="K85" s="62">
        <f t="shared" si="1"/>
        <v>0.35</v>
      </c>
    </row>
    <row r="86" spans="1:11" hidden="1" x14ac:dyDescent="0.35">
      <c r="A86" s="33">
        <v>20006551</v>
      </c>
      <c r="B86" s="36" t="s">
        <v>131</v>
      </c>
      <c r="C86" s="37" t="s">
        <v>86</v>
      </c>
      <c r="D86" s="38"/>
      <c r="E86" s="38" t="s">
        <v>89</v>
      </c>
      <c r="F86" s="37">
        <v>80</v>
      </c>
      <c r="G86" s="37">
        <v>80</v>
      </c>
      <c r="H86" s="37">
        <v>146</v>
      </c>
      <c r="I86" s="37" t="s">
        <v>8</v>
      </c>
      <c r="J86" s="37" t="s">
        <v>9</v>
      </c>
      <c r="K86" s="62">
        <f t="shared" si="1"/>
        <v>0.91249999999999998</v>
      </c>
    </row>
    <row r="87" spans="1:11" hidden="1" x14ac:dyDescent="0.35">
      <c r="A87" s="33">
        <v>20006694</v>
      </c>
      <c r="B87" s="36" t="s">
        <v>132</v>
      </c>
      <c r="C87" s="37" t="s">
        <v>86</v>
      </c>
      <c r="D87" s="38"/>
      <c r="E87" s="38" t="s">
        <v>89</v>
      </c>
      <c r="F87" s="37">
        <v>150</v>
      </c>
      <c r="G87" s="37">
        <v>250</v>
      </c>
      <c r="H87" s="37">
        <v>207</v>
      </c>
      <c r="I87" s="37" t="s">
        <v>8</v>
      </c>
      <c r="J87" s="37" t="s">
        <v>7</v>
      </c>
      <c r="K87" s="62">
        <f t="shared" si="1"/>
        <v>0.51749999999999996</v>
      </c>
    </row>
    <row r="88" spans="1:11" hidden="1" x14ac:dyDescent="0.35">
      <c r="A88" s="33">
        <v>20006588</v>
      </c>
      <c r="B88" s="36" t="s">
        <v>1365</v>
      </c>
      <c r="C88" s="37" t="s">
        <v>86</v>
      </c>
      <c r="D88" s="38"/>
      <c r="E88" s="38" t="s">
        <v>68</v>
      </c>
      <c r="F88" s="37">
        <v>2</v>
      </c>
      <c r="G88" s="37">
        <v>2</v>
      </c>
      <c r="H88" s="37">
        <v>5</v>
      </c>
      <c r="I88" s="37" t="s">
        <v>8</v>
      </c>
      <c r="J88" s="37" t="s">
        <v>9</v>
      </c>
      <c r="K88" s="62">
        <f t="shared" si="1"/>
        <v>1.25</v>
      </c>
    </row>
    <row r="89" spans="1:11" hidden="1" x14ac:dyDescent="0.35">
      <c r="A89" s="33">
        <v>20006695</v>
      </c>
      <c r="B89" s="36" t="s">
        <v>133</v>
      </c>
      <c r="C89" s="37" t="s">
        <v>86</v>
      </c>
      <c r="D89" s="38"/>
      <c r="E89" s="38" t="s">
        <v>89</v>
      </c>
      <c r="F89" s="37">
        <v>150</v>
      </c>
      <c r="G89" s="37">
        <v>250</v>
      </c>
      <c r="H89" s="37">
        <v>310</v>
      </c>
      <c r="I89" s="37" t="s">
        <v>8</v>
      </c>
      <c r="J89" s="37" t="s">
        <v>7</v>
      </c>
      <c r="K89" s="62">
        <f t="shared" si="1"/>
        <v>0.77500000000000002</v>
      </c>
    </row>
    <row r="90" spans="1:11" hidden="1" x14ac:dyDescent="0.35">
      <c r="A90" s="33">
        <v>20006647</v>
      </c>
      <c r="B90" s="36" t="s">
        <v>360</v>
      </c>
      <c r="C90" s="37" t="s">
        <v>86</v>
      </c>
      <c r="D90" s="38"/>
      <c r="E90" s="38" t="s">
        <v>68</v>
      </c>
      <c r="F90" s="37">
        <v>30</v>
      </c>
      <c r="G90" s="37">
        <v>50</v>
      </c>
      <c r="H90" s="37">
        <v>30</v>
      </c>
      <c r="I90" s="37" t="s">
        <v>8</v>
      </c>
      <c r="J90" s="37" t="s">
        <v>14</v>
      </c>
      <c r="K90" s="62">
        <f t="shared" si="1"/>
        <v>0.375</v>
      </c>
    </row>
    <row r="91" spans="1:11" hidden="1" x14ac:dyDescent="0.35">
      <c r="A91" s="33">
        <v>20006648</v>
      </c>
      <c r="B91" s="36" t="s">
        <v>1325</v>
      </c>
      <c r="C91" s="37" t="s">
        <v>86</v>
      </c>
      <c r="D91" s="38"/>
      <c r="E91" s="38" t="s">
        <v>68</v>
      </c>
      <c r="F91" s="37">
        <v>20</v>
      </c>
      <c r="G91" s="37">
        <v>40</v>
      </c>
      <c r="H91" s="37">
        <v>21</v>
      </c>
      <c r="I91" s="37" t="s">
        <v>8</v>
      </c>
      <c r="J91" s="37" t="s">
        <v>7</v>
      </c>
      <c r="K91" s="62">
        <f t="shared" si="1"/>
        <v>0.35</v>
      </c>
    </row>
    <row r="92" spans="1:11" hidden="1" x14ac:dyDescent="0.35">
      <c r="A92" s="33">
        <v>20006952</v>
      </c>
      <c r="B92" s="36" t="s">
        <v>134</v>
      </c>
      <c r="C92" s="37" t="s">
        <v>86</v>
      </c>
      <c r="D92" s="38"/>
      <c r="E92" s="38" t="s">
        <v>89</v>
      </c>
      <c r="F92" s="37">
        <v>4</v>
      </c>
      <c r="G92" s="37">
        <v>8</v>
      </c>
      <c r="H92" s="37">
        <v>6</v>
      </c>
      <c r="I92" s="37" t="s">
        <v>8</v>
      </c>
      <c r="J92" s="37" t="s">
        <v>7</v>
      </c>
      <c r="K92" s="62">
        <f t="shared" si="1"/>
        <v>0.5</v>
      </c>
    </row>
    <row r="93" spans="1:11" hidden="1" x14ac:dyDescent="0.35">
      <c r="A93" s="33">
        <v>20006650</v>
      </c>
      <c r="B93" s="36" t="s">
        <v>1222</v>
      </c>
      <c r="C93" s="37" t="s">
        <v>86</v>
      </c>
      <c r="D93" s="38"/>
      <c r="E93" s="38" t="s">
        <v>68</v>
      </c>
      <c r="F93" s="37">
        <v>30</v>
      </c>
      <c r="G93" s="37">
        <v>40</v>
      </c>
      <c r="H93" s="37">
        <v>53</v>
      </c>
      <c r="I93" s="37" t="s">
        <v>8</v>
      </c>
      <c r="J93" s="37" t="s">
        <v>7</v>
      </c>
      <c r="K93" s="62">
        <f t="shared" si="1"/>
        <v>0.75714285714285712</v>
      </c>
    </row>
    <row r="94" spans="1:11" hidden="1" x14ac:dyDescent="0.35">
      <c r="A94" s="33">
        <v>20007185</v>
      </c>
      <c r="B94" s="36" t="s">
        <v>135</v>
      </c>
      <c r="C94" s="37" t="s">
        <v>86</v>
      </c>
      <c r="D94" s="38" t="s">
        <v>87</v>
      </c>
      <c r="E94" s="38" t="s">
        <v>89</v>
      </c>
      <c r="F94" s="37">
        <v>30</v>
      </c>
      <c r="G94" s="37">
        <v>10</v>
      </c>
      <c r="H94" s="37">
        <v>36</v>
      </c>
      <c r="I94" s="37" t="s">
        <v>8</v>
      </c>
      <c r="J94" s="37" t="s">
        <v>7</v>
      </c>
      <c r="K94" s="62">
        <f t="shared" si="1"/>
        <v>0.9</v>
      </c>
    </row>
    <row r="95" spans="1:11" hidden="1" x14ac:dyDescent="0.35">
      <c r="A95" s="33">
        <v>20007186</v>
      </c>
      <c r="B95" s="36" t="s">
        <v>136</v>
      </c>
      <c r="C95" s="37" t="s">
        <v>86</v>
      </c>
      <c r="D95" s="38" t="s">
        <v>87</v>
      </c>
      <c r="E95" s="38" t="s">
        <v>89</v>
      </c>
      <c r="F95" s="37">
        <v>20</v>
      </c>
      <c r="G95" s="37">
        <v>20</v>
      </c>
      <c r="H95" s="37">
        <v>42</v>
      </c>
      <c r="I95" s="37" t="s">
        <v>8</v>
      </c>
      <c r="J95" s="37" t="s">
        <v>7</v>
      </c>
      <c r="K95" s="62">
        <f t="shared" si="1"/>
        <v>1.05</v>
      </c>
    </row>
    <row r="96" spans="1:11" hidden="1" x14ac:dyDescent="0.35">
      <c r="A96" s="33">
        <v>20007008</v>
      </c>
      <c r="B96" s="36" t="s">
        <v>1062</v>
      </c>
      <c r="C96" s="37" t="s">
        <v>86</v>
      </c>
      <c r="D96" s="38"/>
      <c r="E96" s="38" t="s">
        <v>68</v>
      </c>
      <c r="F96" s="37">
        <v>8</v>
      </c>
      <c r="G96" s="37">
        <v>2</v>
      </c>
      <c r="H96" s="37">
        <v>9</v>
      </c>
      <c r="I96" s="37" t="s">
        <v>8</v>
      </c>
      <c r="J96" s="37" t="s">
        <v>7</v>
      </c>
      <c r="K96" s="62">
        <f t="shared" si="1"/>
        <v>0.9</v>
      </c>
    </row>
    <row r="97" spans="1:11" hidden="1" x14ac:dyDescent="0.35">
      <c r="A97" s="33">
        <v>20007010</v>
      </c>
      <c r="B97" s="36" t="s">
        <v>1063</v>
      </c>
      <c r="C97" s="37" t="s">
        <v>86</v>
      </c>
      <c r="D97" s="38"/>
      <c r="E97" s="38" t="s">
        <v>68</v>
      </c>
      <c r="F97" s="37">
        <v>5</v>
      </c>
      <c r="G97" s="37">
        <v>5</v>
      </c>
      <c r="H97" s="37">
        <v>6</v>
      </c>
      <c r="I97" s="37" t="s">
        <v>8</v>
      </c>
      <c r="J97" s="37" t="s">
        <v>7</v>
      </c>
      <c r="K97" s="62">
        <f t="shared" si="1"/>
        <v>0.6</v>
      </c>
    </row>
    <row r="98" spans="1:11" hidden="1" x14ac:dyDescent="0.35">
      <c r="A98" s="33">
        <v>20007189</v>
      </c>
      <c r="B98" s="36" t="s">
        <v>137</v>
      </c>
      <c r="C98" s="37" t="s">
        <v>86</v>
      </c>
      <c r="D98" s="38" t="s">
        <v>87</v>
      </c>
      <c r="E98" s="38" t="s">
        <v>89</v>
      </c>
      <c r="F98" s="37">
        <v>8</v>
      </c>
      <c r="G98" s="37">
        <v>8</v>
      </c>
      <c r="H98" s="37">
        <v>15</v>
      </c>
      <c r="I98" s="37" t="s">
        <v>8</v>
      </c>
      <c r="J98" s="37" t="s">
        <v>7</v>
      </c>
      <c r="K98" s="62">
        <f t="shared" si="1"/>
        <v>0.9375</v>
      </c>
    </row>
    <row r="99" spans="1:11" hidden="1" x14ac:dyDescent="0.35">
      <c r="A99" s="33">
        <v>20007011</v>
      </c>
      <c r="B99" s="36" t="s">
        <v>1064</v>
      </c>
      <c r="C99" s="37" t="s">
        <v>86</v>
      </c>
      <c r="D99" s="38"/>
      <c r="E99" s="38" t="s">
        <v>68</v>
      </c>
      <c r="F99" s="37">
        <v>8</v>
      </c>
      <c r="G99" s="37">
        <v>2</v>
      </c>
      <c r="H99" s="37">
        <v>9</v>
      </c>
      <c r="I99" s="37" t="s">
        <v>8</v>
      </c>
      <c r="J99" s="37" t="s">
        <v>7</v>
      </c>
      <c r="K99" s="62">
        <f t="shared" si="1"/>
        <v>0.9</v>
      </c>
    </row>
    <row r="100" spans="1:11" hidden="1" x14ac:dyDescent="0.35">
      <c r="A100" s="33">
        <v>20007143</v>
      </c>
      <c r="B100" s="36" t="s">
        <v>1548</v>
      </c>
      <c r="C100" s="37" t="s">
        <v>86</v>
      </c>
      <c r="D100" s="38"/>
      <c r="E100" s="38" t="s">
        <v>68</v>
      </c>
      <c r="F100" s="37">
        <v>1</v>
      </c>
      <c r="G100" s="37">
        <v>1</v>
      </c>
      <c r="H100" s="37">
        <v>2</v>
      </c>
      <c r="I100" s="37" t="s">
        <v>8</v>
      </c>
      <c r="J100" s="37" t="s">
        <v>14</v>
      </c>
      <c r="K100" s="62">
        <f t="shared" si="1"/>
        <v>1</v>
      </c>
    </row>
    <row r="101" spans="1:11" hidden="1" x14ac:dyDescent="0.35">
      <c r="A101" s="33">
        <v>20008355</v>
      </c>
      <c r="B101" s="36" t="s">
        <v>30</v>
      </c>
      <c r="C101" s="37" t="s">
        <v>86</v>
      </c>
      <c r="D101" s="38" t="s">
        <v>138</v>
      </c>
      <c r="E101" s="38" t="s">
        <v>89</v>
      </c>
      <c r="F101" s="37">
        <v>2000</v>
      </c>
      <c r="G101" s="37">
        <v>3000</v>
      </c>
      <c r="H101" s="37">
        <v>4200</v>
      </c>
      <c r="I101" s="37" t="s">
        <v>8</v>
      </c>
      <c r="J101" s="37" t="s">
        <v>7</v>
      </c>
      <c r="K101" s="62">
        <f t="shared" si="1"/>
        <v>0.84</v>
      </c>
    </row>
    <row r="102" spans="1:11" hidden="1" x14ac:dyDescent="0.35">
      <c r="A102" s="33">
        <v>20007164</v>
      </c>
      <c r="B102" s="36" t="s">
        <v>1106</v>
      </c>
      <c r="C102" s="37" t="s">
        <v>86</v>
      </c>
      <c r="D102" s="38"/>
      <c r="E102" s="38" t="s">
        <v>68</v>
      </c>
      <c r="F102" s="37">
        <v>80</v>
      </c>
      <c r="G102" s="37">
        <v>100</v>
      </c>
      <c r="H102" s="37">
        <v>155</v>
      </c>
      <c r="I102" s="37" t="s">
        <v>8</v>
      </c>
      <c r="J102" s="37" t="s">
        <v>7</v>
      </c>
      <c r="K102" s="62">
        <f t="shared" si="1"/>
        <v>0.86111111111111116</v>
      </c>
    </row>
    <row r="103" spans="1:11" hidden="1" x14ac:dyDescent="0.35">
      <c r="A103" s="33">
        <v>20007190</v>
      </c>
      <c r="B103" s="36" t="s">
        <v>140</v>
      </c>
      <c r="C103" s="37" t="s">
        <v>86</v>
      </c>
      <c r="D103" s="38" t="s">
        <v>87</v>
      </c>
      <c r="E103" s="38" t="s">
        <v>89</v>
      </c>
      <c r="F103" s="37">
        <v>20</v>
      </c>
      <c r="G103" s="37">
        <v>6</v>
      </c>
      <c r="H103" s="37">
        <v>23</v>
      </c>
      <c r="I103" s="37" t="s">
        <v>8</v>
      </c>
      <c r="J103" s="37" t="s">
        <v>7</v>
      </c>
      <c r="K103" s="62">
        <f t="shared" si="1"/>
        <v>0.88461538461538458</v>
      </c>
    </row>
    <row r="104" spans="1:11" hidden="1" x14ac:dyDescent="0.35">
      <c r="A104" s="33">
        <v>20007184</v>
      </c>
      <c r="B104" s="36" t="s">
        <v>1455</v>
      </c>
      <c r="C104" s="37" t="s">
        <v>86</v>
      </c>
      <c r="D104" s="38"/>
      <c r="E104" s="38" t="s">
        <v>68</v>
      </c>
      <c r="F104" s="37">
        <v>5</v>
      </c>
      <c r="G104" s="37">
        <v>2</v>
      </c>
      <c r="H104" s="37">
        <v>5</v>
      </c>
      <c r="I104" s="37" t="s">
        <v>8</v>
      </c>
      <c r="J104" s="37" t="s">
        <v>7</v>
      </c>
      <c r="K104" s="62">
        <f t="shared" si="1"/>
        <v>0.7142857142857143</v>
      </c>
    </row>
    <row r="105" spans="1:11" hidden="1" x14ac:dyDescent="0.35">
      <c r="A105" s="33">
        <v>20015134</v>
      </c>
      <c r="B105" s="36" t="s">
        <v>141</v>
      </c>
      <c r="C105" s="37" t="s">
        <v>86</v>
      </c>
      <c r="D105" s="38" t="s">
        <v>91</v>
      </c>
      <c r="E105" s="38" t="s">
        <v>89</v>
      </c>
      <c r="F105" s="37">
        <v>2001</v>
      </c>
      <c r="G105" s="37">
        <v>5000</v>
      </c>
      <c r="H105" s="37">
        <v>2455</v>
      </c>
      <c r="I105" s="37" t="s">
        <v>10</v>
      </c>
      <c r="J105" s="37" t="s">
        <v>7</v>
      </c>
      <c r="K105" s="62">
        <f t="shared" si="1"/>
        <v>0.35066419082988143</v>
      </c>
    </row>
    <row r="106" spans="1:11" hidden="1" x14ac:dyDescent="0.35">
      <c r="A106" s="33">
        <v>20007214</v>
      </c>
      <c r="B106" s="36" t="s">
        <v>142</v>
      </c>
      <c r="C106" s="37" t="s">
        <v>86</v>
      </c>
      <c r="D106" s="38" t="s">
        <v>87</v>
      </c>
      <c r="E106" s="38" t="s">
        <v>89</v>
      </c>
      <c r="F106" s="37">
        <v>7</v>
      </c>
      <c r="G106" s="37">
        <v>14</v>
      </c>
      <c r="H106" s="37">
        <v>24</v>
      </c>
      <c r="I106" s="37" t="s">
        <v>8</v>
      </c>
      <c r="J106" s="37" t="s">
        <v>14</v>
      </c>
      <c r="K106" s="62">
        <f t="shared" si="1"/>
        <v>1.1428571428571428</v>
      </c>
    </row>
    <row r="107" spans="1:11" hidden="1" x14ac:dyDescent="0.35">
      <c r="A107" s="33">
        <v>20007265</v>
      </c>
      <c r="B107" s="36" t="s">
        <v>143</v>
      </c>
      <c r="C107" s="37" t="s">
        <v>86</v>
      </c>
      <c r="D107" s="38" t="s">
        <v>87</v>
      </c>
      <c r="E107" s="38" t="s">
        <v>89</v>
      </c>
      <c r="F107" s="37">
        <v>15</v>
      </c>
      <c r="G107" s="37">
        <v>30</v>
      </c>
      <c r="H107" s="37">
        <v>19</v>
      </c>
      <c r="I107" s="37" t="s">
        <v>23</v>
      </c>
      <c r="J107" s="37" t="s">
        <v>7</v>
      </c>
      <c r="K107" s="62">
        <f t="shared" si="1"/>
        <v>0.42222222222222222</v>
      </c>
    </row>
    <row r="108" spans="1:11" hidden="1" x14ac:dyDescent="0.35">
      <c r="A108" s="33">
        <v>20007187</v>
      </c>
      <c r="B108" s="36" t="s">
        <v>1065</v>
      </c>
      <c r="C108" s="37" t="s">
        <v>86</v>
      </c>
      <c r="D108" s="38"/>
      <c r="E108" s="38" t="s">
        <v>68</v>
      </c>
      <c r="F108" s="37">
        <v>25</v>
      </c>
      <c r="G108" s="37">
        <v>25</v>
      </c>
      <c r="H108" s="37">
        <v>42</v>
      </c>
      <c r="I108" s="37" t="s">
        <v>8</v>
      </c>
      <c r="J108" s="37" t="s">
        <v>7</v>
      </c>
      <c r="K108" s="62">
        <f t="shared" si="1"/>
        <v>0.84</v>
      </c>
    </row>
    <row r="109" spans="1:11" hidden="1" x14ac:dyDescent="0.35">
      <c r="A109" s="33">
        <v>20007282</v>
      </c>
      <c r="B109" s="36" t="s">
        <v>144</v>
      </c>
      <c r="C109" s="37" t="s">
        <v>86</v>
      </c>
      <c r="D109" s="38" t="s">
        <v>87</v>
      </c>
      <c r="E109" s="38" t="s">
        <v>89</v>
      </c>
      <c r="F109" s="37">
        <v>8</v>
      </c>
      <c r="G109" s="37">
        <v>16</v>
      </c>
      <c r="H109" s="37">
        <v>18</v>
      </c>
      <c r="I109" s="37" t="s">
        <v>8</v>
      </c>
      <c r="J109" s="37" t="s">
        <v>7</v>
      </c>
      <c r="K109" s="62">
        <f t="shared" si="1"/>
        <v>0.75</v>
      </c>
    </row>
    <row r="110" spans="1:11" hidden="1" x14ac:dyDescent="0.35">
      <c r="A110" s="33">
        <v>20007290</v>
      </c>
      <c r="B110" s="36" t="s">
        <v>145</v>
      </c>
      <c r="C110" s="37" t="s">
        <v>86</v>
      </c>
      <c r="D110" s="38" t="s">
        <v>87</v>
      </c>
      <c r="E110" s="38" t="s">
        <v>89</v>
      </c>
      <c r="F110" s="37">
        <v>5</v>
      </c>
      <c r="G110" s="37">
        <v>10</v>
      </c>
      <c r="H110" s="37">
        <v>10</v>
      </c>
      <c r="I110" s="37" t="s">
        <v>8</v>
      </c>
      <c r="J110" s="37" t="s">
        <v>7</v>
      </c>
      <c r="K110" s="62">
        <f t="shared" si="1"/>
        <v>0.66666666666666663</v>
      </c>
    </row>
    <row r="111" spans="1:11" hidden="1" x14ac:dyDescent="0.35">
      <c r="A111" s="33">
        <v>20007191</v>
      </c>
      <c r="B111" s="36" t="s">
        <v>1219</v>
      </c>
      <c r="C111" s="37" t="s">
        <v>86</v>
      </c>
      <c r="D111" s="38"/>
      <c r="E111" s="38" t="s">
        <v>68</v>
      </c>
      <c r="F111" s="37">
        <v>8</v>
      </c>
      <c r="G111" s="37">
        <v>3</v>
      </c>
      <c r="H111" s="37">
        <v>11</v>
      </c>
      <c r="I111" s="37" t="s">
        <v>8</v>
      </c>
      <c r="J111" s="37" t="s">
        <v>7</v>
      </c>
      <c r="K111" s="62">
        <f t="shared" si="1"/>
        <v>1</v>
      </c>
    </row>
    <row r="112" spans="1:11" hidden="1" x14ac:dyDescent="0.35">
      <c r="A112" s="33">
        <v>20007327</v>
      </c>
      <c r="B112" s="36" t="s">
        <v>1416</v>
      </c>
      <c r="C112" s="37" t="s">
        <v>86</v>
      </c>
      <c r="D112" s="38" t="s">
        <v>87</v>
      </c>
      <c r="E112" s="38" t="s">
        <v>89</v>
      </c>
      <c r="F112" s="37">
        <v>8</v>
      </c>
      <c r="G112" s="37">
        <v>6</v>
      </c>
      <c r="H112" s="37">
        <v>8</v>
      </c>
      <c r="I112" s="37" t="s">
        <v>8</v>
      </c>
      <c r="J112" s="37" t="s">
        <v>7</v>
      </c>
      <c r="K112" s="62">
        <f t="shared" si="1"/>
        <v>0.5714285714285714</v>
      </c>
    </row>
    <row r="113" spans="1:11" hidden="1" x14ac:dyDescent="0.35">
      <c r="A113" s="33">
        <v>20007435</v>
      </c>
      <c r="B113" s="36" t="s">
        <v>146</v>
      </c>
      <c r="C113" s="37" t="s">
        <v>86</v>
      </c>
      <c r="D113" s="38" t="s">
        <v>97</v>
      </c>
      <c r="E113" s="38" t="s">
        <v>89</v>
      </c>
      <c r="F113" s="37">
        <v>1</v>
      </c>
      <c r="G113" s="37">
        <v>1</v>
      </c>
      <c r="H113" s="37">
        <v>7</v>
      </c>
      <c r="I113" s="37" t="s">
        <v>8</v>
      </c>
      <c r="J113" s="37" t="s">
        <v>14</v>
      </c>
      <c r="K113" s="62">
        <f t="shared" si="1"/>
        <v>3.5</v>
      </c>
    </row>
    <row r="114" spans="1:11" hidden="1" x14ac:dyDescent="0.35">
      <c r="A114" s="33">
        <v>20007514</v>
      </c>
      <c r="B114" s="36" t="s">
        <v>147</v>
      </c>
      <c r="C114" s="37" t="s">
        <v>86</v>
      </c>
      <c r="D114" s="38" t="s">
        <v>118</v>
      </c>
      <c r="E114" s="38" t="s">
        <v>89</v>
      </c>
      <c r="F114" s="37">
        <v>2</v>
      </c>
      <c r="G114" s="37">
        <v>2</v>
      </c>
      <c r="H114" s="37">
        <v>13</v>
      </c>
      <c r="I114" s="37" t="s">
        <v>8</v>
      </c>
      <c r="J114" s="37" t="s">
        <v>14</v>
      </c>
      <c r="K114" s="62">
        <f t="shared" si="1"/>
        <v>3.25</v>
      </c>
    </row>
    <row r="115" spans="1:11" hidden="1" x14ac:dyDescent="0.35">
      <c r="A115" s="33">
        <v>20007531</v>
      </c>
      <c r="B115" s="36" t="s">
        <v>149</v>
      </c>
      <c r="C115" s="37" t="s">
        <v>86</v>
      </c>
      <c r="D115" s="38" t="s">
        <v>118</v>
      </c>
      <c r="E115" s="38" t="s">
        <v>89</v>
      </c>
      <c r="F115" s="37">
        <v>5</v>
      </c>
      <c r="G115" s="37">
        <v>8</v>
      </c>
      <c r="H115" s="37">
        <v>9</v>
      </c>
      <c r="I115" s="37" t="s">
        <v>8</v>
      </c>
      <c r="J115" s="37" t="s">
        <v>7</v>
      </c>
      <c r="K115" s="62">
        <f t="shared" si="1"/>
        <v>0.69230769230769229</v>
      </c>
    </row>
    <row r="116" spans="1:11" hidden="1" x14ac:dyDescent="0.35">
      <c r="A116" s="33">
        <v>20007548</v>
      </c>
      <c r="B116" s="36" t="s">
        <v>150</v>
      </c>
      <c r="C116" s="37" t="s">
        <v>86</v>
      </c>
      <c r="D116" s="38" t="s">
        <v>118</v>
      </c>
      <c r="E116" s="38" t="s">
        <v>89</v>
      </c>
      <c r="F116" s="37">
        <v>2</v>
      </c>
      <c r="G116" s="37">
        <v>2</v>
      </c>
      <c r="H116" s="37">
        <v>0</v>
      </c>
      <c r="I116" s="37" t="s">
        <v>8</v>
      </c>
      <c r="J116" s="37" t="s">
        <v>13</v>
      </c>
      <c r="K116" s="62">
        <f t="shared" si="1"/>
        <v>0</v>
      </c>
    </row>
    <row r="117" spans="1:11" hidden="1" x14ac:dyDescent="0.35">
      <c r="A117" s="33">
        <v>20007335</v>
      </c>
      <c r="B117" s="36" t="s">
        <v>1488</v>
      </c>
      <c r="C117" s="37" t="s">
        <v>86</v>
      </c>
      <c r="D117" s="38"/>
      <c r="E117" s="38" t="s">
        <v>68</v>
      </c>
      <c r="F117" s="37">
        <v>2</v>
      </c>
      <c r="G117" s="37">
        <v>2</v>
      </c>
      <c r="H117" s="37">
        <v>2</v>
      </c>
      <c r="I117" s="37" t="s">
        <v>8</v>
      </c>
      <c r="J117" s="37" t="s">
        <v>7</v>
      </c>
      <c r="K117" s="62">
        <f t="shared" si="1"/>
        <v>0.5</v>
      </c>
    </row>
    <row r="118" spans="1:11" hidden="1" x14ac:dyDescent="0.35">
      <c r="A118" s="33">
        <v>20007563</v>
      </c>
      <c r="B118" s="36" t="s">
        <v>27</v>
      </c>
      <c r="C118" s="37" t="s">
        <v>86</v>
      </c>
      <c r="D118" s="38"/>
      <c r="E118" s="38" t="s">
        <v>89</v>
      </c>
      <c r="F118" s="37">
        <v>8</v>
      </c>
      <c r="G118" s="37">
        <v>12</v>
      </c>
      <c r="H118" s="37">
        <v>8</v>
      </c>
      <c r="I118" s="37" t="s">
        <v>8</v>
      </c>
      <c r="J118" s="37" t="s">
        <v>7</v>
      </c>
      <c r="K118" s="62">
        <f t="shared" si="1"/>
        <v>0.4</v>
      </c>
    </row>
    <row r="119" spans="1:11" hidden="1" x14ac:dyDescent="0.35">
      <c r="A119" s="33">
        <v>20007338</v>
      </c>
      <c r="B119" s="36" t="s">
        <v>1489</v>
      </c>
      <c r="C119" s="37" t="s">
        <v>86</v>
      </c>
      <c r="D119" s="38"/>
      <c r="E119" s="38" t="s">
        <v>68</v>
      </c>
      <c r="F119" s="37">
        <v>1</v>
      </c>
      <c r="G119" s="37">
        <v>2</v>
      </c>
      <c r="H119" s="37">
        <v>0</v>
      </c>
      <c r="I119" s="37" t="s">
        <v>8</v>
      </c>
      <c r="J119" s="37" t="s">
        <v>13</v>
      </c>
      <c r="K119" s="62">
        <f t="shared" si="1"/>
        <v>0</v>
      </c>
    </row>
    <row r="120" spans="1:11" hidden="1" x14ac:dyDescent="0.35">
      <c r="A120" s="33">
        <v>20007835</v>
      </c>
      <c r="B120" s="36" t="s">
        <v>151</v>
      </c>
      <c r="C120" s="37" t="s">
        <v>86</v>
      </c>
      <c r="D120" s="38" t="s">
        <v>118</v>
      </c>
      <c r="E120" s="38" t="s">
        <v>89</v>
      </c>
      <c r="F120" s="37">
        <v>20</v>
      </c>
      <c r="G120" s="37">
        <v>30</v>
      </c>
      <c r="H120" s="37">
        <v>24</v>
      </c>
      <c r="I120" s="37" t="s">
        <v>8</v>
      </c>
      <c r="J120" s="37" t="s">
        <v>7</v>
      </c>
      <c r="K120" s="62">
        <f t="shared" si="1"/>
        <v>0.48</v>
      </c>
    </row>
    <row r="121" spans="1:11" hidden="1" x14ac:dyDescent="0.35">
      <c r="A121" s="33">
        <v>20007926</v>
      </c>
      <c r="B121" s="36" t="s">
        <v>152</v>
      </c>
      <c r="C121" s="37" t="s">
        <v>86</v>
      </c>
      <c r="D121" s="38" t="s">
        <v>118</v>
      </c>
      <c r="E121" s="38" t="s">
        <v>89</v>
      </c>
      <c r="F121" s="37">
        <v>4</v>
      </c>
      <c r="G121" s="37">
        <v>7</v>
      </c>
      <c r="H121" s="37">
        <v>8</v>
      </c>
      <c r="I121" s="37" t="s">
        <v>8</v>
      </c>
      <c r="J121" s="37" t="s">
        <v>7</v>
      </c>
      <c r="K121" s="62">
        <f t="shared" si="1"/>
        <v>0.72727272727272729</v>
      </c>
    </row>
    <row r="122" spans="1:11" hidden="1" x14ac:dyDescent="0.35">
      <c r="A122" s="33">
        <v>20007928</v>
      </c>
      <c r="B122" s="36" t="s">
        <v>1520</v>
      </c>
      <c r="C122" s="37" t="s">
        <v>86</v>
      </c>
      <c r="D122" s="38" t="s">
        <v>118</v>
      </c>
      <c r="E122" s="38" t="s">
        <v>89</v>
      </c>
      <c r="F122" s="37">
        <v>16</v>
      </c>
      <c r="G122" s="37">
        <v>32</v>
      </c>
      <c r="H122" s="37">
        <v>19</v>
      </c>
      <c r="I122" s="37" t="s">
        <v>8</v>
      </c>
      <c r="J122" s="37" t="s">
        <v>7</v>
      </c>
      <c r="K122" s="62">
        <f t="shared" si="1"/>
        <v>0.39583333333333331</v>
      </c>
    </row>
    <row r="123" spans="1:11" hidden="1" x14ac:dyDescent="0.35">
      <c r="A123" s="33">
        <v>20008028</v>
      </c>
      <c r="B123" s="36" t="s">
        <v>153</v>
      </c>
      <c r="C123" s="37" t="s">
        <v>86</v>
      </c>
      <c r="D123" s="38" t="s">
        <v>118</v>
      </c>
      <c r="E123" s="38" t="s">
        <v>89</v>
      </c>
      <c r="F123" s="37">
        <v>4</v>
      </c>
      <c r="G123" s="37">
        <v>8</v>
      </c>
      <c r="H123" s="37">
        <v>9</v>
      </c>
      <c r="I123" s="37" t="s">
        <v>8</v>
      </c>
      <c r="J123" s="37" t="s">
        <v>7</v>
      </c>
      <c r="K123" s="62">
        <f t="shared" si="1"/>
        <v>0.75</v>
      </c>
    </row>
    <row r="124" spans="1:11" hidden="1" x14ac:dyDescent="0.35">
      <c r="A124" s="33">
        <v>20008058</v>
      </c>
      <c r="B124" s="36" t="s">
        <v>28</v>
      </c>
      <c r="C124" s="37" t="s">
        <v>86</v>
      </c>
      <c r="D124" s="38"/>
      <c r="E124" s="38" t="s">
        <v>89</v>
      </c>
      <c r="F124" s="37">
        <v>100</v>
      </c>
      <c r="G124" s="37">
        <v>200</v>
      </c>
      <c r="H124" s="37">
        <v>262</v>
      </c>
      <c r="I124" s="37" t="s">
        <v>8</v>
      </c>
      <c r="J124" s="37" t="s">
        <v>9</v>
      </c>
      <c r="K124" s="62">
        <f t="shared" si="1"/>
        <v>0.87333333333333329</v>
      </c>
    </row>
    <row r="125" spans="1:11" hidden="1" x14ac:dyDescent="0.35">
      <c r="A125" s="33">
        <v>20007652</v>
      </c>
      <c r="B125" s="36" t="s">
        <v>1276</v>
      </c>
      <c r="C125" s="37" t="s">
        <v>86</v>
      </c>
      <c r="D125" s="38"/>
      <c r="E125" s="38" t="s">
        <v>68</v>
      </c>
      <c r="F125" s="37">
        <v>50</v>
      </c>
      <c r="G125" s="37">
        <v>30</v>
      </c>
      <c r="H125" s="37">
        <v>85</v>
      </c>
      <c r="I125" s="37" t="s">
        <v>25</v>
      </c>
      <c r="J125" s="37" t="s">
        <v>14</v>
      </c>
      <c r="K125" s="62">
        <f t="shared" si="1"/>
        <v>1.0625</v>
      </c>
    </row>
    <row r="126" spans="1:11" hidden="1" x14ac:dyDescent="0.35">
      <c r="A126" s="33">
        <v>20008069</v>
      </c>
      <c r="B126" s="36" t="s">
        <v>29</v>
      </c>
      <c r="C126" s="37" t="s">
        <v>86</v>
      </c>
      <c r="D126" s="38"/>
      <c r="E126" s="38" t="s">
        <v>89</v>
      </c>
      <c r="F126" s="37">
        <v>150</v>
      </c>
      <c r="G126" s="37">
        <v>250</v>
      </c>
      <c r="H126" s="37">
        <v>347</v>
      </c>
      <c r="I126" s="37" t="s">
        <v>8</v>
      </c>
      <c r="J126" s="37" t="s">
        <v>9</v>
      </c>
      <c r="K126" s="62">
        <f t="shared" si="1"/>
        <v>0.86750000000000005</v>
      </c>
    </row>
    <row r="127" spans="1:11" hidden="1" x14ac:dyDescent="0.35">
      <c r="A127" s="33">
        <v>20007660</v>
      </c>
      <c r="B127" s="36" t="s">
        <v>1277</v>
      </c>
      <c r="C127" s="37" t="s">
        <v>86</v>
      </c>
      <c r="D127" s="38"/>
      <c r="E127" s="38" t="s">
        <v>68</v>
      </c>
      <c r="F127" s="37">
        <v>50</v>
      </c>
      <c r="G127" s="37">
        <v>40</v>
      </c>
      <c r="H127" s="37">
        <v>85</v>
      </c>
      <c r="I127" s="37" t="s">
        <v>25</v>
      </c>
      <c r="J127" s="37" t="s">
        <v>9</v>
      </c>
      <c r="K127" s="62">
        <f t="shared" si="1"/>
        <v>0.94444444444444442</v>
      </c>
    </row>
    <row r="128" spans="1:11" hidden="1" x14ac:dyDescent="0.35">
      <c r="A128" s="33">
        <v>20007824</v>
      </c>
      <c r="B128" s="36" t="s">
        <v>1494</v>
      </c>
      <c r="C128" s="37" t="s">
        <v>86</v>
      </c>
      <c r="D128" s="38"/>
      <c r="E128" s="38" t="s">
        <v>68</v>
      </c>
      <c r="F128" s="37">
        <v>3</v>
      </c>
      <c r="G128" s="37">
        <v>3</v>
      </c>
      <c r="H128" s="37">
        <v>16</v>
      </c>
      <c r="I128" s="37" t="s">
        <v>8</v>
      </c>
      <c r="J128" s="37" t="s">
        <v>7</v>
      </c>
      <c r="K128" s="62">
        <f t="shared" si="1"/>
        <v>2.6666666666666665</v>
      </c>
    </row>
    <row r="129" spans="1:11" hidden="1" x14ac:dyDescent="0.35">
      <c r="A129" s="33">
        <v>20008258</v>
      </c>
      <c r="B129" s="36" t="s">
        <v>154</v>
      </c>
      <c r="C129" s="37" t="s">
        <v>86</v>
      </c>
      <c r="D129" s="38" t="s">
        <v>118</v>
      </c>
      <c r="E129" s="38" t="s">
        <v>89</v>
      </c>
      <c r="F129" s="37">
        <v>8</v>
      </c>
      <c r="G129" s="37">
        <v>10</v>
      </c>
      <c r="H129" s="37">
        <v>9</v>
      </c>
      <c r="I129" s="37" t="s">
        <v>8</v>
      </c>
      <c r="J129" s="37" t="s">
        <v>14</v>
      </c>
      <c r="K129" s="62">
        <f t="shared" si="1"/>
        <v>0.5</v>
      </c>
    </row>
    <row r="130" spans="1:11" hidden="1" x14ac:dyDescent="0.35">
      <c r="A130" s="33">
        <v>20008271</v>
      </c>
      <c r="B130" s="36" t="s">
        <v>155</v>
      </c>
      <c r="C130" s="37" t="s">
        <v>86</v>
      </c>
      <c r="D130" s="38" t="s">
        <v>118</v>
      </c>
      <c r="E130" s="38" t="s">
        <v>89</v>
      </c>
      <c r="F130" s="37">
        <v>8</v>
      </c>
      <c r="G130" s="37">
        <v>16</v>
      </c>
      <c r="H130" s="37">
        <v>37</v>
      </c>
      <c r="I130" s="37" t="s">
        <v>8</v>
      </c>
      <c r="J130" s="37" t="s">
        <v>14</v>
      </c>
      <c r="K130" s="62">
        <f t="shared" si="1"/>
        <v>1.5416666666666667</v>
      </c>
    </row>
    <row r="131" spans="1:11" hidden="1" x14ac:dyDescent="0.35">
      <c r="A131" s="33">
        <v>20007855</v>
      </c>
      <c r="B131" s="36" t="s">
        <v>1521</v>
      </c>
      <c r="C131" s="37" t="s">
        <v>86</v>
      </c>
      <c r="D131" s="38"/>
      <c r="E131" s="38" t="s">
        <v>68</v>
      </c>
      <c r="F131" s="37">
        <v>4</v>
      </c>
      <c r="G131" s="37">
        <v>4</v>
      </c>
      <c r="H131" s="37">
        <v>9</v>
      </c>
      <c r="I131" s="37" t="s">
        <v>8</v>
      </c>
      <c r="J131" s="37" t="s">
        <v>14</v>
      </c>
      <c r="K131" s="62">
        <f t="shared" si="1"/>
        <v>1.125</v>
      </c>
    </row>
    <row r="132" spans="1:11" x14ac:dyDescent="0.35">
      <c r="A132" s="33">
        <v>20008525</v>
      </c>
      <c r="B132" s="36" t="s">
        <v>157</v>
      </c>
      <c r="C132" s="37" t="s">
        <v>86</v>
      </c>
      <c r="D132" s="38"/>
      <c r="E132" s="38" t="s">
        <v>89</v>
      </c>
      <c r="F132" s="37">
        <v>144</v>
      </c>
      <c r="G132" s="37">
        <v>288</v>
      </c>
      <c r="H132" s="37">
        <v>2800</v>
      </c>
      <c r="I132" s="37" t="s">
        <v>8</v>
      </c>
      <c r="J132" s="37" t="s">
        <v>14</v>
      </c>
      <c r="K132" s="62">
        <f t="shared" si="1"/>
        <v>6.4814814814814818</v>
      </c>
    </row>
    <row r="133" spans="1:11" hidden="1" x14ac:dyDescent="0.35">
      <c r="A133" s="33">
        <v>20007923</v>
      </c>
      <c r="B133" s="36" t="s">
        <v>1377</v>
      </c>
      <c r="C133" s="37" t="s">
        <v>86</v>
      </c>
      <c r="D133" s="38"/>
      <c r="E133" s="38" t="s">
        <v>68</v>
      </c>
      <c r="F133" s="37">
        <v>10</v>
      </c>
      <c r="G133" s="37">
        <v>30</v>
      </c>
      <c r="H133" s="37">
        <v>16</v>
      </c>
      <c r="I133" s="37" t="s">
        <v>8</v>
      </c>
      <c r="J133" s="37" t="s">
        <v>7</v>
      </c>
      <c r="K133" s="62">
        <f t="shared" si="1"/>
        <v>0.4</v>
      </c>
    </row>
    <row r="134" spans="1:11" hidden="1" x14ac:dyDescent="0.35">
      <c r="A134" s="33">
        <v>20007924</v>
      </c>
      <c r="B134" s="36" t="s">
        <v>1378</v>
      </c>
      <c r="C134" s="37" t="s">
        <v>86</v>
      </c>
      <c r="D134" s="38"/>
      <c r="E134" s="38" t="s">
        <v>68</v>
      </c>
      <c r="F134" s="37">
        <v>10</v>
      </c>
      <c r="G134" s="37">
        <v>30</v>
      </c>
      <c r="H134" s="37">
        <v>38</v>
      </c>
      <c r="I134" s="37" t="s">
        <v>8</v>
      </c>
      <c r="J134" s="37" t="s">
        <v>7</v>
      </c>
      <c r="K134" s="62">
        <f t="shared" si="1"/>
        <v>0.95</v>
      </c>
    </row>
    <row r="135" spans="1:11" hidden="1" x14ac:dyDescent="0.35">
      <c r="A135" s="33">
        <v>20008954</v>
      </c>
      <c r="B135" s="36" t="s">
        <v>31</v>
      </c>
      <c r="C135" s="37" t="s">
        <v>86</v>
      </c>
      <c r="D135" s="38" t="s">
        <v>87</v>
      </c>
      <c r="E135" s="38" t="s">
        <v>89</v>
      </c>
      <c r="F135" s="37">
        <v>30</v>
      </c>
      <c r="G135" s="37">
        <v>50</v>
      </c>
      <c r="H135" s="37">
        <v>43</v>
      </c>
      <c r="I135" s="37" t="s">
        <v>8</v>
      </c>
      <c r="J135" s="37" t="s">
        <v>7</v>
      </c>
      <c r="K135" s="62">
        <f t="shared" si="1"/>
        <v>0.53749999999999998</v>
      </c>
    </row>
    <row r="136" spans="1:11" hidden="1" x14ac:dyDescent="0.35">
      <c r="A136" s="33">
        <v>20007931</v>
      </c>
      <c r="B136" s="36" t="s">
        <v>1379</v>
      </c>
      <c r="C136" s="37" t="s">
        <v>86</v>
      </c>
      <c r="D136" s="38"/>
      <c r="E136" s="38" t="s">
        <v>68</v>
      </c>
      <c r="F136" s="37">
        <v>10</v>
      </c>
      <c r="G136" s="37">
        <v>30</v>
      </c>
      <c r="H136" s="37">
        <v>19</v>
      </c>
      <c r="I136" s="37" t="s">
        <v>8</v>
      </c>
      <c r="J136" s="37" t="s">
        <v>7</v>
      </c>
      <c r="K136" s="62">
        <f t="shared" si="1"/>
        <v>0.47499999999999998</v>
      </c>
    </row>
    <row r="137" spans="1:11" hidden="1" x14ac:dyDescent="0.35">
      <c r="A137" s="33">
        <v>20009101</v>
      </c>
      <c r="B137" s="36" t="s">
        <v>49</v>
      </c>
      <c r="C137" s="37" t="s">
        <v>86</v>
      </c>
      <c r="D137" s="38" t="s">
        <v>87</v>
      </c>
      <c r="E137" s="38" t="s">
        <v>89</v>
      </c>
      <c r="F137" s="37">
        <v>100</v>
      </c>
      <c r="G137" s="37">
        <v>150</v>
      </c>
      <c r="H137" s="37">
        <v>152</v>
      </c>
      <c r="I137" s="37" t="s">
        <v>8</v>
      </c>
      <c r="J137" s="37" t="s">
        <v>7</v>
      </c>
      <c r="K137" s="62">
        <f t="shared" ref="K137:K200" si="2">H137/(F137+G137)</f>
        <v>0.60799999999999998</v>
      </c>
    </row>
    <row r="138" spans="1:11" hidden="1" x14ac:dyDescent="0.35">
      <c r="A138" s="33">
        <v>20009109</v>
      </c>
      <c r="B138" s="36" t="s">
        <v>158</v>
      </c>
      <c r="C138" s="37" t="s">
        <v>86</v>
      </c>
      <c r="D138" s="38" t="s">
        <v>87</v>
      </c>
      <c r="E138" s="38" t="s">
        <v>89</v>
      </c>
      <c r="F138" s="37">
        <v>30</v>
      </c>
      <c r="G138" s="37">
        <v>50</v>
      </c>
      <c r="H138" s="37">
        <v>161</v>
      </c>
      <c r="I138" s="37" t="s">
        <v>8</v>
      </c>
      <c r="J138" s="37" t="s">
        <v>14</v>
      </c>
      <c r="K138" s="62">
        <f t="shared" si="2"/>
        <v>2.0125000000000002</v>
      </c>
    </row>
    <row r="139" spans="1:11" hidden="1" x14ac:dyDescent="0.35">
      <c r="A139" s="33">
        <v>20009155</v>
      </c>
      <c r="B139" s="36" t="s">
        <v>159</v>
      </c>
      <c r="C139" s="37" t="s">
        <v>86</v>
      </c>
      <c r="D139" s="38" t="s">
        <v>87</v>
      </c>
      <c r="E139" s="38" t="s">
        <v>89</v>
      </c>
      <c r="F139" s="37">
        <v>80</v>
      </c>
      <c r="G139" s="37">
        <v>100</v>
      </c>
      <c r="H139" s="37">
        <v>157</v>
      </c>
      <c r="I139" s="37" t="s">
        <v>8</v>
      </c>
      <c r="J139" s="37" t="s">
        <v>7</v>
      </c>
      <c r="K139" s="62">
        <f t="shared" si="2"/>
        <v>0.87222222222222223</v>
      </c>
    </row>
    <row r="140" spans="1:11" hidden="1" x14ac:dyDescent="0.35">
      <c r="A140" s="33">
        <v>20009194</v>
      </c>
      <c r="B140" s="36" t="s">
        <v>33</v>
      </c>
      <c r="C140" s="37" t="s">
        <v>86</v>
      </c>
      <c r="D140" s="38" t="s">
        <v>87</v>
      </c>
      <c r="E140" s="38" t="s">
        <v>89</v>
      </c>
      <c r="F140" s="37">
        <v>32</v>
      </c>
      <c r="G140" s="37">
        <v>64</v>
      </c>
      <c r="H140" s="37">
        <v>30</v>
      </c>
      <c r="I140" s="37" t="s">
        <v>8</v>
      </c>
      <c r="J140" s="37" t="s">
        <v>9</v>
      </c>
      <c r="K140" s="62">
        <f t="shared" si="2"/>
        <v>0.3125</v>
      </c>
    </row>
    <row r="141" spans="1:11" hidden="1" x14ac:dyDescent="0.35">
      <c r="A141" s="33">
        <v>20009196</v>
      </c>
      <c r="B141" s="36" t="s">
        <v>160</v>
      </c>
      <c r="C141" s="37" t="s">
        <v>86</v>
      </c>
      <c r="D141" s="38" t="s">
        <v>87</v>
      </c>
      <c r="E141" s="38" t="s">
        <v>89</v>
      </c>
      <c r="F141" s="37">
        <v>50</v>
      </c>
      <c r="G141" s="37">
        <v>100</v>
      </c>
      <c r="H141" s="37">
        <v>29</v>
      </c>
      <c r="I141" s="37" t="s">
        <v>8</v>
      </c>
      <c r="J141" s="37" t="s">
        <v>7</v>
      </c>
      <c r="K141" s="62">
        <f t="shared" si="2"/>
        <v>0.19333333333333333</v>
      </c>
    </row>
    <row r="142" spans="1:11" hidden="1" x14ac:dyDescent="0.35">
      <c r="A142" s="33">
        <v>20008305</v>
      </c>
      <c r="B142" s="36" t="s">
        <v>1258</v>
      </c>
      <c r="C142" s="37" t="s">
        <v>86</v>
      </c>
      <c r="D142" s="38"/>
      <c r="E142" s="38" t="s">
        <v>68</v>
      </c>
      <c r="F142" s="37">
        <v>6</v>
      </c>
      <c r="G142" s="37">
        <v>3</v>
      </c>
      <c r="H142" s="37">
        <v>6</v>
      </c>
      <c r="I142" s="37" t="s">
        <v>8</v>
      </c>
      <c r="J142" s="37" t="s">
        <v>7</v>
      </c>
      <c r="K142" s="62">
        <f t="shared" si="2"/>
        <v>0.66666666666666663</v>
      </c>
    </row>
    <row r="143" spans="1:11" hidden="1" x14ac:dyDescent="0.35">
      <c r="A143" s="33">
        <v>20009224</v>
      </c>
      <c r="B143" s="36" t="s">
        <v>161</v>
      </c>
      <c r="C143" s="37" t="s">
        <v>86</v>
      </c>
      <c r="D143" s="38" t="s">
        <v>87</v>
      </c>
      <c r="E143" s="38" t="s">
        <v>89</v>
      </c>
      <c r="F143" s="37">
        <v>30</v>
      </c>
      <c r="G143" s="37">
        <v>50</v>
      </c>
      <c r="H143" s="37">
        <v>33</v>
      </c>
      <c r="I143" s="37" t="s">
        <v>8</v>
      </c>
      <c r="J143" s="37" t="s">
        <v>7</v>
      </c>
      <c r="K143" s="62">
        <f t="shared" si="2"/>
        <v>0.41249999999999998</v>
      </c>
    </row>
    <row r="144" spans="1:11" hidden="1" x14ac:dyDescent="0.35">
      <c r="A144" s="33">
        <v>20009231</v>
      </c>
      <c r="B144" s="36" t="s">
        <v>162</v>
      </c>
      <c r="C144" s="37" t="s">
        <v>86</v>
      </c>
      <c r="D144" s="38" t="s">
        <v>87</v>
      </c>
      <c r="E144" s="38" t="s">
        <v>89</v>
      </c>
      <c r="F144" s="37">
        <v>30</v>
      </c>
      <c r="G144" s="37">
        <v>50</v>
      </c>
      <c r="H144" s="37">
        <v>46</v>
      </c>
      <c r="I144" s="37" t="s">
        <v>8</v>
      </c>
      <c r="J144" s="37" t="s">
        <v>7</v>
      </c>
      <c r="K144" s="62">
        <f t="shared" si="2"/>
        <v>0.57499999999999996</v>
      </c>
    </row>
    <row r="145" spans="1:11" hidden="1" x14ac:dyDescent="0.35">
      <c r="A145" s="33">
        <v>20008985</v>
      </c>
      <c r="B145" s="36" t="s">
        <v>361</v>
      </c>
      <c r="C145" s="37" t="s">
        <v>86</v>
      </c>
      <c r="D145" s="38"/>
      <c r="E145" s="38" t="s">
        <v>68</v>
      </c>
      <c r="F145" s="37">
        <v>30</v>
      </c>
      <c r="G145" s="37">
        <v>50</v>
      </c>
      <c r="H145" s="37">
        <v>33</v>
      </c>
      <c r="I145" s="37" t="s">
        <v>8</v>
      </c>
      <c r="J145" s="37" t="s">
        <v>7</v>
      </c>
      <c r="K145" s="62">
        <f t="shared" si="2"/>
        <v>0.41249999999999998</v>
      </c>
    </row>
    <row r="146" spans="1:11" hidden="1" x14ac:dyDescent="0.35">
      <c r="A146" s="33">
        <v>20009248</v>
      </c>
      <c r="B146" s="36" t="s">
        <v>163</v>
      </c>
      <c r="C146" s="37" t="s">
        <v>86</v>
      </c>
      <c r="D146" s="38" t="s">
        <v>87</v>
      </c>
      <c r="E146" s="38" t="s">
        <v>89</v>
      </c>
      <c r="F146" s="37">
        <v>200</v>
      </c>
      <c r="G146" s="37">
        <v>200</v>
      </c>
      <c r="H146" s="37">
        <v>336</v>
      </c>
      <c r="I146" s="37" t="s">
        <v>8</v>
      </c>
      <c r="J146" s="37" t="s">
        <v>9</v>
      </c>
      <c r="K146" s="62">
        <f t="shared" si="2"/>
        <v>0.84</v>
      </c>
    </row>
    <row r="147" spans="1:11" hidden="1" x14ac:dyDescent="0.35">
      <c r="A147" s="33">
        <v>20009261</v>
      </c>
      <c r="B147" s="36" t="s">
        <v>164</v>
      </c>
      <c r="C147" s="37" t="s">
        <v>86</v>
      </c>
      <c r="D147" s="38" t="s">
        <v>87</v>
      </c>
      <c r="E147" s="38" t="s">
        <v>89</v>
      </c>
      <c r="F147" s="37">
        <v>20</v>
      </c>
      <c r="G147" s="37">
        <v>50</v>
      </c>
      <c r="H147" s="37">
        <v>99</v>
      </c>
      <c r="I147" s="37" t="s">
        <v>8</v>
      </c>
      <c r="J147" s="37" t="s">
        <v>14</v>
      </c>
      <c r="K147" s="62">
        <f t="shared" si="2"/>
        <v>1.4142857142857144</v>
      </c>
    </row>
    <row r="148" spans="1:11" hidden="1" x14ac:dyDescent="0.35">
      <c r="A148" s="33">
        <v>20009266</v>
      </c>
      <c r="B148" s="36" t="s">
        <v>165</v>
      </c>
      <c r="C148" s="37" t="s">
        <v>86</v>
      </c>
      <c r="D148" s="38" t="s">
        <v>87</v>
      </c>
      <c r="E148" s="38" t="s">
        <v>89</v>
      </c>
      <c r="F148" s="37">
        <v>7</v>
      </c>
      <c r="G148" s="37">
        <v>14</v>
      </c>
      <c r="H148" s="37">
        <v>72</v>
      </c>
      <c r="I148" s="37" t="s">
        <v>8</v>
      </c>
      <c r="J148" s="37" t="s">
        <v>14</v>
      </c>
      <c r="K148" s="62">
        <f t="shared" si="2"/>
        <v>3.4285714285714284</v>
      </c>
    </row>
    <row r="149" spans="1:11" hidden="1" x14ac:dyDescent="0.35">
      <c r="A149" s="33">
        <v>20009278</v>
      </c>
      <c r="B149" s="36" t="s">
        <v>166</v>
      </c>
      <c r="C149" s="37" t="s">
        <v>86</v>
      </c>
      <c r="D149" s="38" t="s">
        <v>87</v>
      </c>
      <c r="E149" s="38" t="s">
        <v>89</v>
      </c>
      <c r="F149" s="37">
        <v>50</v>
      </c>
      <c r="G149" s="37">
        <v>100</v>
      </c>
      <c r="H149" s="37">
        <v>90</v>
      </c>
      <c r="I149" s="37" t="s">
        <v>8</v>
      </c>
      <c r="J149" s="37" t="s">
        <v>7</v>
      </c>
      <c r="K149" s="62">
        <f t="shared" si="2"/>
        <v>0.6</v>
      </c>
    </row>
    <row r="150" spans="1:11" hidden="1" x14ac:dyDescent="0.35">
      <c r="A150" s="33">
        <v>20009440</v>
      </c>
      <c r="B150" s="36" t="s">
        <v>167</v>
      </c>
      <c r="C150" s="37" t="s">
        <v>86</v>
      </c>
      <c r="D150" s="38" t="s">
        <v>87</v>
      </c>
      <c r="E150" s="38" t="s">
        <v>89</v>
      </c>
      <c r="F150" s="37">
        <v>80</v>
      </c>
      <c r="G150" s="37">
        <v>100</v>
      </c>
      <c r="H150" s="37">
        <v>138</v>
      </c>
      <c r="I150" s="37" t="s">
        <v>8</v>
      </c>
      <c r="J150" s="37" t="s">
        <v>7</v>
      </c>
      <c r="K150" s="62">
        <f t="shared" si="2"/>
        <v>0.76666666666666672</v>
      </c>
    </row>
    <row r="151" spans="1:11" hidden="1" x14ac:dyDescent="0.35">
      <c r="A151" s="33">
        <v>20009470</v>
      </c>
      <c r="B151" s="36" t="s">
        <v>168</v>
      </c>
      <c r="C151" s="37" t="s">
        <v>86</v>
      </c>
      <c r="D151" s="38" t="s">
        <v>87</v>
      </c>
      <c r="E151" s="38" t="s">
        <v>89</v>
      </c>
      <c r="F151" s="37">
        <v>30</v>
      </c>
      <c r="G151" s="37">
        <v>50</v>
      </c>
      <c r="H151" s="37">
        <v>156</v>
      </c>
      <c r="I151" s="37" t="s">
        <v>8</v>
      </c>
      <c r="J151" s="37" t="s">
        <v>14</v>
      </c>
      <c r="K151" s="62">
        <f t="shared" si="2"/>
        <v>1.95</v>
      </c>
    </row>
    <row r="152" spans="1:11" hidden="1" x14ac:dyDescent="0.35">
      <c r="A152" s="33">
        <v>20009512</v>
      </c>
      <c r="B152" s="36" t="s">
        <v>169</v>
      </c>
      <c r="C152" s="37" t="s">
        <v>86</v>
      </c>
      <c r="D152" s="38" t="s">
        <v>87</v>
      </c>
      <c r="E152" s="38" t="s">
        <v>89</v>
      </c>
      <c r="F152" s="37">
        <v>14</v>
      </c>
      <c r="G152" s="37">
        <v>28</v>
      </c>
      <c r="H152" s="37">
        <v>40</v>
      </c>
      <c r="I152" s="37" t="s">
        <v>8</v>
      </c>
      <c r="J152" s="37" t="s">
        <v>9</v>
      </c>
      <c r="K152" s="62">
        <f t="shared" si="2"/>
        <v>0.95238095238095233</v>
      </c>
    </row>
    <row r="153" spans="1:11" hidden="1" x14ac:dyDescent="0.35">
      <c r="A153" s="33">
        <v>20009543</v>
      </c>
      <c r="B153" s="36" t="s">
        <v>170</v>
      </c>
      <c r="C153" s="37" t="s">
        <v>86</v>
      </c>
      <c r="D153" s="38" t="s">
        <v>87</v>
      </c>
      <c r="E153" s="38" t="s">
        <v>89</v>
      </c>
      <c r="F153" s="37">
        <v>50</v>
      </c>
      <c r="G153" s="37">
        <v>30</v>
      </c>
      <c r="H153" s="37">
        <v>60</v>
      </c>
      <c r="I153" s="37" t="s">
        <v>8</v>
      </c>
      <c r="J153" s="37" t="s">
        <v>7</v>
      </c>
      <c r="K153" s="62">
        <f t="shared" si="2"/>
        <v>0.75</v>
      </c>
    </row>
    <row r="154" spans="1:11" hidden="1" x14ac:dyDescent="0.35">
      <c r="A154" s="33">
        <v>20009279</v>
      </c>
      <c r="B154" s="36" t="s">
        <v>1380</v>
      </c>
      <c r="C154" s="37" t="s">
        <v>86</v>
      </c>
      <c r="D154" s="38"/>
      <c r="E154" s="38" t="s">
        <v>68</v>
      </c>
      <c r="F154" s="37">
        <v>30</v>
      </c>
      <c r="G154" s="37">
        <v>60</v>
      </c>
      <c r="H154" s="37">
        <v>84</v>
      </c>
      <c r="I154" s="37" t="s">
        <v>8</v>
      </c>
      <c r="J154" s="37" t="s">
        <v>7</v>
      </c>
      <c r="K154" s="62">
        <f t="shared" si="2"/>
        <v>0.93333333333333335</v>
      </c>
    </row>
    <row r="155" spans="1:11" hidden="1" x14ac:dyDescent="0.35">
      <c r="A155" s="33">
        <v>20009671</v>
      </c>
      <c r="B155" s="36" t="s">
        <v>171</v>
      </c>
      <c r="C155" s="37" t="s">
        <v>86</v>
      </c>
      <c r="D155" s="38" t="s">
        <v>87</v>
      </c>
      <c r="E155" s="38" t="s">
        <v>89</v>
      </c>
      <c r="F155" s="37">
        <v>70</v>
      </c>
      <c r="G155" s="37">
        <v>100</v>
      </c>
      <c r="H155" s="37">
        <v>74</v>
      </c>
      <c r="I155" s="37" t="s">
        <v>8</v>
      </c>
      <c r="J155" s="37" t="s">
        <v>7</v>
      </c>
      <c r="K155" s="62">
        <f t="shared" si="2"/>
        <v>0.43529411764705883</v>
      </c>
    </row>
    <row r="156" spans="1:11" hidden="1" x14ac:dyDescent="0.35">
      <c r="A156" s="33">
        <v>20009690</v>
      </c>
      <c r="B156" s="36" t="s">
        <v>172</v>
      </c>
      <c r="C156" s="37" t="s">
        <v>86</v>
      </c>
      <c r="D156" s="38" t="s">
        <v>87</v>
      </c>
      <c r="E156" s="38" t="s">
        <v>89</v>
      </c>
      <c r="F156" s="37">
        <v>41</v>
      </c>
      <c r="G156" s="37">
        <v>82</v>
      </c>
      <c r="H156" s="37">
        <v>82</v>
      </c>
      <c r="I156" s="37" t="s">
        <v>8</v>
      </c>
      <c r="J156" s="37" t="s">
        <v>7</v>
      </c>
      <c r="K156" s="62">
        <f t="shared" si="2"/>
        <v>0.66666666666666663</v>
      </c>
    </row>
    <row r="157" spans="1:11" hidden="1" x14ac:dyDescent="0.35">
      <c r="A157" s="33">
        <v>20009697</v>
      </c>
      <c r="B157" s="36" t="s">
        <v>173</v>
      </c>
      <c r="C157" s="37" t="s">
        <v>86</v>
      </c>
      <c r="D157" s="38" t="s">
        <v>87</v>
      </c>
      <c r="E157" s="38" t="s">
        <v>89</v>
      </c>
      <c r="F157" s="37">
        <v>50</v>
      </c>
      <c r="G157" s="37">
        <v>100</v>
      </c>
      <c r="H157" s="37">
        <v>88</v>
      </c>
      <c r="I157" s="37" t="s">
        <v>8</v>
      </c>
      <c r="J157" s="37" t="s">
        <v>7</v>
      </c>
      <c r="K157" s="62">
        <f t="shared" si="2"/>
        <v>0.58666666666666667</v>
      </c>
    </row>
    <row r="158" spans="1:11" hidden="1" x14ac:dyDescent="0.35">
      <c r="A158" s="33">
        <v>20010594</v>
      </c>
      <c r="B158" s="36" t="s">
        <v>174</v>
      </c>
      <c r="C158" s="37" t="s">
        <v>86</v>
      </c>
      <c r="D158" s="38" t="s">
        <v>87</v>
      </c>
      <c r="E158" s="38" t="s">
        <v>89</v>
      </c>
      <c r="F158" s="37">
        <v>10</v>
      </c>
      <c r="G158" s="37">
        <v>20</v>
      </c>
      <c r="H158" s="37">
        <v>12</v>
      </c>
      <c r="I158" s="37" t="s">
        <v>8</v>
      </c>
      <c r="J158" s="37" t="s">
        <v>7</v>
      </c>
      <c r="K158" s="62">
        <f t="shared" si="2"/>
        <v>0.4</v>
      </c>
    </row>
    <row r="159" spans="1:11" hidden="1" x14ac:dyDescent="0.35">
      <c r="A159" s="33">
        <v>20009586</v>
      </c>
      <c r="B159" s="36" t="s">
        <v>1278</v>
      </c>
      <c r="C159" s="37" t="s">
        <v>86</v>
      </c>
      <c r="D159" s="38"/>
      <c r="E159" s="38" t="s">
        <v>68</v>
      </c>
      <c r="F159" s="37">
        <v>1000</v>
      </c>
      <c r="G159" s="37">
        <v>2000</v>
      </c>
      <c r="H159" s="37">
        <v>1000</v>
      </c>
      <c r="I159" s="37" t="s">
        <v>8</v>
      </c>
      <c r="J159" s="37" t="s">
        <v>7</v>
      </c>
      <c r="K159" s="62">
        <f t="shared" si="2"/>
        <v>0.33333333333333331</v>
      </c>
    </row>
    <row r="160" spans="1:11" hidden="1" x14ac:dyDescent="0.35">
      <c r="A160" s="33">
        <v>20010751</v>
      </c>
      <c r="B160" s="36" t="s">
        <v>175</v>
      </c>
      <c r="C160" s="37" t="s">
        <v>86</v>
      </c>
      <c r="D160" s="38" t="s">
        <v>87</v>
      </c>
      <c r="E160" s="38" t="s">
        <v>89</v>
      </c>
      <c r="F160" s="37">
        <v>2</v>
      </c>
      <c r="G160" s="37">
        <v>2</v>
      </c>
      <c r="H160" s="37">
        <v>2</v>
      </c>
      <c r="I160" s="37" t="s">
        <v>8</v>
      </c>
      <c r="J160" s="37" t="s">
        <v>14</v>
      </c>
      <c r="K160" s="62">
        <f t="shared" si="2"/>
        <v>0.5</v>
      </c>
    </row>
    <row r="161" spans="1:11" hidden="1" x14ac:dyDescent="0.35">
      <c r="A161" s="33">
        <v>20009587</v>
      </c>
      <c r="B161" s="36" t="s">
        <v>1279</v>
      </c>
      <c r="C161" s="37" t="s">
        <v>86</v>
      </c>
      <c r="D161" s="38"/>
      <c r="E161" s="38" t="s">
        <v>68</v>
      </c>
      <c r="F161" s="37">
        <v>1000</v>
      </c>
      <c r="G161" s="37">
        <v>2000</v>
      </c>
      <c r="H161" s="37">
        <v>1000</v>
      </c>
      <c r="I161" s="37" t="s">
        <v>8</v>
      </c>
      <c r="J161" s="37" t="s">
        <v>7</v>
      </c>
      <c r="K161" s="62">
        <f t="shared" si="2"/>
        <v>0.33333333333333331</v>
      </c>
    </row>
    <row r="162" spans="1:11" hidden="1" x14ac:dyDescent="0.35">
      <c r="A162" s="33">
        <v>20011173</v>
      </c>
      <c r="B162" s="36" t="s">
        <v>53</v>
      </c>
      <c r="C162" s="37" t="s">
        <v>86</v>
      </c>
      <c r="D162" s="38" t="s">
        <v>87</v>
      </c>
      <c r="E162" s="38" t="s">
        <v>89</v>
      </c>
      <c r="F162" s="37">
        <v>8</v>
      </c>
      <c r="G162" s="37">
        <v>10</v>
      </c>
      <c r="H162" s="37">
        <v>6</v>
      </c>
      <c r="I162" s="37" t="s">
        <v>8</v>
      </c>
      <c r="J162" s="37" t="s">
        <v>7</v>
      </c>
      <c r="K162" s="62">
        <f t="shared" si="2"/>
        <v>0.33333333333333331</v>
      </c>
    </row>
    <row r="163" spans="1:11" hidden="1" x14ac:dyDescent="0.35">
      <c r="A163" s="33">
        <v>20009588</v>
      </c>
      <c r="B163" s="36" t="s">
        <v>1280</v>
      </c>
      <c r="C163" s="37" t="s">
        <v>86</v>
      </c>
      <c r="D163" s="38"/>
      <c r="E163" s="38" t="s">
        <v>68</v>
      </c>
      <c r="F163" s="37">
        <v>2000</v>
      </c>
      <c r="G163" s="37">
        <v>4000</v>
      </c>
      <c r="H163" s="37">
        <v>2900</v>
      </c>
      <c r="I163" s="37" t="s">
        <v>8</v>
      </c>
      <c r="J163" s="37" t="s">
        <v>7</v>
      </c>
      <c r="K163" s="62">
        <f t="shared" si="2"/>
        <v>0.48333333333333334</v>
      </c>
    </row>
    <row r="164" spans="1:11" hidden="1" x14ac:dyDescent="0.35">
      <c r="A164" s="33">
        <v>20011174</v>
      </c>
      <c r="B164" s="36" t="s">
        <v>54</v>
      </c>
      <c r="C164" s="37" t="s">
        <v>86</v>
      </c>
      <c r="D164" s="38" t="s">
        <v>87</v>
      </c>
      <c r="E164" s="38" t="s">
        <v>89</v>
      </c>
      <c r="F164" s="37">
        <v>3</v>
      </c>
      <c r="G164" s="37">
        <v>7</v>
      </c>
      <c r="H164" s="37">
        <v>12</v>
      </c>
      <c r="I164" s="37" t="s">
        <v>8</v>
      </c>
      <c r="J164" s="37" t="s">
        <v>14</v>
      </c>
      <c r="K164" s="62">
        <f t="shared" si="2"/>
        <v>1.2</v>
      </c>
    </row>
    <row r="165" spans="1:11" hidden="1" x14ac:dyDescent="0.35">
      <c r="A165" s="33">
        <v>20009641</v>
      </c>
      <c r="B165" s="36" t="s">
        <v>1212</v>
      </c>
      <c r="C165" s="37" t="s">
        <v>86</v>
      </c>
      <c r="D165" s="38"/>
      <c r="E165" s="38" t="s">
        <v>68</v>
      </c>
      <c r="F165" s="37">
        <v>3000</v>
      </c>
      <c r="G165" s="37">
        <v>10000</v>
      </c>
      <c r="H165" s="37">
        <v>7750</v>
      </c>
      <c r="I165" s="37" t="s">
        <v>8</v>
      </c>
      <c r="J165" s="37" t="s">
        <v>7</v>
      </c>
      <c r="K165" s="62">
        <f t="shared" si="2"/>
        <v>0.59615384615384615</v>
      </c>
    </row>
    <row r="166" spans="1:11" hidden="1" x14ac:dyDescent="0.35">
      <c r="A166" s="33">
        <v>20011177</v>
      </c>
      <c r="B166" s="36" t="s">
        <v>55</v>
      </c>
      <c r="C166" s="37" t="s">
        <v>86</v>
      </c>
      <c r="D166" s="38" t="s">
        <v>87</v>
      </c>
      <c r="E166" s="38" t="s">
        <v>89</v>
      </c>
      <c r="F166" s="37">
        <v>5</v>
      </c>
      <c r="G166" s="37">
        <v>8</v>
      </c>
      <c r="H166" s="37">
        <v>3</v>
      </c>
      <c r="I166" s="37" t="s">
        <v>8</v>
      </c>
      <c r="J166" s="37" t="s">
        <v>9</v>
      </c>
      <c r="K166" s="62">
        <f t="shared" si="2"/>
        <v>0.23076923076923078</v>
      </c>
    </row>
    <row r="167" spans="1:11" hidden="1" x14ac:dyDescent="0.35">
      <c r="A167" s="33">
        <v>20011480</v>
      </c>
      <c r="B167" s="36" t="s">
        <v>176</v>
      </c>
      <c r="C167" s="37" t="s">
        <v>86</v>
      </c>
      <c r="D167" s="38" t="s">
        <v>97</v>
      </c>
      <c r="E167" s="38" t="s">
        <v>89</v>
      </c>
      <c r="F167" s="37">
        <v>10</v>
      </c>
      <c r="G167" s="37">
        <v>20</v>
      </c>
      <c r="H167" s="37">
        <v>9</v>
      </c>
      <c r="I167" s="37" t="s">
        <v>8</v>
      </c>
      <c r="J167" s="37" t="s">
        <v>9</v>
      </c>
      <c r="K167" s="62">
        <f t="shared" si="2"/>
        <v>0.3</v>
      </c>
    </row>
    <row r="168" spans="1:11" hidden="1" x14ac:dyDescent="0.35">
      <c r="A168" s="33">
        <v>20009699</v>
      </c>
      <c r="B168" s="36" t="s">
        <v>1381</v>
      </c>
      <c r="C168" s="37" t="s">
        <v>86</v>
      </c>
      <c r="D168" s="38"/>
      <c r="E168" s="38" t="s">
        <v>68</v>
      </c>
      <c r="F168" s="37">
        <v>30</v>
      </c>
      <c r="G168" s="37">
        <v>60</v>
      </c>
      <c r="H168" s="37">
        <v>28</v>
      </c>
      <c r="I168" s="37" t="s">
        <v>8</v>
      </c>
      <c r="J168" s="37" t="s">
        <v>7</v>
      </c>
      <c r="K168" s="62">
        <f t="shared" si="2"/>
        <v>0.31111111111111112</v>
      </c>
    </row>
    <row r="169" spans="1:11" hidden="1" x14ac:dyDescent="0.35">
      <c r="A169" s="33">
        <v>20019648</v>
      </c>
      <c r="B169" s="36" t="s">
        <v>177</v>
      </c>
      <c r="C169" s="37" t="s">
        <v>86</v>
      </c>
      <c r="D169" s="38" t="s">
        <v>97</v>
      </c>
      <c r="E169" s="38" t="s">
        <v>89</v>
      </c>
      <c r="F169" s="37">
        <v>7</v>
      </c>
      <c r="G169" s="37">
        <v>11</v>
      </c>
      <c r="H169" s="37">
        <v>26</v>
      </c>
      <c r="I169" s="37" t="s">
        <v>8</v>
      </c>
      <c r="J169" s="37" t="s">
        <v>14</v>
      </c>
      <c r="K169" s="62">
        <f t="shared" si="2"/>
        <v>1.4444444444444444</v>
      </c>
    </row>
    <row r="170" spans="1:11" hidden="1" x14ac:dyDescent="0.35">
      <c r="A170" s="33">
        <v>20009765</v>
      </c>
      <c r="B170" s="36" t="s">
        <v>1490</v>
      </c>
      <c r="C170" s="37" t="s">
        <v>86</v>
      </c>
      <c r="D170" s="38"/>
      <c r="E170" s="38" t="s">
        <v>68</v>
      </c>
      <c r="F170" s="37">
        <v>2</v>
      </c>
      <c r="G170" s="37">
        <v>2</v>
      </c>
      <c r="H170" s="37">
        <v>5</v>
      </c>
      <c r="I170" s="37" t="s">
        <v>8</v>
      </c>
      <c r="J170" s="37" t="s">
        <v>14</v>
      </c>
      <c r="K170" s="62">
        <f t="shared" si="2"/>
        <v>1.25</v>
      </c>
    </row>
    <row r="171" spans="1:11" hidden="1" x14ac:dyDescent="0.35">
      <c r="A171" s="33">
        <v>20011481</v>
      </c>
      <c r="B171" s="36" t="s">
        <v>178</v>
      </c>
      <c r="C171" s="37" t="s">
        <v>86</v>
      </c>
      <c r="D171" s="38" t="s">
        <v>97</v>
      </c>
      <c r="E171" s="38" t="s">
        <v>89</v>
      </c>
      <c r="F171" s="37">
        <v>4</v>
      </c>
      <c r="G171" s="37">
        <v>8</v>
      </c>
      <c r="H171" s="37">
        <v>13</v>
      </c>
      <c r="I171" s="37" t="s">
        <v>8</v>
      </c>
      <c r="J171" s="37" t="s">
        <v>14</v>
      </c>
      <c r="K171" s="62">
        <f t="shared" si="2"/>
        <v>1.0833333333333333</v>
      </c>
    </row>
    <row r="172" spans="1:11" hidden="1" x14ac:dyDescent="0.35">
      <c r="A172" s="33">
        <v>20011483</v>
      </c>
      <c r="B172" s="36" t="s">
        <v>179</v>
      </c>
      <c r="C172" s="37" t="s">
        <v>86</v>
      </c>
      <c r="D172" s="38" t="s">
        <v>97</v>
      </c>
      <c r="E172" s="38" t="s">
        <v>89</v>
      </c>
      <c r="F172" s="37">
        <v>5</v>
      </c>
      <c r="G172" s="37">
        <v>8</v>
      </c>
      <c r="H172" s="37">
        <v>6</v>
      </c>
      <c r="I172" s="37" t="s">
        <v>8</v>
      </c>
      <c r="J172" s="37" t="s">
        <v>7</v>
      </c>
      <c r="K172" s="62">
        <f t="shared" si="2"/>
        <v>0.46153846153846156</v>
      </c>
    </row>
    <row r="173" spans="1:11" hidden="1" x14ac:dyDescent="0.35">
      <c r="A173" s="33">
        <v>20011519</v>
      </c>
      <c r="B173" s="36" t="s">
        <v>180</v>
      </c>
      <c r="C173" s="37" t="s">
        <v>86</v>
      </c>
      <c r="D173" s="38" t="s">
        <v>129</v>
      </c>
      <c r="E173" s="38" t="s">
        <v>89</v>
      </c>
      <c r="F173" s="37">
        <v>15</v>
      </c>
      <c r="G173" s="37">
        <v>25</v>
      </c>
      <c r="H173" s="37">
        <v>60</v>
      </c>
      <c r="I173" s="37" t="s">
        <v>25</v>
      </c>
      <c r="J173" s="37" t="s">
        <v>14</v>
      </c>
      <c r="K173" s="62">
        <f t="shared" si="2"/>
        <v>1.5</v>
      </c>
    </row>
    <row r="174" spans="1:11" hidden="1" x14ac:dyDescent="0.35">
      <c r="A174" s="33">
        <v>20011601</v>
      </c>
      <c r="B174" s="36" t="s">
        <v>47</v>
      </c>
      <c r="C174" s="37" t="s">
        <v>86</v>
      </c>
      <c r="D174" s="38" t="s">
        <v>129</v>
      </c>
      <c r="E174" s="38" t="s">
        <v>89</v>
      </c>
      <c r="F174" s="37">
        <v>30</v>
      </c>
      <c r="G174" s="37">
        <v>50</v>
      </c>
      <c r="H174" s="37">
        <v>53</v>
      </c>
      <c r="I174" s="37" t="s">
        <v>25</v>
      </c>
      <c r="J174" s="37" t="s">
        <v>7</v>
      </c>
      <c r="K174" s="62">
        <f t="shared" si="2"/>
        <v>0.66249999999999998</v>
      </c>
    </row>
    <row r="175" spans="1:11" hidden="1" x14ac:dyDescent="0.35">
      <c r="A175" s="33">
        <v>20011614</v>
      </c>
      <c r="B175" s="36" t="s">
        <v>181</v>
      </c>
      <c r="C175" s="37" t="s">
        <v>86</v>
      </c>
      <c r="D175" s="38" t="s">
        <v>129</v>
      </c>
      <c r="E175" s="38" t="s">
        <v>89</v>
      </c>
      <c r="F175" s="37">
        <v>80</v>
      </c>
      <c r="G175" s="37">
        <v>100</v>
      </c>
      <c r="H175" s="37">
        <v>117</v>
      </c>
      <c r="I175" s="37" t="s">
        <v>25</v>
      </c>
      <c r="J175" s="37" t="s">
        <v>7</v>
      </c>
      <c r="K175" s="62">
        <f t="shared" si="2"/>
        <v>0.65</v>
      </c>
    </row>
    <row r="176" spans="1:11" hidden="1" x14ac:dyDescent="0.35">
      <c r="A176" s="33">
        <v>20011281</v>
      </c>
      <c r="B176" s="36" t="s">
        <v>1270</v>
      </c>
      <c r="C176" s="37" t="s">
        <v>86</v>
      </c>
      <c r="D176" s="38"/>
      <c r="E176" s="38" t="s">
        <v>68</v>
      </c>
      <c r="F176" s="37">
        <v>15</v>
      </c>
      <c r="G176" s="37">
        <v>20</v>
      </c>
      <c r="H176" s="37">
        <v>30</v>
      </c>
      <c r="I176" s="37" t="s">
        <v>8</v>
      </c>
      <c r="J176" s="37" t="s">
        <v>7</v>
      </c>
      <c r="K176" s="62">
        <f t="shared" si="2"/>
        <v>0.8571428571428571</v>
      </c>
    </row>
    <row r="177" spans="1:11" hidden="1" x14ac:dyDescent="0.35">
      <c r="A177" s="33">
        <v>20011297</v>
      </c>
      <c r="B177" s="36" t="s">
        <v>1271</v>
      </c>
      <c r="C177" s="37" t="s">
        <v>86</v>
      </c>
      <c r="D177" s="38"/>
      <c r="E177" s="38" t="s">
        <v>68</v>
      </c>
      <c r="F177" s="37">
        <v>15</v>
      </c>
      <c r="G177" s="37">
        <v>20</v>
      </c>
      <c r="H177" s="37">
        <v>18</v>
      </c>
      <c r="I177" s="37" t="s">
        <v>8</v>
      </c>
      <c r="J177" s="37" t="s">
        <v>7</v>
      </c>
      <c r="K177" s="62">
        <f t="shared" si="2"/>
        <v>0.51428571428571423</v>
      </c>
    </row>
    <row r="178" spans="1:11" hidden="1" x14ac:dyDescent="0.35">
      <c r="A178" s="33">
        <v>20011723</v>
      </c>
      <c r="B178" s="36" t="s">
        <v>182</v>
      </c>
      <c r="C178" s="37" t="s">
        <v>86</v>
      </c>
      <c r="D178" s="38" t="s">
        <v>87</v>
      </c>
      <c r="E178" s="38" t="s">
        <v>102</v>
      </c>
      <c r="F178" s="37">
        <v>2</v>
      </c>
      <c r="G178" s="37">
        <v>4</v>
      </c>
      <c r="H178" s="37">
        <v>7</v>
      </c>
      <c r="I178" s="37" t="s">
        <v>8</v>
      </c>
      <c r="J178" s="37" t="s">
        <v>14</v>
      </c>
      <c r="K178" s="62">
        <f t="shared" si="2"/>
        <v>1.1666666666666667</v>
      </c>
    </row>
    <row r="179" spans="1:11" hidden="1" x14ac:dyDescent="0.35">
      <c r="A179" s="33">
        <v>20011819</v>
      </c>
      <c r="B179" s="36" t="s">
        <v>183</v>
      </c>
      <c r="C179" s="37" t="s">
        <v>86</v>
      </c>
      <c r="D179" s="38" t="s">
        <v>87</v>
      </c>
      <c r="E179" s="38" t="s">
        <v>89</v>
      </c>
      <c r="F179" s="37">
        <v>80</v>
      </c>
      <c r="G179" s="37">
        <v>80</v>
      </c>
      <c r="H179" s="37">
        <v>240</v>
      </c>
      <c r="I179" s="37" t="s">
        <v>23</v>
      </c>
      <c r="J179" s="37" t="s">
        <v>14</v>
      </c>
      <c r="K179" s="62">
        <f t="shared" si="2"/>
        <v>1.5</v>
      </c>
    </row>
    <row r="180" spans="1:11" hidden="1" x14ac:dyDescent="0.35">
      <c r="A180" s="33">
        <v>20011843</v>
      </c>
      <c r="B180" s="36" t="s">
        <v>184</v>
      </c>
      <c r="C180" s="37" t="s">
        <v>86</v>
      </c>
      <c r="D180" s="38" t="s">
        <v>87</v>
      </c>
      <c r="E180" s="38" t="s">
        <v>89</v>
      </c>
      <c r="F180" s="37">
        <v>54</v>
      </c>
      <c r="G180" s="37">
        <v>54</v>
      </c>
      <c r="H180" s="37">
        <v>288</v>
      </c>
      <c r="I180" s="37" t="s">
        <v>24</v>
      </c>
      <c r="J180" s="37" t="s">
        <v>14</v>
      </c>
      <c r="K180" s="62">
        <f t="shared" si="2"/>
        <v>2.6666666666666665</v>
      </c>
    </row>
    <row r="181" spans="1:11" hidden="1" x14ac:dyDescent="0.35">
      <c r="A181" s="33">
        <v>20011891</v>
      </c>
      <c r="B181" s="36" t="s">
        <v>1372</v>
      </c>
      <c r="C181" s="37" t="s">
        <v>86</v>
      </c>
      <c r="D181" s="38"/>
      <c r="E181" s="38" t="s">
        <v>89</v>
      </c>
      <c r="F181" s="37">
        <v>55</v>
      </c>
      <c r="G181" s="37">
        <v>100</v>
      </c>
      <c r="H181" s="37">
        <v>114</v>
      </c>
      <c r="I181" s="37" t="s">
        <v>8</v>
      </c>
      <c r="J181" s="37" t="s">
        <v>9</v>
      </c>
      <c r="K181" s="62">
        <f t="shared" si="2"/>
        <v>0.73548387096774193</v>
      </c>
    </row>
    <row r="182" spans="1:11" hidden="1" x14ac:dyDescent="0.35">
      <c r="A182" s="33">
        <v>20011612</v>
      </c>
      <c r="B182" s="36" t="s">
        <v>1382</v>
      </c>
      <c r="C182" s="37" t="s">
        <v>86</v>
      </c>
      <c r="D182" s="38"/>
      <c r="E182" s="38" t="s">
        <v>68</v>
      </c>
      <c r="F182" s="37">
        <v>12</v>
      </c>
      <c r="G182" s="37">
        <v>40</v>
      </c>
      <c r="H182" s="37">
        <v>46</v>
      </c>
      <c r="I182" s="37" t="s">
        <v>25</v>
      </c>
      <c r="J182" s="37" t="s">
        <v>7</v>
      </c>
      <c r="K182" s="62">
        <f t="shared" si="2"/>
        <v>0.88461538461538458</v>
      </c>
    </row>
    <row r="183" spans="1:11" hidden="1" x14ac:dyDescent="0.35">
      <c r="A183" s="33">
        <v>20011895</v>
      </c>
      <c r="B183" s="36" t="s">
        <v>185</v>
      </c>
      <c r="C183" s="37" t="s">
        <v>86</v>
      </c>
      <c r="D183" s="38"/>
      <c r="E183" s="38" t="s">
        <v>89</v>
      </c>
      <c r="F183" s="37">
        <v>50</v>
      </c>
      <c r="G183" s="37">
        <v>150</v>
      </c>
      <c r="H183" s="37">
        <v>135</v>
      </c>
      <c r="I183" s="37" t="s">
        <v>8</v>
      </c>
      <c r="J183" s="37" t="s">
        <v>14</v>
      </c>
      <c r="K183" s="62">
        <f t="shared" si="2"/>
        <v>0.67500000000000004</v>
      </c>
    </row>
    <row r="184" spans="1:11" hidden="1" x14ac:dyDescent="0.35">
      <c r="A184" s="33">
        <v>20011900</v>
      </c>
      <c r="B184" s="36" t="s">
        <v>186</v>
      </c>
      <c r="C184" s="37" t="s">
        <v>86</v>
      </c>
      <c r="D184" s="38" t="s">
        <v>87</v>
      </c>
      <c r="E184" s="38" t="s">
        <v>89</v>
      </c>
      <c r="F184" s="37">
        <v>35</v>
      </c>
      <c r="G184" s="37">
        <v>38</v>
      </c>
      <c r="H184" s="37">
        <v>36</v>
      </c>
      <c r="I184" s="37" t="s">
        <v>24</v>
      </c>
      <c r="J184" s="37" t="s">
        <v>7</v>
      </c>
      <c r="K184" s="62">
        <f t="shared" si="2"/>
        <v>0.49315068493150682</v>
      </c>
    </row>
    <row r="185" spans="1:11" hidden="1" x14ac:dyDescent="0.35">
      <c r="A185" s="33">
        <v>20011926</v>
      </c>
      <c r="B185" s="36" t="s">
        <v>1362</v>
      </c>
      <c r="C185" s="37" t="s">
        <v>86</v>
      </c>
      <c r="D185" s="38" t="s">
        <v>87</v>
      </c>
      <c r="E185" s="38" t="s">
        <v>89</v>
      </c>
      <c r="F185" s="37">
        <v>6</v>
      </c>
      <c r="G185" s="37">
        <v>10</v>
      </c>
      <c r="H185" s="37">
        <v>15</v>
      </c>
      <c r="I185" s="37" t="s">
        <v>8</v>
      </c>
      <c r="J185" s="37" t="s">
        <v>7</v>
      </c>
      <c r="K185" s="62">
        <f t="shared" si="2"/>
        <v>0.9375</v>
      </c>
    </row>
    <row r="186" spans="1:11" hidden="1" x14ac:dyDescent="0.35">
      <c r="A186" s="33">
        <v>20011928</v>
      </c>
      <c r="B186" s="36" t="s">
        <v>187</v>
      </c>
      <c r="C186" s="37" t="s">
        <v>86</v>
      </c>
      <c r="D186" s="38"/>
      <c r="E186" s="38" t="s">
        <v>89</v>
      </c>
      <c r="F186" s="37">
        <v>220</v>
      </c>
      <c r="G186" s="37">
        <v>440</v>
      </c>
      <c r="H186" s="37">
        <v>674</v>
      </c>
      <c r="I186" s="37" t="s">
        <v>23</v>
      </c>
      <c r="J186" s="37" t="s">
        <v>14</v>
      </c>
      <c r="K186" s="62">
        <f t="shared" si="2"/>
        <v>1.0212121212121212</v>
      </c>
    </row>
    <row r="187" spans="1:11" hidden="1" x14ac:dyDescent="0.35">
      <c r="A187" s="33">
        <v>20011934</v>
      </c>
      <c r="B187" s="36" t="s">
        <v>188</v>
      </c>
      <c r="C187" s="37" t="s">
        <v>86</v>
      </c>
      <c r="D187" s="38"/>
      <c r="E187" s="38" t="s">
        <v>89</v>
      </c>
      <c r="F187" s="37">
        <v>120</v>
      </c>
      <c r="G187" s="37">
        <v>200</v>
      </c>
      <c r="H187" s="37">
        <v>300</v>
      </c>
      <c r="I187" s="37" t="s">
        <v>23</v>
      </c>
      <c r="J187" s="37" t="s">
        <v>7</v>
      </c>
      <c r="K187" s="62">
        <f t="shared" si="2"/>
        <v>0.9375</v>
      </c>
    </row>
    <row r="188" spans="1:11" hidden="1" x14ac:dyDescent="0.35">
      <c r="A188" s="33">
        <v>20011957</v>
      </c>
      <c r="B188" s="36" t="s">
        <v>189</v>
      </c>
      <c r="C188" s="37" t="s">
        <v>86</v>
      </c>
      <c r="D188" s="38" t="s">
        <v>87</v>
      </c>
      <c r="E188" s="38" t="s">
        <v>89</v>
      </c>
      <c r="F188" s="37">
        <v>8</v>
      </c>
      <c r="G188" s="37">
        <v>10</v>
      </c>
      <c r="H188" s="37">
        <v>2</v>
      </c>
      <c r="I188" s="37" t="s">
        <v>8</v>
      </c>
      <c r="J188" s="37" t="s">
        <v>13</v>
      </c>
      <c r="K188" s="62">
        <f t="shared" si="2"/>
        <v>0.1111111111111111</v>
      </c>
    </row>
    <row r="189" spans="1:11" hidden="1" x14ac:dyDescent="0.35">
      <c r="A189" s="33">
        <v>20012096</v>
      </c>
      <c r="B189" s="36" t="s">
        <v>191</v>
      </c>
      <c r="C189" s="37" t="s">
        <v>86</v>
      </c>
      <c r="D189" s="38"/>
      <c r="E189" s="38" t="s">
        <v>89</v>
      </c>
      <c r="F189" s="37">
        <v>900</v>
      </c>
      <c r="G189" s="37">
        <v>1200</v>
      </c>
      <c r="H189" s="37">
        <v>2080</v>
      </c>
      <c r="I189" s="37" t="s">
        <v>25</v>
      </c>
      <c r="J189" s="37" t="s">
        <v>9</v>
      </c>
      <c r="K189" s="62">
        <f t="shared" si="2"/>
        <v>0.99047619047619051</v>
      </c>
    </row>
    <row r="190" spans="1:11" hidden="1" x14ac:dyDescent="0.35">
      <c r="A190" s="33">
        <v>20012114</v>
      </c>
      <c r="B190" s="36" t="s">
        <v>192</v>
      </c>
      <c r="C190" s="37" t="s">
        <v>86</v>
      </c>
      <c r="D190" s="38"/>
      <c r="E190" s="38" t="s">
        <v>89</v>
      </c>
      <c r="F190" s="37">
        <v>7</v>
      </c>
      <c r="G190" s="37">
        <v>14</v>
      </c>
      <c r="H190" s="37">
        <v>6</v>
      </c>
      <c r="I190" s="37" t="s">
        <v>8</v>
      </c>
      <c r="J190" s="37" t="s">
        <v>9</v>
      </c>
      <c r="K190" s="62">
        <f t="shared" si="2"/>
        <v>0.2857142857142857</v>
      </c>
    </row>
    <row r="191" spans="1:11" hidden="1" x14ac:dyDescent="0.35">
      <c r="A191" s="33">
        <v>20012171</v>
      </c>
      <c r="B191" s="36" t="s">
        <v>193</v>
      </c>
      <c r="C191" s="37" t="s">
        <v>86</v>
      </c>
      <c r="D191" s="38" t="s">
        <v>97</v>
      </c>
      <c r="E191" s="38" t="s">
        <v>89</v>
      </c>
      <c r="F191" s="37">
        <v>100</v>
      </c>
      <c r="G191" s="37">
        <v>200</v>
      </c>
      <c r="H191" s="37">
        <v>248</v>
      </c>
      <c r="I191" s="37" t="s">
        <v>23</v>
      </c>
      <c r="J191" s="37" t="s">
        <v>7</v>
      </c>
      <c r="K191" s="62">
        <f t="shared" si="2"/>
        <v>0.82666666666666666</v>
      </c>
    </row>
    <row r="192" spans="1:11" hidden="1" x14ac:dyDescent="0.35">
      <c r="A192" s="33">
        <v>20011937</v>
      </c>
      <c r="B192" s="36" t="s">
        <v>1407</v>
      </c>
      <c r="C192" s="37" t="s">
        <v>86</v>
      </c>
      <c r="D192" s="38"/>
      <c r="E192" s="38" t="s">
        <v>68</v>
      </c>
      <c r="F192" s="37">
        <v>5</v>
      </c>
      <c r="G192" s="37">
        <v>10</v>
      </c>
      <c r="H192" s="37">
        <v>5</v>
      </c>
      <c r="I192" s="37" t="s">
        <v>24</v>
      </c>
      <c r="J192" s="37" t="s">
        <v>7</v>
      </c>
      <c r="K192" s="62">
        <f t="shared" si="2"/>
        <v>0.33333333333333331</v>
      </c>
    </row>
    <row r="193" spans="1:11" hidden="1" x14ac:dyDescent="0.35">
      <c r="A193" s="33">
        <v>20012198</v>
      </c>
      <c r="B193" s="36" t="s">
        <v>48</v>
      </c>
      <c r="C193" s="37" t="s">
        <v>86</v>
      </c>
      <c r="D193" s="38" t="s">
        <v>91</v>
      </c>
      <c r="E193" s="38" t="s">
        <v>89</v>
      </c>
      <c r="F193" s="37">
        <v>18</v>
      </c>
      <c r="G193" s="37">
        <v>20</v>
      </c>
      <c r="H193" s="37">
        <v>27</v>
      </c>
      <c r="I193" s="37" t="s">
        <v>8</v>
      </c>
      <c r="J193" s="37" t="s">
        <v>7</v>
      </c>
      <c r="K193" s="62">
        <f t="shared" si="2"/>
        <v>0.71052631578947367</v>
      </c>
    </row>
    <row r="194" spans="1:11" hidden="1" x14ac:dyDescent="0.35">
      <c r="A194" s="33">
        <v>20011953</v>
      </c>
      <c r="B194" s="36" t="s">
        <v>1525</v>
      </c>
      <c r="C194" s="37" t="s">
        <v>86</v>
      </c>
      <c r="D194" s="38"/>
      <c r="E194" s="38" t="s">
        <v>68</v>
      </c>
      <c r="F194" s="37">
        <v>1</v>
      </c>
      <c r="G194" s="37">
        <v>2</v>
      </c>
      <c r="H194" s="37">
        <v>2</v>
      </c>
      <c r="I194" s="37" t="s">
        <v>8</v>
      </c>
      <c r="J194" s="37" t="s">
        <v>7</v>
      </c>
      <c r="K194" s="62">
        <f t="shared" si="2"/>
        <v>0.66666666666666663</v>
      </c>
    </row>
    <row r="195" spans="1:11" hidden="1" x14ac:dyDescent="0.35">
      <c r="A195" s="33">
        <v>20011956</v>
      </c>
      <c r="B195" s="36" t="s">
        <v>1431</v>
      </c>
      <c r="C195" s="37" t="s">
        <v>86</v>
      </c>
      <c r="D195" s="38"/>
      <c r="E195" s="38" t="s">
        <v>68</v>
      </c>
      <c r="F195" s="37">
        <v>2</v>
      </c>
      <c r="G195" s="37">
        <v>2</v>
      </c>
      <c r="H195" s="37">
        <v>3</v>
      </c>
      <c r="I195" s="37" t="s">
        <v>8</v>
      </c>
      <c r="J195" s="37" t="s">
        <v>7</v>
      </c>
      <c r="K195" s="62">
        <f t="shared" si="2"/>
        <v>0.75</v>
      </c>
    </row>
    <row r="196" spans="1:11" hidden="1" x14ac:dyDescent="0.35">
      <c r="A196" s="33">
        <v>20012262</v>
      </c>
      <c r="B196" s="36" t="s">
        <v>194</v>
      </c>
      <c r="C196" s="37" t="s">
        <v>86</v>
      </c>
      <c r="D196" s="38"/>
      <c r="E196" s="38" t="s">
        <v>89</v>
      </c>
      <c r="F196" s="37">
        <v>7</v>
      </c>
      <c r="G196" s="37">
        <v>14</v>
      </c>
      <c r="H196" s="37">
        <v>22</v>
      </c>
      <c r="I196" s="37" t="s">
        <v>8</v>
      </c>
      <c r="J196" s="37" t="s">
        <v>9</v>
      </c>
      <c r="K196" s="62">
        <f t="shared" si="2"/>
        <v>1.0476190476190477</v>
      </c>
    </row>
    <row r="197" spans="1:11" hidden="1" x14ac:dyDescent="0.35">
      <c r="A197" s="33">
        <v>20012263</v>
      </c>
      <c r="B197" s="36" t="s">
        <v>35</v>
      </c>
      <c r="C197" s="37" t="s">
        <v>86</v>
      </c>
      <c r="D197" s="38"/>
      <c r="E197" s="38" t="s">
        <v>89</v>
      </c>
      <c r="F197" s="37">
        <v>30</v>
      </c>
      <c r="G197" s="37">
        <v>50</v>
      </c>
      <c r="H197" s="37">
        <v>48</v>
      </c>
      <c r="I197" s="37" t="s">
        <v>8</v>
      </c>
      <c r="J197" s="37" t="s">
        <v>7</v>
      </c>
      <c r="K197" s="62">
        <f t="shared" si="2"/>
        <v>0.6</v>
      </c>
    </row>
    <row r="198" spans="1:11" hidden="1" x14ac:dyDescent="0.35">
      <c r="A198" s="33">
        <v>20011962</v>
      </c>
      <c r="B198" s="36" t="s">
        <v>789</v>
      </c>
      <c r="C198" s="37" t="s">
        <v>86</v>
      </c>
      <c r="D198" s="38"/>
      <c r="E198" s="38" t="s">
        <v>68</v>
      </c>
      <c r="F198" s="37">
        <v>3</v>
      </c>
      <c r="G198" s="37">
        <v>5</v>
      </c>
      <c r="H198" s="37">
        <v>3</v>
      </c>
      <c r="I198" s="37" t="s">
        <v>8</v>
      </c>
      <c r="J198" s="37" t="s">
        <v>7</v>
      </c>
      <c r="K198" s="62">
        <f t="shared" si="2"/>
        <v>0.375</v>
      </c>
    </row>
    <row r="199" spans="1:11" hidden="1" x14ac:dyDescent="0.35">
      <c r="A199" s="33">
        <v>20012284</v>
      </c>
      <c r="B199" s="36" t="s">
        <v>195</v>
      </c>
      <c r="C199" s="37" t="s">
        <v>86</v>
      </c>
      <c r="D199" s="38"/>
      <c r="E199" s="38" t="s">
        <v>89</v>
      </c>
      <c r="F199" s="37">
        <v>10</v>
      </c>
      <c r="G199" s="37">
        <v>20</v>
      </c>
      <c r="H199" s="37">
        <v>32</v>
      </c>
      <c r="I199" s="37" t="s">
        <v>8</v>
      </c>
      <c r="J199" s="37" t="s">
        <v>14</v>
      </c>
      <c r="K199" s="62">
        <f t="shared" si="2"/>
        <v>1.0666666666666667</v>
      </c>
    </row>
    <row r="200" spans="1:11" hidden="1" x14ac:dyDescent="0.35">
      <c r="A200" s="33">
        <v>20012286</v>
      </c>
      <c r="B200" s="36" t="s">
        <v>196</v>
      </c>
      <c r="C200" s="37" t="s">
        <v>86</v>
      </c>
      <c r="D200" s="38"/>
      <c r="E200" s="38" t="s">
        <v>89</v>
      </c>
      <c r="F200" s="37">
        <v>14</v>
      </c>
      <c r="G200" s="37">
        <v>28</v>
      </c>
      <c r="H200" s="37">
        <v>94</v>
      </c>
      <c r="I200" s="37" t="s">
        <v>8</v>
      </c>
      <c r="J200" s="37" t="s">
        <v>14</v>
      </c>
      <c r="K200" s="62">
        <f t="shared" si="2"/>
        <v>2.2380952380952381</v>
      </c>
    </row>
    <row r="201" spans="1:11" hidden="1" x14ac:dyDescent="0.35">
      <c r="A201" s="33">
        <v>20012106</v>
      </c>
      <c r="B201" s="36" t="s">
        <v>1056</v>
      </c>
      <c r="C201" s="37" t="s">
        <v>86</v>
      </c>
      <c r="D201" s="38"/>
      <c r="E201" s="38" t="s">
        <v>68</v>
      </c>
      <c r="F201" s="37">
        <v>100</v>
      </c>
      <c r="G201" s="37">
        <v>100</v>
      </c>
      <c r="H201" s="37">
        <v>100</v>
      </c>
      <c r="I201" s="37" t="s">
        <v>8</v>
      </c>
      <c r="J201" s="37" t="s">
        <v>7</v>
      </c>
      <c r="K201" s="62">
        <f t="shared" ref="K201:K264" si="3">H201/(F201+G201)</f>
        <v>0.5</v>
      </c>
    </row>
    <row r="202" spans="1:11" hidden="1" x14ac:dyDescent="0.35">
      <c r="A202" s="33">
        <v>20012289</v>
      </c>
      <c r="B202" s="36" t="s">
        <v>36</v>
      </c>
      <c r="C202" s="37" t="s">
        <v>86</v>
      </c>
      <c r="D202" s="38"/>
      <c r="E202" s="38" t="s">
        <v>89</v>
      </c>
      <c r="F202" s="37">
        <v>7</v>
      </c>
      <c r="G202" s="37">
        <v>14</v>
      </c>
      <c r="H202" s="37">
        <v>12</v>
      </c>
      <c r="I202" s="37" t="s">
        <v>8</v>
      </c>
      <c r="J202" s="37" t="s">
        <v>7</v>
      </c>
      <c r="K202" s="62">
        <f t="shared" si="3"/>
        <v>0.5714285714285714</v>
      </c>
    </row>
    <row r="203" spans="1:11" hidden="1" x14ac:dyDescent="0.35">
      <c r="A203" s="33">
        <v>20012166</v>
      </c>
      <c r="B203" s="36" t="s">
        <v>1108</v>
      </c>
      <c r="C203" s="37" t="s">
        <v>86</v>
      </c>
      <c r="D203" s="38"/>
      <c r="E203" s="38" t="s">
        <v>68</v>
      </c>
      <c r="F203" s="37">
        <v>5</v>
      </c>
      <c r="G203" s="37">
        <v>3</v>
      </c>
      <c r="H203" s="37">
        <v>7</v>
      </c>
      <c r="I203" s="37" t="s">
        <v>24</v>
      </c>
      <c r="J203" s="37" t="s">
        <v>7</v>
      </c>
      <c r="K203" s="62">
        <f t="shared" si="3"/>
        <v>0.875</v>
      </c>
    </row>
    <row r="204" spans="1:11" hidden="1" x14ac:dyDescent="0.35">
      <c r="A204" s="33">
        <v>20012298</v>
      </c>
      <c r="B204" s="36" t="s">
        <v>197</v>
      </c>
      <c r="C204" s="37" t="s">
        <v>86</v>
      </c>
      <c r="D204" s="38"/>
      <c r="E204" s="38" t="s">
        <v>89</v>
      </c>
      <c r="F204" s="37">
        <v>20</v>
      </c>
      <c r="G204" s="37">
        <v>40</v>
      </c>
      <c r="H204" s="37">
        <v>30</v>
      </c>
      <c r="I204" s="37" t="s">
        <v>8</v>
      </c>
      <c r="J204" s="37" t="s">
        <v>7</v>
      </c>
      <c r="K204" s="62">
        <f t="shared" si="3"/>
        <v>0.5</v>
      </c>
    </row>
    <row r="205" spans="1:11" hidden="1" x14ac:dyDescent="0.35">
      <c r="A205" s="33">
        <v>20012310</v>
      </c>
      <c r="B205" s="36" t="s">
        <v>198</v>
      </c>
      <c r="C205" s="37" t="s">
        <v>86</v>
      </c>
      <c r="D205" s="38"/>
      <c r="E205" s="38" t="s">
        <v>89</v>
      </c>
      <c r="F205" s="37">
        <v>16</v>
      </c>
      <c r="G205" s="37">
        <v>32</v>
      </c>
      <c r="H205" s="37">
        <v>28</v>
      </c>
      <c r="I205" s="37" t="s">
        <v>8</v>
      </c>
      <c r="J205" s="37" t="s">
        <v>7</v>
      </c>
      <c r="K205" s="62">
        <f t="shared" si="3"/>
        <v>0.58333333333333337</v>
      </c>
    </row>
    <row r="206" spans="1:11" hidden="1" x14ac:dyDescent="0.35">
      <c r="A206" s="33">
        <v>20012175</v>
      </c>
      <c r="B206" s="36" t="s">
        <v>1408</v>
      </c>
      <c r="C206" s="37" t="s">
        <v>86</v>
      </c>
      <c r="D206" s="38"/>
      <c r="E206" s="38" t="s">
        <v>68</v>
      </c>
      <c r="F206" s="37">
        <v>4</v>
      </c>
      <c r="G206" s="37">
        <v>4</v>
      </c>
      <c r="H206" s="37">
        <v>4</v>
      </c>
      <c r="I206" s="37" t="s">
        <v>8</v>
      </c>
      <c r="J206" s="37" t="s">
        <v>7</v>
      </c>
      <c r="K206" s="62">
        <f t="shared" si="3"/>
        <v>0.5</v>
      </c>
    </row>
    <row r="207" spans="1:11" hidden="1" x14ac:dyDescent="0.35">
      <c r="A207" s="33">
        <v>20012311</v>
      </c>
      <c r="B207" s="36" t="s">
        <v>199</v>
      </c>
      <c r="C207" s="37" t="s">
        <v>86</v>
      </c>
      <c r="D207" s="38"/>
      <c r="E207" s="38" t="s">
        <v>89</v>
      </c>
      <c r="F207" s="37">
        <v>30</v>
      </c>
      <c r="G207" s="37">
        <v>40</v>
      </c>
      <c r="H207" s="37">
        <v>35</v>
      </c>
      <c r="I207" s="37" t="s">
        <v>8</v>
      </c>
      <c r="J207" s="37" t="s">
        <v>7</v>
      </c>
      <c r="K207" s="62">
        <f t="shared" si="3"/>
        <v>0.5</v>
      </c>
    </row>
    <row r="208" spans="1:11" hidden="1" x14ac:dyDescent="0.35">
      <c r="A208" s="33">
        <v>20012357</v>
      </c>
      <c r="B208" s="36" t="s">
        <v>200</v>
      </c>
      <c r="C208" s="37" t="s">
        <v>86</v>
      </c>
      <c r="D208" s="38"/>
      <c r="E208" s="38" t="s">
        <v>89</v>
      </c>
      <c r="F208" s="37">
        <v>15</v>
      </c>
      <c r="G208" s="37">
        <v>30</v>
      </c>
      <c r="H208" s="37">
        <v>30</v>
      </c>
      <c r="I208" s="37" t="s">
        <v>8</v>
      </c>
      <c r="J208" s="37" t="s">
        <v>7</v>
      </c>
      <c r="K208" s="62">
        <f t="shared" si="3"/>
        <v>0.66666666666666663</v>
      </c>
    </row>
    <row r="209" spans="1:11" hidden="1" x14ac:dyDescent="0.35">
      <c r="A209" s="33">
        <v>20012220</v>
      </c>
      <c r="B209" s="36" t="s">
        <v>1526</v>
      </c>
      <c r="C209" s="37" t="s">
        <v>86</v>
      </c>
      <c r="D209" s="38"/>
      <c r="E209" s="38" t="s">
        <v>68</v>
      </c>
      <c r="F209" s="37">
        <v>416</v>
      </c>
      <c r="G209" s="37">
        <v>208</v>
      </c>
      <c r="H209" s="37">
        <v>416</v>
      </c>
      <c r="I209" s="37" t="s">
        <v>23</v>
      </c>
      <c r="J209" s="37" t="s">
        <v>7</v>
      </c>
      <c r="K209" s="62">
        <f t="shared" si="3"/>
        <v>0.66666666666666663</v>
      </c>
    </row>
    <row r="210" spans="1:11" hidden="1" x14ac:dyDescent="0.35">
      <c r="A210" s="33">
        <v>20012377</v>
      </c>
      <c r="B210" s="36" t="s">
        <v>37</v>
      </c>
      <c r="C210" s="37" t="s">
        <v>86</v>
      </c>
      <c r="D210" s="38" t="s">
        <v>87</v>
      </c>
      <c r="E210" s="38" t="s">
        <v>89</v>
      </c>
      <c r="F210" s="37">
        <v>4</v>
      </c>
      <c r="G210" s="37">
        <v>8</v>
      </c>
      <c r="H210" s="37">
        <v>10</v>
      </c>
      <c r="I210" s="37" t="s">
        <v>8</v>
      </c>
      <c r="J210" s="37" t="s">
        <v>13</v>
      </c>
      <c r="K210" s="62">
        <f t="shared" si="3"/>
        <v>0.83333333333333337</v>
      </c>
    </row>
    <row r="211" spans="1:11" hidden="1" x14ac:dyDescent="0.35">
      <c r="A211" s="33">
        <v>20012383</v>
      </c>
      <c r="B211" s="36" t="s">
        <v>38</v>
      </c>
      <c r="C211" s="37" t="s">
        <v>86</v>
      </c>
      <c r="D211" s="38" t="s">
        <v>87</v>
      </c>
      <c r="E211" s="38" t="s">
        <v>89</v>
      </c>
      <c r="F211" s="37">
        <v>50</v>
      </c>
      <c r="G211" s="37">
        <v>20</v>
      </c>
      <c r="H211" s="37">
        <v>34</v>
      </c>
      <c r="I211" s="37" t="s">
        <v>8</v>
      </c>
      <c r="J211" s="37" t="s">
        <v>14</v>
      </c>
      <c r="K211" s="62">
        <f t="shared" si="3"/>
        <v>0.48571428571428571</v>
      </c>
    </row>
    <row r="212" spans="1:11" hidden="1" x14ac:dyDescent="0.35">
      <c r="A212" s="33">
        <v>20012391</v>
      </c>
      <c r="B212" s="36" t="s">
        <v>1273</v>
      </c>
      <c r="C212" s="37" t="s">
        <v>86</v>
      </c>
      <c r="D212" s="38" t="s">
        <v>138</v>
      </c>
      <c r="E212" s="38" t="s">
        <v>89</v>
      </c>
      <c r="F212" s="37">
        <v>4000</v>
      </c>
      <c r="G212" s="37">
        <v>6000</v>
      </c>
      <c r="H212" s="37">
        <v>7500</v>
      </c>
      <c r="I212" s="37" t="s">
        <v>8</v>
      </c>
      <c r="J212" s="37" t="s">
        <v>9</v>
      </c>
      <c r="K212" s="62">
        <f t="shared" si="3"/>
        <v>0.75</v>
      </c>
    </row>
    <row r="213" spans="1:11" hidden="1" x14ac:dyDescent="0.35">
      <c r="A213" s="33">
        <v>20013228</v>
      </c>
      <c r="B213" s="36" t="s">
        <v>201</v>
      </c>
      <c r="C213" s="37" t="s">
        <v>86</v>
      </c>
      <c r="D213" s="38" t="s">
        <v>87</v>
      </c>
      <c r="E213" s="38" t="s">
        <v>89</v>
      </c>
      <c r="F213" s="37">
        <v>1</v>
      </c>
      <c r="G213" s="37">
        <v>1</v>
      </c>
      <c r="H213" s="37">
        <v>3</v>
      </c>
      <c r="I213" s="37" t="s">
        <v>8</v>
      </c>
      <c r="J213" s="37" t="s">
        <v>14</v>
      </c>
      <c r="K213" s="62">
        <f t="shared" si="3"/>
        <v>1.5</v>
      </c>
    </row>
    <row r="214" spans="1:11" hidden="1" x14ac:dyDescent="0.35">
      <c r="A214" s="33">
        <v>20012269</v>
      </c>
      <c r="B214" s="36" t="s">
        <v>1498</v>
      </c>
      <c r="C214" s="37" t="s">
        <v>86</v>
      </c>
      <c r="D214" s="38"/>
      <c r="E214" s="38" t="s">
        <v>68</v>
      </c>
      <c r="F214" s="37">
        <v>400</v>
      </c>
      <c r="G214" s="37">
        <v>210</v>
      </c>
      <c r="H214" s="37">
        <v>200</v>
      </c>
      <c r="I214" s="37" t="s">
        <v>25</v>
      </c>
      <c r="J214" s="37" t="s">
        <v>7</v>
      </c>
      <c r="K214" s="62">
        <f t="shared" si="3"/>
        <v>0.32786885245901637</v>
      </c>
    </row>
    <row r="215" spans="1:11" hidden="1" x14ac:dyDescent="0.35">
      <c r="A215" s="33">
        <v>20013236</v>
      </c>
      <c r="B215" s="36" t="s">
        <v>202</v>
      </c>
      <c r="C215" s="37" t="s">
        <v>86</v>
      </c>
      <c r="D215" s="38" t="s">
        <v>87</v>
      </c>
      <c r="E215" s="38" t="s">
        <v>89</v>
      </c>
      <c r="F215" s="37">
        <v>10</v>
      </c>
      <c r="G215" s="37">
        <v>20</v>
      </c>
      <c r="H215" s="37">
        <v>28</v>
      </c>
      <c r="I215" s="37" t="s">
        <v>8</v>
      </c>
      <c r="J215" s="37" t="s">
        <v>7</v>
      </c>
      <c r="K215" s="62">
        <f t="shared" si="3"/>
        <v>0.93333333333333335</v>
      </c>
    </row>
    <row r="216" spans="1:11" x14ac:dyDescent="0.35">
      <c r="A216" s="33">
        <v>20013241</v>
      </c>
      <c r="B216" s="36" t="s">
        <v>203</v>
      </c>
      <c r="C216" s="37" t="s">
        <v>86</v>
      </c>
      <c r="D216" s="38" t="s">
        <v>87</v>
      </c>
      <c r="E216" s="38" t="s">
        <v>89</v>
      </c>
      <c r="F216" s="37">
        <v>2</v>
      </c>
      <c r="G216" s="37">
        <v>2</v>
      </c>
      <c r="H216" s="37">
        <v>20</v>
      </c>
      <c r="I216" s="37" t="s">
        <v>8</v>
      </c>
      <c r="J216" s="37" t="s">
        <v>14</v>
      </c>
      <c r="K216" s="62">
        <f t="shared" si="3"/>
        <v>5</v>
      </c>
    </row>
    <row r="217" spans="1:11" hidden="1" x14ac:dyDescent="0.35">
      <c r="A217" s="33">
        <v>20012285</v>
      </c>
      <c r="B217" s="36" t="s">
        <v>1383</v>
      </c>
      <c r="C217" s="37" t="s">
        <v>86</v>
      </c>
      <c r="D217" s="38"/>
      <c r="E217" s="38" t="s">
        <v>68</v>
      </c>
      <c r="F217" s="37">
        <v>20</v>
      </c>
      <c r="G217" s="37">
        <v>50</v>
      </c>
      <c r="H217" s="37">
        <v>38</v>
      </c>
      <c r="I217" s="37" t="s">
        <v>8</v>
      </c>
      <c r="J217" s="37" t="s">
        <v>7</v>
      </c>
      <c r="K217" s="62">
        <f t="shared" si="3"/>
        <v>0.54285714285714282</v>
      </c>
    </row>
    <row r="218" spans="1:11" hidden="1" x14ac:dyDescent="0.35">
      <c r="A218" s="33">
        <v>20013400</v>
      </c>
      <c r="B218" s="36" t="s">
        <v>204</v>
      </c>
      <c r="C218" s="37" t="s">
        <v>86</v>
      </c>
      <c r="D218" s="38" t="s">
        <v>118</v>
      </c>
      <c r="E218" s="38" t="s">
        <v>89</v>
      </c>
      <c r="F218" s="37">
        <v>9</v>
      </c>
      <c r="G218" s="37">
        <v>14</v>
      </c>
      <c r="H218" s="37">
        <v>61</v>
      </c>
      <c r="I218" s="37" t="s">
        <v>8</v>
      </c>
      <c r="J218" s="37" t="s">
        <v>14</v>
      </c>
      <c r="K218" s="62">
        <f t="shared" si="3"/>
        <v>2.652173913043478</v>
      </c>
    </row>
    <row r="219" spans="1:11" hidden="1" x14ac:dyDescent="0.35">
      <c r="A219" s="33">
        <v>20013403</v>
      </c>
      <c r="B219" s="36" t="s">
        <v>205</v>
      </c>
      <c r="C219" s="37" t="s">
        <v>86</v>
      </c>
      <c r="D219" s="38" t="s">
        <v>118</v>
      </c>
      <c r="E219" s="38" t="s">
        <v>89</v>
      </c>
      <c r="F219" s="37">
        <v>9</v>
      </c>
      <c r="G219" s="37">
        <v>14</v>
      </c>
      <c r="H219" s="37">
        <v>101</v>
      </c>
      <c r="I219" s="37" t="s">
        <v>8</v>
      </c>
      <c r="J219" s="37" t="s">
        <v>14</v>
      </c>
      <c r="K219" s="62">
        <f t="shared" si="3"/>
        <v>4.3913043478260869</v>
      </c>
    </row>
    <row r="220" spans="1:11" hidden="1" x14ac:dyDescent="0.35">
      <c r="A220" s="33">
        <v>20013409</v>
      </c>
      <c r="B220" s="36" t="s">
        <v>206</v>
      </c>
      <c r="C220" s="37" t="s">
        <v>86</v>
      </c>
      <c r="D220" s="38" t="s">
        <v>118</v>
      </c>
      <c r="E220" s="38" t="s">
        <v>89</v>
      </c>
      <c r="F220" s="37">
        <v>9</v>
      </c>
      <c r="G220" s="37">
        <v>10</v>
      </c>
      <c r="H220" s="37">
        <v>13</v>
      </c>
      <c r="I220" s="37" t="s">
        <v>8</v>
      </c>
      <c r="J220" s="37" t="s">
        <v>9</v>
      </c>
      <c r="K220" s="62">
        <f t="shared" si="3"/>
        <v>0.68421052631578949</v>
      </c>
    </row>
    <row r="221" spans="1:11" hidden="1" x14ac:dyDescent="0.35">
      <c r="A221" s="33">
        <v>20013415</v>
      </c>
      <c r="B221" s="36" t="s">
        <v>207</v>
      </c>
      <c r="C221" s="37" t="s">
        <v>86</v>
      </c>
      <c r="D221" s="38" t="s">
        <v>118</v>
      </c>
      <c r="E221" s="38" t="s">
        <v>89</v>
      </c>
      <c r="F221" s="37">
        <v>10</v>
      </c>
      <c r="G221" s="37">
        <v>16</v>
      </c>
      <c r="H221" s="37">
        <v>35</v>
      </c>
      <c r="I221" s="37" t="s">
        <v>8</v>
      </c>
      <c r="J221" s="37" t="s">
        <v>14</v>
      </c>
      <c r="K221" s="62">
        <f t="shared" si="3"/>
        <v>1.3461538461538463</v>
      </c>
    </row>
    <row r="222" spans="1:11" hidden="1" x14ac:dyDescent="0.35">
      <c r="A222" s="33">
        <v>20013416</v>
      </c>
      <c r="B222" s="36" t="s">
        <v>208</v>
      </c>
      <c r="C222" s="37" t="s">
        <v>86</v>
      </c>
      <c r="D222" s="38" t="s">
        <v>118</v>
      </c>
      <c r="E222" s="38" t="s">
        <v>89</v>
      </c>
      <c r="F222" s="37">
        <v>13</v>
      </c>
      <c r="G222" s="37">
        <v>21</v>
      </c>
      <c r="H222" s="37">
        <v>58</v>
      </c>
      <c r="I222" s="37" t="s">
        <v>25</v>
      </c>
      <c r="J222" s="37" t="s">
        <v>14</v>
      </c>
      <c r="K222" s="62">
        <f t="shared" si="3"/>
        <v>1.7058823529411764</v>
      </c>
    </row>
    <row r="223" spans="1:11" hidden="1" x14ac:dyDescent="0.35">
      <c r="A223" s="33">
        <v>20012350</v>
      </c>
      <c r="B223" s="36" t="s">
        <v>1499</v>
      </c>
      <c r="C223" s="37" t="s">
        <v>86</v>
      </c>
      <c r="D223" s="38"/>
      <c r="E223" s="38" t="s">
        <v>68</v>
      </c>
      <c r="F223" s="37">
        <v>4</v>
      </c>
      <c r="G223" s="37">
        <v>2</v>
      </c>
      <c r="H223" s="37">
        <v>4</v>
      </c>
      <c r="I223" s="37" t="s">
        <v>8</v>
      </c>
      <c r="J223" s="37" t="s">
        <v>7</v>
      </c>
      <c r="K223" s="62">
        <f t="shared" si="3"/>
        <v>0.66666666666666663</v>
      </c>
    </row>
    <row r="224" spans="1:11" hidden="1" x14ac:dyDescent="0.35">
      <c r="A224" s="33">
        <v>20013417</v>
      </c>
      <c r="B224" s="36" t="s">
        <v>209</v>
      </c>
      <c r="C224" s="37" t="s">
        <v>86</v>
      </c>
      <c r="D224" s="38" t="s">
        <v>118</v>
      </c>
      <c r="E224" s="38" t="s">
        <v>89</v>
      </c>
      <c r="F224" s="37">
        <v>16</v>
      </c>
      <c r="G224" s="37">
        <v>26</v>
      </c>
      <c r="H224" s="37">
        <v>25</v>
      </c>
      <c r="I224" s="37" t="s">
        <v>25</v>
      </c>
      <c r="J224" s="37" t="s">
        <v>7</v>
      </c>
      <c r="K224" s="62">
        <f t="shared" si="3"/>
        <v>0.59523809523809523</v>
      </c>
    </row>
    <row r="225" spans="1:11" hidden="1" x14ac:dyDescent="0.35">
      <c r="A225" s="33">
        <v>20013418</v>
      </c>
      <c r="B225" s="36" t="s">
        <v>210</v>
      </c>
      <c r="C225" s="37" t="s">
        <v>86</v>
      </c>
      <c r="D225" s="38" t="s">
        <v>118</v>
      </c>
      <c r="E225" s="38" t="s">
        <v>89</v>
      </c>
      <c r="F225" s="37">
        <v>10</v>
      </c>
      <c r="G225" s="37">
        <v>16</v>
      </c>
      <c r="H225" s="37">
        <v>0</v>
      </c>
      <c r="I225" s="37" t="s">
        <v>25</v>
      </c>
      <c r="J225" s="37" t="s">
        <v>13</v>
      </c>
      <c r="K225" s="62">
        <f t="shared" si="3"/>
        <v>0</v>
      </c>
    </row>
    <row r="226" spans="1:11" hidden="1" x14ac:dyDescent="0.35">
      <c r="A226" s="33">
        <v>20012364</v>
      </c>
      <c r="B226" s="36" t="s">
        <v>1472</v>
      </c>
      <c r="C226" s="37" t="s">
        <v>86</v>
      </c>
      <c r="D226" s="38"/>
      <c r="E226" s="38" t="s">
        <v>68</v>
      </c>
      <c r="F226" s="37">
        <v>150</v>
      </c>
      <c r="G226" s="37">
        <v>100</v>
      </c>
      <c r="H226" s="37">
        <v>228</v>
      </c>
      <c r="I226" s="37" t="s">
        <v>8</v>
      </c>
      <c r="J226" s="37" t="s">
        <v>9</v>
      </c>
      <c r="K226" s="62">
        <f t="shared" si="3"/>
        <v>0.91200000000000003</v>
      </c>
    </row>
    <row r="227" spans="1:11" hidden="1" x14ac:dyDescent="0.35">
      <c r="A227" s="33">
        <v>20012365</v>
      </c>
      <c r="B227" s="36" t="s">
        <v>1500</v>
      </c>
      <c r="C227" s="37" t="s">
        <v>86</v>
      </c>
      <c r="D227" s="38"/>
      <c r="E227" s="38" t="s">
        <v>68</v>
      </c>
      <c r="F227" s="37">
        <v>200</v>
      </c>
      <c r="G227" s="37">
        <v>100</v>
      </c>
      <c r="H227" s="37">
        <v>295</v>
      </c>
      <c r="I227" s="37" t="s">
        <v>8</v>
      </c>
      <c r="J227" s="37" t="s">
        <v>7</v>
      </c>
      <c r="K227" s="62">
        <f t="shared" si="3"/>
        <v>0.98333333333333328</v>
      </c>
    </row>
    <row r="228" spans="1:11" x14ac:dyDescent="0.35">
      <c r="A228" s="33">
        <v>20013419</v>
      </c>
      <c r="B228" s="36" t="s">
        <v>211</v>
      </c>
      <c r="C228" s="37" t="s">
        <v>86</v>
      </c>
      <c r="D228" s="38" t="s">
        <v>87</v>
      </c>
      <c r="E228" s="38" t="s">
        <v>89</v>
      </c>
      <c r="F228" s="37">
        <v>17</v>
      </c>
      <c r="G228" s="37">
        <v>28</v>
      </c>
      <c r="H228" s="37">
        <v>240</v>
      </c>
      <c r="I228" s="37" t="s">
        <v>8</v>
      </c>
      <c r="J228" s="37" t="s">
        <v>14</v>
      </c>
      <c r="K228" s="62">
        <f t="shared" si="3"/>
        <v>5.333333333333333</v>
      </c>
    </row>
    <row r="229" spans="1:11" hidden="1" x14ac:dyDescent="0.35">
      <c r="A229" s="33">
        <v>20012367</v>
      </c>
      <c r="B229" s="36" t="s">
        <v>1501</v>
      </c>
      <c r="C229" s="37" t="s">
        <v>86</v>
      </c>
      <c r="D229" s="38"/>
      <c r="E229" s="38" t="s">
        <v>68</v>
      </c>
      <c r="F229" s="37">
        <v>6</v>
      </c>
      <c r="G229" s="37">
        <v>3</v>
      </c>
      <c r="H229" s="37">
        <v>3</v>
      </c>
      <c r="I229" s="37" t="s">
        <v>8</v>
      </c>
      <c r="J229" s="37" t="s">
        <v>9</v>
      </c>
      <c r="K229" s="62">
        <f t="shared" si="3"/>
        <v>0.33333333333333331</v>
      </c>
    </row>
    <row r="230" spans="1:11" x14ac:dyDescent="0.35">
      <c r="A230" s="33">
        <v>20013420</v>
      </c>
      <c r="B230" s="36" t="s">
        <v>212</v>
      </c>
      <c r="C230" s="37" t="s">
        <v>86</v>
      </c>
      <c r="D230" s="38" t="s">
        <v>87</v>
      </c>
      <c r="E230" s="38" t="s">
        <v>89</v>
      </c>
      <c r="F230" s="37">
        <v>43</v>
      </c>
      <c r="G230" s="37">
        <v>71</v>
      </c>
      <c r="H230" s="37">
        <v>1314</v>
      </c>
      <c r="I230" s="37" t="s">
        <v>8</v>
      </c>
      <c r="J230" s="37" t="s">
        <v>14</v>
      </c>
      <c r="K230" s="62">
        <f t="shared" si="3"/>
        <v>11.526315789473685</v>
      </c>
    </row>
    <row r="231" spans="1:11" hidden="1" x14ac:dyDescent="0.35">
      <c r="A231" s="33">
        <v>20012378</v>
      </c>
      <c r="B231" s="36" t="s">
        <v>1299</v>
      </c>
      <c r="C231" s="37" t="s">
        <v>86</v>
      </c>
      <c r="D231" s="38"/>
      <c r="E231" s="38" t="s">
        <v>68</v>
      </c>
      <c r="F231" s="37">
        <v>2</v>
      </c>
      <c r="G231" s="37">
        <v>4</v>
      </c>
      <c r="H231" s="37">
        <v>6</v>
      </c>
      <c r="I231" s="37" t="s">
        <v>8</v>
      </c>
      <c r="J231" s="37" t="s">
        <v>7</v>
      </c>
      <c r="K231" s="62">
        <f t="shared" si="3"/>
        <v>1</v>
      </c>
    </row>
    <row r="232" spans="1:11" hidden="1" x14ac:dyDescent="0.35">
      <c r="A232" s="33">
        <v>20012380</v>
      </c>
      <c r="B232" s="36" t="s">
        <v>1410</v>
      </c>
      <c r="C232" s="37" t="s">
        <v>86</v>
      </c>
      <c r="D232" s="38"/>
      <c r="E232" s="38" t="s">
        <v>68</v>
      </c>
      <c r="F232" s="37">
        <v>2</v>
      </c>
      <c r="G232" s="37">
        <v>4</v>
      </c>
      <c r="H232" s="37">
        <v>5</v>
      </c>
      <c r="I232" s="37" t="s">
        <v>8</v>
      </c>
      <c r="J232" s="37" t="s">
        <v>7</v>
      </c>
      <c r="K232" s="62">
        <f t="shared" si="3"/>
        <v>0.83333333333333337</v>
      </c>
    </row>
    <row r="233" spans="1:11" x14ac:dyDescent="0.35">
      <c r="A233" s="33">
        <v>20013627</v>
      </c>
      <c r="B233" s="36" t="s">
        <v>213</v>
      </c>
      <c r="C233" s="37" t="s">
        <v>86</v>
      </c>
      <c r="D233" s="38" t="s">
        <v>118</v>
      </c>
      <c r="E233" s="38" t="s">
        <v>89</v>
      </c>
      <c r="F233" s="37">
        <v>1</v>
      </c>
      <c r="G233" s="37">
        <v>1</v>
      </c>
      <c r="H233" s="37">
        <v>22</v>
      </c>
      <c r="I233" s="37" t="s">
        <v>8</v>
      </c>
      <c r="J233" s="37" t="s">
        <v>14</v>
      </c>
      <c r="K233" s="62">
        <f t="shared" si="3"/>
        <v>11</v>
      </c>
    </row>
    <row r="234" spans="1:11" x14ac:dyDescent="0.35">
      <c r="A234" s="33">
        <v>20013629</v>
      </c>
      <c r="B234" s="36" t="s">
        <v>214</v>
      </c>
      <c r="C234" s="37" t="s">
        <v>86</v>
      </c>
      <c r="D234" s="38" t="s">
        <v>118</v>
      </c>
      <c r="E234" s="38" t="s">
        <v>89</v>
      </c>
      <c r="F234" s="37">
        <v>1</v>
      </c>
      <c r="G234" s="37">
        <v>1</v>
      </c>
      <c r="H234" s="37">
        <v>48</v>
      </c>
      <c r="I234" s="37" t="s">
        <v>8</v>
      </c>
      <c r="J234" s="37" t="s">
        <v>14</v>
      </c>
      <c r="K234" s="62">
        <f t="shared" si="3"/>
        <v>24</v>
      </c>
    </row>
    <row r="235" spans="1:11" hidden="1" x14ac:dyDescent="0.35">
      <c r="A235" s="33">
        <v>20012425</v>
      </c>
      <c r="B235" s="36" t="s">
        <v>1344</v>
      </c>
      <c r="C235" s="37" t="s">
        <v>86</v>
      </c>
      <c r="D235" s="38"/>
      <c r="E235" s="38" t="s">
        <v>68</v>
      </c>
      <c r="F235" s="37">
        <v>6</v>
      </c>
      <c r="G235" s="37">
        <v>6</v>
      </c>
      <c r="H235" s="37">
        <v>6</v>
      </c>
      <c r="I235" s="37" t="s">
        <v>8</v>
      </c>
      <c r="J235" s="37" t="s">
        <v>7</v>
      </c>
      <c r="K235" s="62">
        <f t="shared" si="3"/>
        <v>0.5</v>
      </c>
    </row>
    <row r="236" spans="1:11" x14ac:dyDescent="0.35">
      <c r="A236" s="33">
        <v>20013634</v>
      </c>
      <c r="B236" s="36" t="s">
        <v>1336</v>
      </c>
      <c r="C236" s="37" t="s">
        <v>86</v>
      </c>
      <c r="D236" s="38" t="s">
        <v>118</v>
      </c>
      <c r="E236" s="38" t="s">
        <v>89</v>
      </c>
      <c r="F236" s="37">
        <v>1</v>
      </c>
      <c r="G236" s="37">
        <v>1</v>
      </c>
      <c r="H236" s="37">
        <v>17</v>
      </c>
      <c r="I236" s="37" t="s">
        <v>8</v>
      </c>
      <c r="J236" s="37" t="s">
        <v>14</v>
      </c>
      <c r="K236" s="62">
        <f t="shared" si="3"/>
        <v>8.5</v>
      </c>
    </row>
    <row r="237" spans="1:11" hidden="1" x14ac:dyDescent="0.35">
      <c r="A237" s="33">
        <v>20012429</v>
      </c>
      <c r="B237" s="36" t="s">
        <v>1345</v>
      </c>
      <c r="C237" s="37" t="s">
        <v>86</v>
      </c>
      <c r="D237" s="38"/>
      <c r="E237" s="38" t="s">
        <v>68</v>
      </c>
      <c r="F237" s="37">
        <v>6</v>
      </c>
      <c r="G237" s="37">
        <v>6</v>
      </c>
      <c r="H237" s="37">
        <v>10</v>
      </c>
      <c r="I237" s="37" t="s">
        <v>8</v>
      </c>
      <c r="J237" s="37" t="s">
        <v>7</v>
      </c>
      <c r="K237" s="62">
        <f t="shared" si="3"/>
        <v>0.83333333333333337</v>
      </c>
    </row>
    <row r="238" spans="1:11" hidden="1" x14ac:dyDescent="0.35">
      <c r="A238" s="33">
        <v>20013808</v>
      </c>
      <c r="B238" s="36" t="s">
        <v>215</v>
      </c>
      <c r="C238" s="37" t="s">
        <v>86</v>
      </c>
      <c r="D238" s="38" t="s">
        <v>87</v>
      </c>
      <c r="E238" s="38" t="s">
        <v>89</v>
      </c>
      <c r="F238" s="37">
        <v>7</v>
      </c>
      <c r="G238" s="60">
        <v>11</v>
      </c>
      <c r="H238" s="37">
        <v>44</v>
      </c>
      <c r="I238" s="37" t="s">
        <v>8</v>
      </c>
      <c r="J238" s="37" t="s">
        <v>14</v>
      </c>
      <c r="K238" s="62">
        <f t="shared" si="3"/>
        <v>2.4444444444444446</v>
      </c>
    </row>
    <row r="239" spans="1:11" hidden="1" x14ac:dyDescent="0.35">
      <c r="A239" s="33">
        <v>20012432</v>
      </c>
      <c r="B239" s="36" t="s">
        <v>1346</v>
      </c>
      <c r="C239" s="37" t="s">
        <v>86</v>
      </c>
      <c r="D239" s="38"/>
      <c r="E239" s="38" t="s">
        <v>68</v>
      </c>
      <c r="F239" s="37">
        <v>6</v>
      </c>
      <c r="G239" s="37">
        <v>6</v>
      </c>
      <c r="H239" s="37">
        <v>9</v>
      </c>
      <c r="I239" s="37" t="s">
        <v>8</v>
      </c>
      <c r="J239" s="37" t="s">
        <v>7</v>
      </c>
      <c r="K239" s="62">
        <f t="shared" si="3"/>
        <v>0.75</v>
      </c>
    </row>
    <row r="240" spans="1:11" hidden="1" x14ac:dyDescent="0.35">
      <c r="A240" s="33">
        <v>20012614</v>
      </c>
      <c r="B240" s="36" t="s">
        <v>1107</v>
      </c>
      <c r="C240" s="37" t="s">
        <v>86</v>
      </c>
      <c r="D240" s="38"/>
      <c r="E240" s="38" t="s">
        <v>68</v>
      </c>
      <c r="F240" s="37">
        <v>30</v>
      </c>
      <c r="G240" s="37">
        <v>60</v>
      </c>
      <c r="H240" s="37">
        <v>46</v>
      </c>
      <c r="I240" s="37" t="s">
        <v>8</v>
      </c>
      <c r="J240" s="37" t="s">
        <v>7</v>
      </c>
      <c r="K240" s="62">
        <f t="shared" si="3"/>
        <v>0.51111111111111107</v>
      </c>
    </row>
    <row r="241" spans="1:11" hidden="1" x14ac:dyDescent="0.35">
      <c r="A241" s="33">
        <v>20019882</v>
      </c>
      <c r="B241" s="36" t="s">
        <v>216</v>
      </c>
      <c r="C241" s="37" t="s">
        <v>86</v>
      </c>
      <c r="D241" s="38" t="s">
        <v>91</v>
      </c>
      <c r="E241" s="38" t="s">
        <v>89</v>
      </c>
      <c r="F241" s="37">
        <v>10</v>
      </c>
      <c r="G241" s="37">
        <v>20</v>
      </c>
      <c r="H241" s="37">
        <v>30</v>
      </c>
      <c r="I241" s="37" t="s">
        <v>8</v>
      </c>
      <c r="J241" s="37" t="s">
        <v>7</v>
      </c>
      <c r="K241" s="62">
        <f t="shared" si="3"/>
        <v>1</v>
      </c>
    </row>
    <row r="242" spans="1:11" hidden="1" x14ac:dyDescent="0.35">
      <c r="A242" s="33">
        <v>20013235</v>
      </c>
      <c r="B242" s="36" t="s">
        <v>1300</v>
      </c>
      <c r="C242" s="37" t="s">
        <v>86</v>
      </c>
      <c r="D242" s="38"/>
      <c r="E242" s="38" t="s">
        <v>68</v>
      </c>
      <c r="F242" s="37">
        <v>10</v>
      </c>
      <c r="G242" s="37">
        <v>20</v>
      </c>
      <c r="H242" s="37">
        <v>13</v>
      </c>
      <c r="I242" s="37" t="s">
        <v>8</v>
      </c>
      <c r="J242" s="37" t="s">
        <v>7</v>
      </c>
      <c r="K242" s="62">
        <f t="shared" si="3"/>
        <v>0.43333333333333335</v>
      </c>
    </row>
    <row r="243" spans="1:11" hidden="1" x14ac:dyDescent="0.35">
      <c r="A243" s="33">
        <v>20013809</v>
      </c>
      <c r="B243" s="36" t="s">
        <v>217</v>
      </c>
      <c r="C243" s="37" t="s">
        <v>86</v>
      </c>
      <c r="D243" s="38" t="s">
        <v>87</v>
      </c>
      <c r="E243" s="38" t="s">
        <v>89</v>
      </c>
      <c r="F243" s="37">
        <v>10</v>
      </c>
      <c r="G243" s="37">
        <v>15</v>
      </c>
      <c r="H243" s="37">
        <v>19</v>
      </c>
      <c r="I243" s="37" t="s">
        <v>8</v>
      </c>
      <c r="J243" s="37" t="s">
        <v>7</v>
      </c>
      <c r="K243" s="62">
        <f t="shared" si="3"/>
        <v>0.76</v>
      </c>
    </row>
    <row r="244" spans="1:11" hidden="1" x14ac:dyDescent="0.35">
      <c r="A244" s="33">
        <v>20019683</v>
      </c>
      <c r="B244" s="36" t="s">
        <v>218</v>
      </c>
      <c r="C244" s="37" t="s">
        <v>86</v>
      </c>
      <c r="D244" s="38" t="s">
        <v>118</v>
      </c>
      <c r="E244" s="38" t="s">
        <v>89</v>
      </c>
      <c r="F244" s="37">
        <v>1</v>
      </c>
      <c r="G244" s="37">
        <v>1</v>
      </c>
      <c r="H244" s="37">
        <v>2</v>
      </c>
      <c r="I244" s="37" t="s">
        <v>8</v>
      </c>
      <c r="J244" s="37" t="s">
        <v>7</v>
      </c>
      <c r="K244" s="62">
        <f t="shared" si="3"/>
        <v>1</v>
      </c>
    </row>
    <row r="245" spans="1:11" hidden="1" x14ac:dyDescent="0.35">
      <c r="A245" s="33">
        <v>20013237</v>
      </c>
      <c r="B245" s="36" t="s">
        <v>1326</v>
      </c>
      <c r="C245" s="37" t="s">
        <v>86</v>
      </c>
      <c r="D245" s="38"/>
      <c r="E245" s="38" t="s">
        <v>68</v>
      </c>
      <c r="F245" s="37">
        <v>30</v>
      </c>
      <c r="G245" s="37">
        <v>30</v>
      </c>
      <c r="H245" s="37">
        <v>47</v>
      </c>
      <c r="I245" s="37" t="s">
        <v>8</v>
      </c>
      <c r="J245" s="37" t="s">
        <v>9</v>
      </c>
      <c r="K245" s="62">
        <f t="shared" si="3"/>
        <v>0.78333333333333333</v>
      </c>
    </row>
    <row r="246" spans="1:11" hidden="1" x14ac:dyDescent="0.35">
      <c r="A246" s="33">
        <v>20013810</v>
      </c>
      <c r="B246" s="36" t="s">
        <v>219</v>
      </c>
      <c r="C246" s="37" t="s">
        <v>86</v>
      </c>
      <c r="D246" s="38" t="s">
        <v>87</v>
      </c>
      <c r="E246" s="38" t="s">
        <v>89</v>
      </c>
      <c r="F246" s="37">
        <v>7</v>
      </c>
      <c r="G246" s="37">
        <v>11</v>
      </c>
      <c r="H246" s="37">
        <v>15</v>
      </c>
      <c r="I246" s="37" t="s">
        <v>8</v>
      </c>
      <c r="J246" s="37" t="s">
        <v>7</v>
      </c>
      <c r="K246" s="62">
        <f t="shared" si="3"/>
        <v>0.83333333333333337</v>
      </c>
    </row>
    <row r="247" spans="1:11" hidden="1" x14ac:dyDescent="0.35">
      <c r="A247" s="33">
        <v>20013238</v>
      </c>
      <c r="B247" s="36" t="s">
        <v>1301</v>
      </c>
      <c r="C247" s="37" t="s">
        <v>86</v>
      </c>
      <c r="D247" s="38"/>
      <c r="E247" s="38" t="s">
        <v>68</v>
      </c>
      <c r="F247" s="37">
        <v>10</v>
      </c>
      <c r="G247" s="37">
        <v>20</v>
      </c>
      <c r="H247" s="37">
        <v>29</v>
      </c>
      <c r="I247" s="37" t="s">
        <v>8</v>
      </c>
      <c r="J247" s="37" t="s">
        <v>7</v>
      </c>
      <c r="K247" s="62">
        <f t="shared" si="3"/>
        <v>0.96666666666666667</v>
      </c>
    </row>
    <row r="248" spans="1:11" hidden="1" x14ac:dyDescent="0.35">
      <c r="A248" s="33">
        <v>20014010</v>
      </c>
      <c r="B248" s="36" t="s">
        <v>220</v>
      </c>
      <c r="C248" s="37" t="s">
        <v>86</v>
      </c>
      <c r="D248" s="38" t="s">
        <v>115</v>
      </c>
      <c r="E248" s="38" t="s">
        <v>89</v>
      </c>
      <c r="F248" s="37">
        <v>4</v>
      </c>
      <c r="G248" s="37">
        <v>4</v>
      </c>
      <c r="H248" s="37">
        <v>6</v>
      </c>
      <c r="I248" s="37" t="s">
        <v>8</v>
      </c>
      <c r="J248" s="37" t="s">
        <v>7</v>
      </c>
      <c r="K248" s="62">
        <f t="shared" si="3"/>
        <v>0.75</v>
      </c>
    </row>
    <row r="249" spans="1:11" hidden="1" x14ac:dyDescent="0.35">
      <c r="A249" s="33">
        <v>20014012</v>
      </c>
      <c r="B249" s="36" t="s">
        <v>221</v>
      </c>
      <c r="C249" s="37" t="s">
        <v>86</v>
      </c>
      <c r="D249" s="38" t="s">
        <v>222</v>
      </c>
      <c r="E249" s="38" t="s">
        <v>89</v>
      </c>
      <c r="F249" s="37">
        <v>10</v>
      </c>
      <c r="G249" s="37">
        <v>15</v>
      </c>
      <c r="H249" s="37">
        <v>6</v>
      </c>
      <c r="I249" s="37" t="s">
        <v>8</v>
      </c>
      <c r="J249" s="37" t="s">
        <v>9</v>
      </c>
      <c r="K249" s="62">
        <f t="shared" si="3"/>
        <v>0.24</v>
      </c>
    </row>
    <row r="250" spans="1:11" hidden="1" x14ac:dyDescent="0.35">
      <c r="A250" s="33">
        <v>20014203</v>
      </c>
      <c r="B250" s="36" t="s">
        <v>224</v>
      </c>
      <c r="C250" s="37" t="s">
        <v>86</v>
      </c>
      <c r="D250" s="38" t="s">
        <v>118</v>
      </c>
      <c r="E250" s="38" t="s">
        <v>89</v>
      </c>
      <c r="F250" s="37">
        <v>2</v>
      </c>
      <c r="G250" s="37">
        <v>3</v>
      </c>
      <c r="H250" s="37">
        <v>4</v>
      </c>
      <c r="I250" s="37" t="s">
        <v>8</v>
      </c>
      <c r="J250" s="37" t="s">
        <v>7</v>
      </c>
      <c r="K250" s="62">
        <f t="shared" si="3"/>
        <v>0.8</v>
      </c>
    </row>
    <row r="251" spans="1:11" hidden="1" x14ac:dyDescent="0.35">
      <c r="A251" s="33">
        <v>20014648</v>
      </c>
      <c r="B251" s="36" t="s">
        <v>225</v>
      </c>
      <c r="C251" s="37" t="s">
        <v>86</v>
      </c>
      <c r="D251" s="38" t="s">
        <v>129</v>
      </c>
      <c r="E251" s="38" t="s">
        <v>89</v>
      </c>
      <c r="F251" s="37">
        <v>750</v>
      </c>
      <c r="G251" s="37">
        <v>1250</v>
      </c>
      <c r="H251" s="37">
        <v>4000</v>
      </c>
      <c r="I251" s="37" t="s">
        <v>23</v>
      </c>
      <c r="J251" s="37" t="s">
        <v>14</v>
      </c>
      <c r="K251" s="62">
        <f t="shared" si="3"/>
        <v>2</v>
      </c>
    </row>
    <row r="252" spans="1:11" hidden="1" x14ac:dyDescent="0.35">
      <c r="A252" s="33">
        <v>20014649</v>
      </c>
      <c r="B252" s="36" t="s">
        <v>226</v>
      </c>
      <c r="C252" s="37" t="s">
        <v>86</v>
      </c>
      <c r="D252" s="38" t="s">
        <v>129</v>
      </c>
      <c r="E252" s="38" t="s">
        <v>89</v>
      </c>
      <c r="F252" s="37">
        <v>731</v>
      </c>
      <c r="G252" s="37">
        <v>1219</v>
      </c>
      <c r="H252" s="37">
        <v>750</v>
      </c>
      <c r="I252" s="37" t="s">
        <v>23</v>
      </c>
      <c r="J252" s="37" t="s">
        <v>7</v>
      </c>
      <c r="K252" s="62">
        <f t="shared" si="3"/>
        <v>0.38461538461538464</v>
      </c>
    </row>
    <row r="253" spans="1:11" hidden="1" x14ac:dyDescent="0.35">
      <c r="A253" s="33">
        <v>20014672</v>
      </c>
      <c r="B253" s="36" t="s">
        <v>227</v>
      </c>
      <c r="C253" s="37" t="s">
        <v>86</v>
      </c>
      <c r="D253" s="38" t="s">
        <v>87</v>
      </c>
      <c r="E253" s="38" t="s">
        <v>89</v>
      </c>
      <c r="F253" s="37">
        <v>2</v>
      </c>
      <c r="G253" s="37">
        <v>2</v>
      </c>
      <c r="H253" s="37">
        <v>4</v>
      </c>
      <c r="I253" s="37" t="s">
        <v>8</v>
      </c>
      <c r="J253" s="37" t="s">
        <v>7</v>
      </c>
      <c r="K253" s="62">
        <f t="shared" si="3"/>
        <v>1</v>
      </c>
    </row>
    <row r="254" spans="1:11" hidden="1" x14ac:dyDescent="0.35">
      <c r="A254" s="33">
        <v>20014673</v>
      </c>
      <c r="B254" s="36" t="s">
        <v>228</v>
      </c>
      <c r="C254" s="37" t="s">
        <v>86</v>
      </c>
      <c r="D254" s="38" t="s">
        <v>87</v>
      </c>
      <c r="E254" s="38" t="s">
        <v>89</v>
      </c>
      <c r="F254" s="37">
        <v>1</v>
      </c>
      <c r="G254" s="37">
        <v>1</v>
      </c>
      <c r="H254" s="37">
        <v>1</v>
      </c>
      <c r="I254" s="37" t="s">
        <v>8</v>
      </c>
      <c r="J254" s="37" t="s">
        <v>7</v>
      </c>
      <c r="K254" s="62">
        <f t="shared" si="3"/>
        <v>0.5</v>
      </c>
    </row>
    <row r="255" spans="1:11" hidden="1" x14ac:dyDescent="0.35">
      <c r="A255" s="33">
        <v>20014687</v>
      </c>
      <c r="B255" s="36" t="s">
        <v>229</v>
      </c>
      <c r="C255" s="37" t="s">
        <v>86</v>
      </c>
      <c r="D255" s="38"/>
      <c r="E255" s="38" t="s">
        <v>89</v>
      </c>
      <c r="F255" s="37">
        <v>2</v>
      </c>
      <c r="G255" s="37">
        <v>2</v>
      </c>
      <c r="H255" s="37">
        <v>10</v>
      </c>
      <c r="I255" s="37" t="s">
        <v>8</v>
      </c>
      <c r="J255" s="37" t="s">
        <v>14</v>
      </c>
      <c r="K255" s="62">
        <f t="shared" si="3"/>
        <v>2.5</v>
      </c>
    </row>
    <row r="256" spans="1:11" hidden="1" x14ac:dyDescent="0.35">
      <c r="A256" s="33">
        <v>20014748</v>
      </c>
      <c r="B256" s="36" t="s">
        <v>230</v>
      </c>
      <c r="C256" s="37" t="s">
        <v>86</v>
      </c>
      <c r="D256" s="38" t="s">
        <v>118</v>
      </c>
      <c r="E256" s="38" t="s">
        <v>89</v>
      </c>
      <c r="F256" s="37">
        <v>5</v>
      </c>
      <c r="G256" s="37">
        <v>8</v>
      </c>
      <c r="H256" s="37">
        <v>7</v>
      </c>
      <c r="I256" s="37" t="s">
        <v>8</v>
      </c>
      <c r="J256" s="37" t="s">
        <v>7</v>
      </c>
      <c r="K256" s="62">
        <f t="shared" si="3"/>
        <v>0.53846153846153844</v>
      </c>
    </row>
    <row r="257" spans="1:11" hidden="1" x14ac:dyDescent="0.35">
      <c r="A257" s="33">
        <v>20014754</v>
      </c>
      <c r="B257" s="36" t="s">
        <v>231</v>
      </c>
      <c r="C257" s="37" t="s">
        <v>86</v>
      </c>
      <c r="D257" s="38" t="s">
        <v>87</v>
      </c>
      <c r="E257" s="38" t="s">
        <v>89</v>
      </c>
      <c r="F257" s="37">
        <v>15</v>
      </c>
      <c r="G257" s="37">
        <v>20</v>
      </c>
      <c r="H257" s="37">
        <v>36</v>
      </c>
      <c r="I257" s="37" t="s">
        <v>8</v>
      </c>
      <c r="J257" s="37" t="s">
        <v>9</v>
      </c>
      <c r="K257" s="62">
        <f t="shared" si="3"/>
        <v>1.0285714285714285</v>
      </c>
    </row>
    <row r="258" spans="1:11" hidden="1" x14ac:dyDescent="0.35">
      <c r="A258" s="33">
        <v>20014756</v>
      </c>
      <c r="B258" s="36" t="s">
        <v>232</v>
      </c>
      <c r="C258" s="37" t="s">
        <v>86</v>
      </c>
      <c r="D258" s="38" t="s">
        <v>87</v>
      </c>
      <c r="E258" s="38" t="s">
        <v>89</v>
      </c>
      <c r="F258" s="37">
        <v>15</v>
      </c>
      <c r="G258" s="37">
        <v>30</v>
      </c>
      <c r="H258" s="37">
        <v>0</v>
      </c>
      <c r="I258" s="37" t="s">
        <v>8</v>
      </c>
      <c r="J258" s="37" t="s">
        <v>13</v>
      </c>
      <c r="K258" s="62">
        <f t="shared" si="3"/>
        <v>0</v>
      </c>
    </row>
    <row r="259" spans="1:11" hidden="1" x14ac:dyDescent="0.35">
      <c r="A259" s="33">
        <v>20013797</v>
      </c>
      <c r="B259" s="36" t="s">
        <v>1327</v>
      </c>
      <c r="C259" s="37" t="s">
        <v>86</v>
      </c>
      <c r="D259" s="38"/>
      <c r="E259" s="38" t="s">
        <v>68</v>
      </c>
      <c r="F259" s="37">
        <v>1</v>
      </c>
      <c r="G259" s="37">
        <v>2</v>
      </c>
      <c r="H259" s="37">
        <v>4</v>
      </c>
      <c r="I259" s="37" t="s">
        <v>8</v>
      </c>
      <c r="J259" s="37" t="s">
        <v>14</v>
      </c>
      <c r="K259" s="62">
        <f t="shared" si="3"/>
        <v>1.3333333333333333</v>
      </c>
    </row>
    <row r="260" spans="1:11" hidden="1" x14ac:dyDescent="0.35">
      <c r="A260" s="33">
        <v>20014757</v>
      </c>
      <c r="B260" s="36" t="s">
        <v>233</v>
      </c>
      <c r="C260" s="37" t="s">
        <v>86</v>
      </c>
      <c r="D260" s="38" t="s">
        <v>87</v>
      </c>
      <c r="E260" s="38" t="s">
        <v>89</v>
      </c>
      <c r="F260" s="37">
        <v>10</v>
      </c>
      <c r="G260" s="37">
        <v>20</v>
      </c>
      <c r="H260" s="37">
        <v>27</v>
      </c>
      <c r="I260" s="37" t="s">
        <v>8</v>
      </c>
      <c r="J260" s="37" t="s">
        <v>7</v>
      </c>
      <c r="K260" s="62">
        <f t="shared" si="3"/>
        <v>0.9</v>
      </c>
    </row>
    <row r="261" spans="1:11" hidden="1" x14ac:dyDescent="0.35">
      <c r="A261" s="33">
        <v>20013799</v>
      </c>
      <c r="B261" s="36" t="s">
        <v>1328</v>
      </c>
      <c r="C261" s="37" t="s">
        <v>86</v>
      </c>
      <c r="D261" s="38"/>
      <c r="E261" s="38" t="s">
        <v>68</v>
      </c>
      <c r="F261" s="37">
        <v>1</v>
      </c>
      <c r="G261" s="37">
        <v>2</v>
      </c>
      <c r="H261" s="37">
        <v>4</v>
      </c>
      <c r="I261" s="37" t="s">
        <v>8</v>
      </c>
      <c r="J261" s="37" t="s">
        <v>14</v>
      </c>
      <c r="K261" s="62">
        <f t="shared" si="3"/>
        <v>1.3333333333333333</v>
      </c>
    </row>
    <row r="262" spans="1:11" hidden="1" x14ac:dyDescent="0.35">
      <c r="A262" s="33">
        <v>20014897</v>
      </c>
      <c r="B262" s="36" t="s">
        <v>234</v>
      </c>
      <c r="C262" s="37" t="s">
        <v>86</v>
      </c>
      <c r="D262" s="38" t="s">
        <v>129</v>
      </c>
      <c r="E262" s="38" t="s">
        <v>89</v>
      </c>
      <c r="F262" s="37">
        <v>9</v>
      </c>
      <c r="G262" s="37">
        <v>14</v>
      </c>
      <c r="H262" s="37">
        <v>12</v>
      </c>
      <c r="I262" s="37" t="s">
        <v>10</v>
      </c>
      <c r="J262" s="37" t="s">
        <v>7</v>
      </c>
      <c r="K262" s="62">
        <f t="shared" si="3"/>
        <v>0.52173913043478259</v>
      </c>
    </row>
    <row r="263" spans="1:11" hidden="1" x14ac:dyDescent="0.35">
      <c r="A263" s="33">
        <v>20013800</v>
      </c>
      <c r="B263" s="36" t="s">
        <v>1281</v>
      </c>
      <c r="C263" s="37" t="s">
        <v>86</v>
      </c>
      <c r="D263" s="38"/>
      <c r="E263" s="38" t="s">
        <v>68</v>
      </c>
      <c r="F263" s="37">
        <v>2</v>
      </c>
      <c r="G263" s="37">
        <v>2</v>
      </c>
      <c r="H263" s="37">
        <v>5</v>
      </c>
      <c r="I263" s="37" t="s">
        <v>8</v>
      </c>
      <c r="J263" s="37" t="s">
        <v>14</v>
      </c>
      <c r="K263" s="62">
        <f t="shared" si="3"/>
        <v>1.25</v>
      </c>
    </row>
    <row r="264" spans="1:11" x14ac:dyDescent="0.35">
      <c r="A264" s="33">
        <v>20015039</v>
      </c>
      <c r="B264" s="36" t="s">
        <v>235</v>
      </c>
      <c r="C264" s="37" t="s">
        <v>86</v>
      </c>
      <c r="D264" s="38" t="s">
        <v>118</v>
      </c>
      <c r="E264" s="38" t="s">
        <v>89</v>
      </c>
      <c r="F264" s="37">
        <v>4</v>
      </c>
      <c r="G264" s="37">
        <v>6</v>
      </c>
      <c r="H264" s="37">
        <v>61</v>
      </c>
      <c r="I264" s="37" t="s">
        <v>8</v>
      </c>
      <c r="J264" s="37" t="s">
        <v>14</v>
      </c>
      <c r="K264" s="62">
        <f t="shared" si="3"/>
        <v>6.1</v>
      </c>
    </row>
    <row r="265" spans="1:11" hidden="1" x14ac:dyDescent="0.35">
      <c r="A265" s="33">
        <v>20015090</v>
      </c>
      <c r="B265" s="36" t="s">
        <v>236</v>
      </c>
      <c r="C265" s="37" t="s">
        <v>86</v>
      </c>
      <c r="D265" s="38" t="s">
        <v>115</v>
      </c>
      <c r="E265" s="38" t="s">
        <v>89</v>
      </c>
      <c r="F265" s="37">
        <v>40</v>
      </c>
      <c r="G265" s="37">
        <v>60</v>
      </c>
      <c r="H265" s="37">
        <v>41</v>
      </c>
      <c r="I265" s="37" t="s">
        <v>8</v>
      </c>
      <c r="J265" s="37" t="s">
        <v>7</v>
      </c>
      <c r="K265" s="62">
        <f t="shared" ref="K265:K328" si="4">H265/(F265+G265)</f>
        <v>0.41</v>
      </c>
    </row>
    <row r="266" spans="1:11" hidden="1" x14ac:dyDescent="0.35">
      <c r="A266" s="33">
        <v>20015158</v>
      </c>
      <c r="B266" s="36" t="s">
        <v>237</v>
      </c>
      <c r="C266" s="37" t="s">
        <v>86</v>
      </c>
      <c r="D266" s="38" t="s">
        <v>91</v>
      </c>
      <c r="E266" s="38" t="s">
        <v>89</v>
      </c>
      <c r="F266" s="37">
        <v>2001</v>
      </c>
      <c r="G266" s="37">
        <v>3000</v>
      </c>
      <c r="H266" s="37">
        <v>2800</v>
      </c>
      <c r="I266" s="37" t="s">
        <v>10</v>
      </c>
      <c r="J266" s="37" t="s">
        <v>7</v>
      </c>
      <c r="K266" s="62">
        <f t="shared" si="4"/>
        <v>0.55988802239552093</v>
      </c>
    </row>
    <row r="267" spans="1:11" hidden="1" x14ac:dyDescent="0.35">
      <c r="A267" s="33">
        <v>20015161</v>
      </c>
      <c r="B267" s="36" t="s">
        <v>238</v>
      </c>
      <c r="C267" s="37" t="s">
        <v>86</v>
      </c>
      <c r="D267" s="38" t="s">
        <v>91</v>
      </c>
      <c r="E267" s="38" t="s">
        <v>89</v>
      </c>
      <c r="F267" s="37">
        <v>1500</v>
      </c>
      <c r="G267" s="37">
        <v>2000</v>
      </c>
      <c r="H267" s="37">
        <v>1800</v>
      </c>
      <c r="I267" s="37" t="s">
        <v>10</v>
      </c>
      <c r="J267" s="37" t="s">
        <v>7</v>
      </c>
      <c r="K267" s="62">
        <f t="shared" si="4"/>
        <v>0.51428571428571423</v>
      </c>
    </row>
    <row r="268" spans="1:11" hidden="1" x14ac:dyDescent="0.35">
      <c r="A268" s="33">
        <v>20013978</v>
      </c>
      <c r="B268" s="36" t="s">
        <v>1247</v>
      </c>
      <c r="C268" s="37" t="s">
        <v>86</v>
      </c>
      <c r="D268" s="38"/>
      <c r="E268" s="38" t="s">
        <v>68</v>
      </c>
      <c r="F268" s="37">
        <v>10</v>
      </c>
      <c r="G268" s="37">
        <v>20</v>
      </c>
      <c r="H268" s="37">
        <v>10</v>
      </c>
      <c r="I268" s="37" t="s">
        <v>8</v>
      </c>
      <c r="J268" s="37" t="s">
        <v>7</v>
      </c>
      <c r="K268" s="62">
        <f t="shared" si="4"/>
        <v>0.33333333333333331</v>
      </c>
    </row>
    <row r="269" spans="1:11" hidden="1" x14ac:dyDescent="0.35">
      <c r="A269" s="33">
        <v>20015163</v>
      </c>
      <c r="B269" s="36" t="s">
        <v>239</v>
      </c>
      <c r="C269" s="37" t="s">
        <v>86</v>
      </c>
      <c r="D269" s="38" t="s">
        <v>91</v>
      </c>
      <c r="E269" s="38" t="s">
        <v>89</v>
      </c>
      <c r="F269" s="37">
        <v>1500</v>
      </c>
      <c r="G269" s="37">
        <v>2000</v>
      </c>
      <c r="H269" s="37">
        <v>1891</v>
      </c>
      <c r="I269" s="37" t="s">
        <v>10</v>
      </c>
      <c r="J269" s="37" t="s">
        <v>7</v>
      </c>
      <c r="K269" s="62">
        <f t="shared" si="4"/>
        <v>0.54028571428571426</v>
      </c>
    </row>
    <row r="270" spans="1:11" hidden="1" x14ac:dyDescent="0.35">
      <c r="A270" s="33">
        <v>20015360</v>
      </c>
      <c r="B270" s="36" t="s">
        <v>240</v>
      </c>
      <c r="C270" s="37" t="s">
        <v>86</v>
      </c>
      <c r="D270" s="38" t="s">
        <v>87</v>
      </c>
      <c r="E270" s="38" t="s">
        <v>89</v>
      </c>
      <c r="F270" s="37">
        <v>2</v>
      </c>
      <c r="G270" s="37">
        <v>3</v>
      </c>
      <c r="H270" s="37">
        <v>5</v>
      </c>
      <c r="I270" s="37" t="s">
        <v>8</v>
      </c>
      <c r="J270" s="37" t="s">
        <v>7</v>
      </c>
      <c r="K270" s="62">
        <f t="shared" si="4"/>
        <v>1</v>
      </c>
    </row>
    <row r="271" spans="1:11" hidden="1" x14ac:dyDescent="0.35">
      <c r="A271" s="33">
        <v>20015630</v>
      </c>
      <c r="B271" s="36" t="s">
        <v>241</v>
      </c>
      <c r="C271" s="37" t="s">
        <v>86</v>
      </c>
      <c r="D271" s="38" t="s">
        <v>87</v>
      </c>
      <c r="E271" s="38" t="s">
        <v>89</v>
      </c>
      <c r="F271" s="37">
        <v>5</v>
      </c>
      <c r="G271" s="37">
        <v>8</v>
      </c>
      <c r="H271" s="37">
        <v>7</v>
      </c>
      <c r="I271" s="37" t="s">
        <v>8</v>
      </c>
      <c r="J271" s="37" t="s">
        <v>7</v>
      </c>
      <c r="K271" s="62">
        <f t="shared" si="4"/>
        <v>0.53846153846153844</v>
      </c>
    </row>
    <row r="272" spans="1:11" hidden="1" x14ac:dyDescent="0.35">
      <c r="A272" s="33">
        <v>20015686</v>
      </c>
      <c r="B272" s="36" t="s">
        <v>242</v>
      </c>
      <c r="C272" s="37" t="s">
        <v>86</v>
      </c>
      <c r="D272" s="38" t="s">
        <v>87</v>
      </c>
      <c r="E272" s="38" t="s">
        <v>89</v>
      </c>
      <c r="F272" s="37">
        <v>1</v>
      </c>
      <c r="G272" s="37">
        <v>1</v>
      </c>
      <c r="H272" s="37">
        <v>8</v>
      </c>
      <c r="I272" s="37" t="s">
        <v>8</v>
      </c>
      <c r="J272" s="37" t="s">
        <v>14</v>
      </c>
      <c r="K272" s="62">
        <f t="shared" si="4"/>
        <v>4</v>
      </c>
    </row>
    <row r="273" spans="1:11" hidden="1" x14ac:dyDescent="0.35">
      <c r="A273" s="33">
        <v>20016137</v>
      </c>
      <c r="B273" s="36" t="s">
        <v>243</v>
      </c>
      <c r="C273" s="37" t="s">
        <v>86</v>
      </c>
      <c r="D273" s="38" t="s">
        <v>87</v>
      </c>
      <c r="E273" s="38" t="s">
        <v>89</v>
      </c>
      <c r="F273" s="37">
        <v>5</v>
      </c>
      <c r="G273" s="37">
        <v>15</v>
      </c>
      <c r="H273" s="37">
        <v>8</v>
      </c>
      <c r="I273" s="37" t="s">
        <v>8</v>
      </c>
      <c r="J273" s="37" t="s">
        <v>7</v>
      </c>
      <c r="K273" s="62">
        <f t="shared" si="4"/>
        <v>0.4</v>
      </c>
    </row>
    <row r="274" spans="1:11" hidden="1" x14ac:dyDescent="0.35">
      <c r="A274" s="33">
        <v>20016160</v>
      </c>
      <c r="B274" s="36" t="s">
        <v>244</v>
      </c>
      <c r="C274" s="37" t="s">
        <v>86</v>
      </c>
      <c r="D274" s="38" t="s">
        <v>87</v>
      </c>
      <c r="E274" s="38" t="s">
        <v>89</v>
      </c>
      <c r="F274" s="37">
        <v>5</v>
      </c>
      <c r="G274" s="37">
        <v>15</v>
      </c>
      <c r="H274" s="37">
        <v>23</v>
      </c>
      <c r="I274" s="37" t="s">
        <v>8</v>
      </c>
      <c r="J274" s="37" t="s">
        <v>9</v>
      </c>
      <c r="K274" s="62">
        <f t="shared" si="4"/>
        <v>1.1499999999999999</v>
      </c>
    </row>
    <row r="275" spans="1:11" x14ac:dyDescent="0.35">
      <c r="A275" s="33">
        <v>20016365</v>
      </c>
      <c r="B275" s="36" t="s">
        <v>245</v>
      </c>
      <c r="C275" s="37" t="s">
        <v>86</v>
      </c>
      <c r="D275" s="38" t="s">
        <v>87</v>
      </c>
      <c r="E275" s="38" t="s">
        <v>89</v>
      </c>
      <c r="F275" s="37">
        <v>1</v>
      </c>
      <c r="G275" s="37">
        <v>1</v>
      </c>
      <c r="H275" s="37">
        <v>33</v>
      </c>
      <c r="I275" s="37" t="s">
        <v>8</v>
      </c>
      <c r="J275" s="37" t="s">
        <v>14</v>
      </c>
      <c r="K275" s="62">
        <f t="shared" si="4"/>
        <v>16.5</v>
      </c>
    </row>
    <row r="276" spans="1:11" hidden="1" x14ac:dyDescent="0.35">
      <c r="A276" s="33">
        <v>20016711</v>
      </c>
      <c r="B276" s="36" t="s">
        <v>246</v>
      </c>
      <c r="C276" s="37" t="s">
        <v>86</v>
      </c>
      <c r="D276" s="38" t="s">
        <v>87</v>
      </c>
      <c r="E276" s="38" t="s">
        <v>89</v>
      </c>
      <c r="F276" s="37">
        <v>3</v>
      </c>
      <c r="G276" s="37">
        <v>4</v>
      </c>
      <c r="H276" s="37">
        <v>13</v>
      </c>
      <c r="I276" s="37" t="s">
        <v>8</v>
      </c>
      <c r="J276" s="37" t="s">
        <v>14</v>
      </c>
      <c r="K276" s="62">
        <f t="shared" si="4"/>
        <v>1.8571428571428572</v>
      </c>
    </row>
    <row r="277" spans="1:11" hidden="1" x14ac:dyDescent="0.35">
      <c r="A277" s="33">
        <v>20016988</v>
      </c>
      <c r="B277" s="36" t="s">
        <v>247</v>
      </c>
      <c r="C277" s="37" t="s">
        <v>86</v>
      </c>
      <c r="D277" s="38" t="s">
        <v>87</v>
      </c>
      <c r="E277" s="38" t="s">
        <v>89</v>
      </c>
      <c r="F277" s="37">
        <v>38</v>
      </c>
      <c r="G277" s="37">
        <v>30</v>
      </c>
      <c r="H277" s="37">
        <v>39</v>
      </c>
      <c r="I277" s="37" t="s">
        <v>8</v>
      </c>
      <c r="J277" s="37" t="s">
        <v>7</v>
      </c>
      <c r="K277" s="62">
        <f t="shared" si="4"/>
        <v>0.57352941176470584</v>
      </c>
    </row>
    <row r="278" spans="1:11" hidden="1" x14ac:dyDescent="0.35">
      <c r="A278" s="33">
        <v>20017073</v>
      </c>
      <c r="B278" s="36" t="s">
        <v>248</v>
      </c>
      <c r="C278" s="37" t="s">
        <v>86</v>
      </c>
      <c r="D278" s="38" t="s">
        <v>87</v>
      </c>
      <c r="E278" s="38" t="s">
        <v>89</v>
      </c>
      <c r="F278" s="37">
        <v>1</v>
      </c>
      <c r="G278" s="37">
        <v>1</v>
      </c>
      <c r="H278" s="37">
        <v>7</v>
      </c>
      <c r="I278" s="37" t="s">
        <v>8</v>
      </c>
      <c r="J278" s="37" t="s">
        <v>14</v>
      </c>
      <c r="K278" s="62">
        <f t="shared" si="4"/>
        <v>3.5</v>
      </c>
    </row>
    <row r="279" spans="1:11" x14ac:dyDescent="0.35">
      <c r="A279" s="33">
        <v>20017583</v>
      </c>
      <c r="B279" s="36" t="s">
        <v>249</v>
      </c>
      <c r="C279" s="37" t="s">
        <v>86</v>
      </c>
      <c r="D279" s="38" t="s">
        <v>87</v>
      </c>
      <c r="E279" s="38" t="s">
        <v>89</v>
      </c>
      <c r="F279" s="37">
        <v>1</v>
      </c>
      <c r="G279" s="37">
        <v>1</v>
      </c>
      <c r="H279" s="37">
        <v>113</v>
      </c>
      <c r="I279" s="37" t="s">
        <v>8</v>
      </c>
      <c r="J279" s="37" t="s">
        <v>14</v>
      </c>
      <c r="K279" s="62">
        <f t="shared" si="4"/>
        <v>56.5</v>
      </c>
    </row>
    <row r="280" spans="1:11" hidden="1" x14ac:dyDescent="0.35">
      <c r="A280" s="33">
        <v>20014821</v>
      </c>
      <c r="B280" s="36" t="s">
        <v>1329</v>
      </c>
      <c r="C280" s="37" t="s">
        <v>86</v>
      </c>
      <c r="D280" s="38"/>
      <c r="E280" s="38" t="s">
        <v>68</v>
      </c>
      <c r="F280" s="37">
        <v>1</v>
      </c>
      <c r="G280" s="37">
        <v>2</v>
      </c>
      <c r="H280" s="37">
        <v>4</v>
      </c>
      <c r="I280" s="37" t="s">
        <v>8</v>
      </c>
      <c r="J280" s="37" t="s">
        <v>14</v>
      </c>
      <c r="K280" s="62">
        <f t="shared" si="4"/>
        <v>1.3333333333333333</v>
      </c>
    </row>
    <row r="281" spans="1:11" hidden="1" x14ac:dyDescent="0.35">
      <c r="A281" s="33">
        <v>20014822</v>
      </c>
      <c r="B281" s="36" t="s">
        <v>1330</v>
      </c>
      <c r="C281" s="37" t="s">
        <v>86</v>
      </c>
      <c r="D281" s="38"/>
      <c r="E281" s="38" t="s">
        <v>68</v>
      </c>
      <c r="F281" s="37">
        <v>1</v>
      </c>
      <c r="G281" s="37">
        <v>2</v>
      </c>
      <c r="H281" s="37">
        <v>4</v>
      </c>
      <c r="I281" s="37" t="s">
        <v>8</v>
      </c>
      <c r="J281" s="37" t="s">
        <v>14</v>
      </c>
      <c r="K281" s="62">
        <f t="shared" si="4"/>
        <v>1.3333333333333333</v>
      </c>
    </row>
    <row r="282" spans="1:11" hidden="1" x14ac:dyDescent="0.35">
      <c r="A282" s="33">
        <v>20017680</v>
      </c>
      <c r="B282" s="36" t="s">
        <v>250</v>
      </c>
      <c r="C282" s="37" t="s">
        <v>86</v>
      </c>
      <c r="D282" s="38"/>
      <c r="E282" s="38" t="s">
        <v>89</v>
      </c>
      <c r="F282" s="37">
        <v>22</v>
      </c>
      <c r="G282" s="37">
        <v>36</v>
      </c>
      <c r="H282" s="37">
        <v>33</v>
      </c>
      <c r="I282" s="37" t="s">
        <v>8</v>
      </c>
      <c r="J282" s="37" t="s">
        <v>7</v>
      </c>
      <c r="K282" s="62">
        <f t="shared" si="4"/>
        <v>0.56896551724137934</v>
      </c>
    </row>
    <row r="283" spans="1:11" hidden="1" x14ac:dyDescent="0.35">
      <c r="A283" s="33">
        <v>20014827</v>
      </c>
      <c r="B283" s="36" t="s">
        <v>1282</v>
      </c>
      <c r="C283" s="37" t="s">
        <v>86</v>
      </c>
      <c r="D283" s="38"/>
      <c r="E283" s="38" t="s">
        <v>68</v>
      </c>
      <c r="F283" s="37">
        <v>2</v>
      </c>
      <c r="G283" s="37">
        <v>2</v>
      </c>
      <c r="H283" s="37">
        <v>4</v>
      </c>
      <c r="I283" s="37" t="s">
        <v>8</v>
      </c>
      <c r="J283" s="37" t="s">
        <v>7</v>
      </c>
      <c r="K283" s="62">
        <f t="shared" si="4"/>
        <v>1</v>
      </c>
    </row>
    <row r="284" spans="1:11" hidden="1" x14ac:dyDescent="0.35">
      <c r="A284" s="33">
        <v>20017799</v>
      </c>
      <c r="B284" s="36" t="s">
        <v>251</v>
      </c>
      <c r="C284" s="37" t="s">
        <v>86</v>
      </c>
      <c r="D284" s="38" t="s">
        <v>222</v>
      </c>
      <c r="E284" s="38" t="s">
        <v>89</v>
      </c>
      <c r="F284" s="37">
        <v>4</v>
      </c>
      <c r="G284" s="37">
        <v>6</v>
      </c>
      <c r="H284" s="37">
        <v>5</v>
      </c>
      <c r="I284" s="37" t="s">
        <v>8</v>
      </c>
      <c r="J284" s="37" t="s">
        <v>7</v>
      </c>
      <c r="K284" s="62">
        <f t="shared" si="4"/>
        <v>0.5</v>
      </c>
    </row>
    <row r="285" spans="1:11" hidden="1" x14ac:dyDescent="0.35">
      <c r="A285" s="33">
        <v>20014829</v>
      </c>
      <c r="B285" s="36" t="s">
        <v>362</v>
      </c>
      <c r="C285" s="37" t="s">
        <v>86</v>
      </c>
      <c r="D285" s="38"/>
      <c r="E285" s="38" t="s">
        <v>68</v>
      </c>
      <c r="F285" s="37">
        <v>3</v>
      </c>
      <c r="G285" s="37">
        <v>2</v>
      </c>
      <c r="H285" s="37">
        <v>4</v>
      </c>
      <c r="I285" s="37" t="s">
        <v>8</v>
      </c>
      <c r="J285" s="37" t="s">
        <v>7</v>
      </c>
      <c r="K285" s="62">
        <f t="shared" si="4"/>
        <v>0.8</v>
      </c>
    </row>
    <row r="286" spans="1:11" x14ac:dyDescent="0.35">
      <c r="A286" s="33">
        <v>20017867</v>
      </c>
      <c r="B286" s="36" t="s">
        <v>252</v>
      </c>
      <c r="C286" s="37" t="s">
        <v>86</v>
      </c>
      <c r="D286" s="38" t="s">
        <v>87</v>
      </c>
      <c r="E286" s="38" t="s">
        <v>89</v>
      </c>
      <c r="F286" s="37">
        <v>1</v>
      </c>
      <c r="G286" s="37">
        <v>1</v>
      </c>
      <c r="H286" s="37">
        <v>11</v>
      </c>
      <c r="I286" s="37" t="s">
        <v>8</v>
      </c>
      <c r="J286" s="37" t="s">
        <v>14</v>
      </c>
      <c r="K286" s="62">
        <f t="shared" si="4"/>
        <v>5.5</v>
      </c>
    </row>
    <row r="287" spans="1:11" x14ac:dyDescent="0.35">
      <c r="A287" s="33">
        <v>20018359</v>
      </c>
      <c r="B287" s="36" t="s">
        <v>253</v>
      </c>
      <c r="C287" s="37" t="s">
        <v>86</v>
      </c>
      <c r="D287" s="38" t="s">
        <v>118</v>
      </c>
      <c r="E287" s="38" t="s">
        <v>89</v>
      </c>
      <c r="F287" s="37">
        <v>4</v>
      </c>
      <c r="G287" s="37">
        <v>6</v>
      </c>
      <c r="H287" s="37">
        <v>81</v>
      </c>
      <c r="I287" s="37" t="s">
        <v>8</v>
      </c>
      <c r="J287" s="37" t="s">
        <v>14</v>
      </c>
      <c r="K287" s="62">
        <f t="shared" si="4"/>
        <v>8.1</v>
      </c>
    </row>
    <row r="288" spans="1:11" hidden="1" x14ac:dyDescent="0.35">
      <c r="A288" s="33">
        <v>20018461</v>
      </c>
      <c r="B288" s="36" t="s">
        <v>254</v>
      </c>
      <c r="C288" s="37" t="s">
        <v>86</v>
      </c>
      <c r="D288" s="38" t="s">
        <v>222</v>
      </c>
      <c r="E288" s="38" t="s">
        <v>89</v>
      </c>
      <c r="F288" s="37">
        <v>16</v>
      </c>
      <c r="G288" s="37">
        <v>26</v>
      </c>
      <c r="H288" s="37">
        <v>72</v>
      </c>
      <c r="I288" s="37" t="s">
        <v>8</v>
      </c>
      <c r="J288" s="37" t="s">
        <v>14</v>
      </c>
      <c r="K288" s="62">
        <f t="shared" si="4"/>
        <v>1.7142857142857142</v>
      </c>
    </row>
    <row r="289" spans="1:11" hidden="1" x14ac:dyDescent="0.35">
      <c r="A289" s="33">
        <v>20015136</v>
      </c>
      <c r="B289" s="36" t="s">
        <v>1473</v>
      </c>
      <c r="C289" s="37" t="s">
        <v>86</v>
      </c>
      <c r="D289" s="38"/>
      <c r="E289" s="38" t="s">
        <v>68</v>
      </c>
      <c r="F289" s="37">
        <v>800</v>
      </c>
      <c r="G289" s="37">
        <v>1000</v>
      </c>
      <c r="H289" s="37">
        <v>800</v>
      </c>
      <c r="I289" s="37" t="s">
        <v>10</v>
      </c>
      <c r="J289" s="37" t="s">
        <v>7</v>
      </c>
      <c r="K289" s="62">
        <f t="shared" si="4"/>
        <v>0.44444444444444442</v>
      </c>
    </row>
    <row r="290" spans="1:11" hidden="1" x14ac:dyDescent="0.35">
      <c r="A290" s="33">
        <v>20018503</v>
      </c>
      <c r="B290" s="36" t="s">
        <v>255</v>
      </c>
      <c r="C290" s="37" t="s">
        <v>86</v>
      </c>
      <c r="D290" s="38" t="s">
        <v>222</v>
      </c>
      <c r="E290" s="38" t="s">
        <v>89</v>
      </c>
      <c r="F290" s="37">
        <v>40</v>
      </c>
      <c r="G290" s="37">
        <v>60</v>
      </c>
      <c r="H290" s="37">
        <v>61</v>
      </c>
      <c r="I290" s="37" t="s">
        <v>8</v>
      </c>
      <c r="J290" s="37" t="s">
        <v>7</v>
      </c>
      <c r="K290" s="62">
        <f t="shared" si="4"/>
        <v>0.61</v>
      </c>
    </row>
    <row r="291" spans="1:11" hidden="1" x14ac:dyDescent="0.35">
      <c r="A291" s="33">
        <v>20018548</v>
      </c>
      <c r="B291" s="36" t="s">
        <v>256</v>
      </c>
      <c r="C291" s="37" t="s">
        <v>86</v>
      </c>
      <c r="D291" s="38" t="s">
        <v>87</v>
      </c>
      <c r="E291" s="38" t="s">
        <v>89</v>
      </c>
      <c r="F291" s="37">
        <v>13</v>
      </c>
      <c r="G291" s="37">
        <v>21</v>
      </c>
      <c r="H291" s="37">
        <v>16</v>
      </c>
      <c r="I291" s="37" t="s">
        <v>8</v>
      </c>
      <c r="J291" s="37" t="s">
        <v>7</v>
      </c>
      <c r="K291" s="62">
        <f t="shared" si="4"/>
        <v>0.47058823529411764</v>
      </c>
    </row>
    <row r="292" spans="1:11" hidden="1" x14ac:dyDescent="0.35">
      <c r="A292" s="33">
        <v>20019474</v>
      </c>
      <c r="B292" s="36" t="s">
        <v>257</v>
      </c>
      <c r="C292" s="37" t="s">
        <v>86</v>
      </c>
      <c r="D292" s="38"/>
      <c r="E292" s="38" t="s">
        <v>89</v>
      </c>
      <c r="F292" s="37">
        <v>2</v>
      </c>
      <c r="G292" s="37">
        <v>4</v>
      </c>
      <c r="H292" s="37">
        <v>2</v>
      </c>
      <c r="I292" s="37" t="s">
        <v>8</v>
      </c>
      <c r="J292" s="37" t="s">
        <v>7</v>
      </c>
      <c r="K292" s="62">
        <f t="shared" si="4"/>
        <v>0.33333333333333331</v>
      </c>
    </row>
    <row r="293" spans="1:11" hidden="1" x14ac:dyDescent="0.35">
      <c r="A293" s="33">
        <v>20019502</v>
      </c>
      <c r="B293" s="36" t="s">
        <v>1020</v>
      </c>
      <c r="C293" s="37" t="s">
        <v>86</v>
      </c>
      <c r="D293" s="38" t="s">
        <v>87</v>
      </c>
      <c r="E293" s="38" t="s">
        <v>102</v>
      </c>
      <c r="F293" s="37">
        <v>225</v>
      </c>
      <c r="G293" s="37">
        <v>224</v>
      </c>
      <c r="H293" s="37">
        <v>242</v>
      </c>
      <c r="I293" s="37" t="s">
        <v>8</v>
      </c>
      <c r="J293" s="37" t="s">
        <v>7</v>
      </c>
      <c r="K293" s="62">
        <f t="shared" si="4"/>
        <v>0.53897550111358572</v>
      </c>
    </row>
    <row r="294" spans="1:11" hidden="1" x14ac:dyDescent="0.35">
      <c r="A294" s="33">
        <v>20015589</v>
      </c>
      <c r="B294" s="36" t="s">
        <v>1283</v>
      </c>
      <c r="C294" s="37" t="s">
        <v>86</v>
      </c>
      <c r="D294" s="38"/>
      <c r="E294" s="38" t="s">
        <v>68</v>
      </c>
      <c r="F294" s="37">
        <v>2</v>
      </c>
      <c r="G294" s="37">
        <v>2</v>
      </c>
      <c r="H294" s="37">
        <v>4</v>
      </c>
      <c r="I294" s="37" t="s">
        <v>8</v>
      </c>
      <c r="J294" s="37" t="s">
        <v>7</v>
      </c>
      <c r="K294" s="62">
        <f t="shared" si="4"/>
        <v>1</v>
      </c>
    </row>
    <row r="295" spans="1:11" hidden="1" x14ac:dyDescent="0.35">
      <c r="A295" s="33">
        <v>20019541</v>
      </c>
      <c r="B295" s="36" t="s">
        <v>258</v>
      </c>
      <c r="C295" s="37" t="s">
        <v>86</v>
      </c>
      <c r="D295" s="38" t="s">
        <v>97</v>
      </c>
      <c r="E295" s="38" t="s">
        <v>89</v>
      </c>
      <c r="F295" s="37">
        <v>3</v>
      </c>
      <c r="G295" s="37">
        <v>5</v>
      </c>
      <c r="H295" s="37">
        <v>5</v>
      </c>
      <c r="I295" s="37" t="s">
        <v>8</v>
      </c>
      <c r="J295" s="37" t="s">
        <v>7</v>
      </c>
      <c r="K295" s="62">
        <f t="shared" si="4"/>
        <v>0.625</v>
      </c>
    </row>
    <row r="296" spans="1:11" hidden="1" x14ac:dyDescent="0.35">
      <c r="A296" s="33">
        <v>20015638</v>
      </c>
      <c r="B296" s="36" t="s">
        <v>1411</v>
      </c>
      <c r="C296" s="37" t="s">
        <v>86</v>
      </c>
      <c r="D296" s="38"/>
      <c r="E296" s="38" t="s">
        <v>68</v>
      </c>
      <c r="F296" s="37">
        <v>2</v>
      </c>
      <c r="G296" s="37">
        <v>2</v>
      </c>
      <c r="H296" s="37">
        <v>7</v>
      </c>
      <c r="I296" s="37" t="s">
        <v>8</v>
      </c>
      <c r="J296" s="37" t="s">
        <v>14</v>
      </c>
      <c r="K296" s="62">
        <f t="shared" si="4"/>
        <v>1.75</v>
      </c>
    </row>
    <row r="297" spans="1:11" hidden="1" x14ac:dyDescent="0.35">
      <c r="A297" s="33">
        <v>20019543</v>
      </c>
      <c r="B297" s="36" t="s">
        <v>259</v>
      </c>
      <c r="C297" s="37" t="s">
        <v>86</v>
      </c>
      <c r="D297" s="38" t="s">
        <v>87</v>
      </c>
      <c r="E297" s="38" t="s">
        <v>89</v>
      </c>
      <c r="F297" s="37">
        <v>2</v>
      </c>
      <c r="G297" s="37">
        <v>3</v>
      </c>
      <c r="H297" s="37">
        <v>3</v>
      </c>
      <c r="I297" s="37" t="s">
        <v>8</v>
      </c>
      <c r="J297" s="37" t="s">
        <v>7</v>
      </c>
      <c r="K297" s="62">
        <f t="shared" si="4"/>
        <v>0.6</v>
      </c>
    </row>
    <row r="298" spans="1:11" hidden="1" x14ac:dyDescent="0.35">
      <c r="A298" s="33">
        <v>20015709</v>
      </c>
      <c r="B298" s="36" t="s">
        <v>1302</v>
      </c>
      <c r="C298" s="37" t="s">
        <v>86</v>
      </c>
      <c r="D298" s="38"/>
      <c r="E298" s="38" t="s">
        <v>68</v>
      </c>
      <c r="F298" s="37">
        <v>2</v>
      </c>
      <c r="G298" s="37">
        <v>4</v>
      </c>
      <c r="H298" s="37">
        <v>4</v>
      </c>
      <c r="I298" s="37" t="s">
        <v>8</v>
      </c>
      <c r="J298" s="37" t="s">
        <v>7</v>
      </c>
      <c r="K298" s="62">
        <f t="shared" si="4"/>
        <v>0.66666666666666663</v>
      </c>
    </row>
    <row r="299" spans="1:11" hidden="1" x14ac:dyDescent="0.35">
      <c r="A299" s="33">
        <v>20019551</v>
      </c>
      <c r="B299" s="36" t="s">
        <v>260</v>
      </c>
      <c r="C299" s="37" t="s">
        <v>86</v>
      </c>
      <c r="D299" s="38" t="s">
        <v>222</v>
      </c>
      <c r="E299" s="38" t="s">
        <v>89</v>
      </c>
      <c r="F299" s="37">
        <v>6</v>
      </c>
      <c r="G299" s="37">
        <v>12</v>
      </c>
      <c r="H299" s="37">
        <v>7</v>
      </c>
      <c r="I299" s="37" t="s">
        <v>8</v>
      </c>
      <c r="J299" s="37" t="s">
        <v>7</v>
      </c>
      <c r="K299" s="62">
        <f t="shared" si="4"/>
        <v>0.3888888888888889</v>
      </c>
    </row>
    <row r="300" spans="1:11" hidden="1" x14ac:dyDescent="0.35">
      <c r="A300" s="33">
        <v>20016025</v>
      </c>
      <c r="B300" s="36" t="s">
        <v>1549</v>
      </c>
      <c r="C300" s="37" t="s">
        <v>86</v>
      </c>
      <c r="D300" s="38"/>
      <c r="E300" s="38" t="s">
        <v>68</v>
      </c>
      <c r="F300" s="37">
        <v>5</v>
      </c>
      <c r="G300" s="37">
        <v>10</v>
      </c>
      <c r="H300" s="37">
        <v>24</v>
      </c>
      <c r="I300" s="37" t="s">
        <v>8</v>
      </c>
      <c r="J300" s="37" t="s">
        <v>14</v>
      </c>
      <c r="K300" s="62">
        <f t="shared" si="4"/>
        <v>1.6</v>
      </c>
    </row>
    <row r="301" spans="1:11" hidden="1" x14ac:dyDescent="0.35">
      <c r="A301" s="33">
        <v>20019659</v>
      </c>
      <c r="B301" s="36" t="s">
        <v>261</v>
      </c>
      <c r="C301" s="37" t="s">
        <v>86</v>
      </c>
      <c r="D301" s="38" t="s">
        <v>87</v>
      </c>
      <c r="E301" s="38" t="s">
        <v>89</v>
      </c>
      <c r="F301" s="37">
        <v>11</v>
      </c>
      <c r="G301" s="37">
        <v>19</v>
      </c>
      <c r="H301" s="37">
        <v>20</v>
      </c>
      <c r="I301" s="37" t="s">
        <v>8</v>
      </c>
      <c r="J301" s="37" t="s">
        <v>7</v>
      </c>
      <c r="K301" s="62">
        <f t="shared" si="4"/>
        <v>0.66666666666666663</v>
      </c>
    </row>
    <row r="302" spans="1:11" hidden="1" x14ac:dyDescent="0.35">
      <c r="A302" s="33">
        <v>20019674</v>
      </c>
      <c r="B302" s="36" t="s">
        <v>262</v>
      </c>
      <c r="C302" s="37" t="s">
        <v>86</v>
      </c>
      <c r="D302" s="38"/>
      <c r="E302" s="38" t="s">
        <v>89</v>
      </c>
      <c r="F302" s="37">
        <v>2</v>
      </c>
      <c r="G302" s="37">
        <v>2</v>
      </c>
      <c r="H302" s="37">
        <v>7</v>
      </c>
      <c r="I302" s="37" t="s">
        <v>354</v>
      </c>
      <c r="J302" s="37" t="s">
        <v>14</v>
      </c>
      <c r="K302" s="62">
        <f t="shared" si="4"/>
        <v>1.75</v>
      </c>
    </row>
    <row r="303" spans="1:11" x14ac:dyDescent="0.35">
      <c r="A303" s="33">
        <v>20019687</v>
      </c>
      <c r="B303" s="36" t="s">
        <v>263</v>
      </c>
      <c r="C303" s="37" t="s">
        <v>86</v>
      </c>
      <c r="D303" s="38" t="s">
        <v>87</v>
      </c>
      <c r="E303" s="38" t="s">
        <v>89</v>
      </c>
      <c r="F303" s="37">
        <v>1</v>
      </c>
      <c r="G303" s="37">
        <v>1</v>
      </c>
      <c r="H303" s="37">
        <v>23</v>
      </c>
      <c r="I303" s="37" t="s">
        <v>8</v>
      </c>
      <c r="J303" s="37" t="s">
        <v>14</v>
      </c>
      <c r="K303" s="62">
        <f t="shared" si="4"/>
        <v>11.5</v>
      </c>
    </row>
    <row r="304" spans="1:11" x14ac:dyDescent="0.35">
      <c r="A304" s="33">
        <v>20019688</v>
      </c>
      <c r="B304" s="36" t="s">
        <v>264</v>
      </c>
      <c r="C304" s="37" t="s">
        <v>86</v>
      </c>
      <c r="D304" s="38" t="s">
        <v>87</v>
      </c>
      <c r="E304" s="38" t="s">
        <v>89</v>
      </c>
      <c r="F304" s="37">
        <v>3</v>
      </c>
      <c r="G304" s="37">
        <v>4</v>
      </c>
      <c r="H304" s="37">
        <v>41</v>
      </c>
      <c r="I304" s="37" t="s">
        <v>8</v>
      </c>
      <c r="J304" s="37" t="s">
        <v>14</v>
      </c>
      <c r="K304" s="62">
        <f t="shared" si="4"/>
        <v>5.8571428571428568</v>
      </c>
    </row>
    <row r="305" spans="1:11" hidden="1" x14ac:dyDescent="0.35">
      <c r="A305" s="33">
        <v>20019729</v>
      </c>
      <c r="B305" s="36" t="s">
        <v>265</v>
      </c>
      <c r="C305" s="37" t="s">
        <v>86</v>
      </c>
      <c r="D305" s="38"/>
      <c r="E305" s="38" t="s">
        <v>89</v>
      </c>
      <c r="F305" s="37">
        <v>10</v>
      </c>
      <c r="G305" s="37">
        <v>20</v>
      </c>
      <c r="H305" s="37">
        <v>26</v>
      </c>
      <c r="I305" s="37" t="s">
        <v>8</v>
      </c>
      <c r="J305" s="37" t="s">
        <v>9</v>
      </c>
      <c r="K305" s="62">
        <f t="shared" si="4"/>
        <v>0.8666666666666667</v>
      </c>
    </row>
    <row r="306" spans="1:11" hidden="1" x14ac:dyDescent="0.35">
      <c r="A306" s="33">
        <v>20016983</v>
      </c>
      <c r="B306" s="36" t="s">
        <v>1527</v>
      </c>
      <c r="C306" s="37" t="s">
        <v>86</v>
      </c>
      <c r="D306" s="38"/>
      <c r="E306" s="38" t="s">
        <v>68</v>
      </c>
      <c r="F306" s="37">
        <v>4</v>
      </c>
      <c r="G306" s="37">
        <v>3</v>
      </c>
      <c r="H306" s="37">
        <v>9</v>
      </c>
      <c r="I306" s="37" t="s">
        <v>8</v>
      </c>
      <c r="J306" s="37" t="s">
        <v>14</v>
      </c>
      <c r="K306" s="62">
        <f t="shared" si="4"/>
        <v>1.2857142857142858</v>
      </c>
    </row>
    <row r="307" spans="1:11" x14ac:dyDescent="0.35">
      <c r="A307" s="33">
        <v>20019753</v>
      </c>
      <c r="B307" s="36" t="s">
        <v>266</v>
      </c>
      <c r="C307" s="37" t="s">
        <v>86</v>
      </c>
      <c r="D307" s="38" t="s">
        <v>87</v>
      </c>
      <c r="E307" s="38" t="s">
        <v>89</v>
      </c>
      <c r="F307" s="37">
        <v>1</v>
      </c>
      <c r="G307" s="37">
        <v>1</v>
      </c>
      <c r="H307" s="37">
        <v>14</v>
      </c>
      <c r="I307" s="37" t="s">
        <v>8</v>
      </c>
      <c r="J307" s="37" t="s">
        <v>14</v>
      </c>
      <c r="K307" s="62">
        <f t="shared" si="4"/>
        <v>7</v>
      </c>
    </row>
    <row r="308" spans="1:11" hidden="1" x14ac:dyDescent="0.35">
      <c r="A308" s="33">
        <v>20019782</v>
      </c>
      <c r="B308" s="36" t="s">
        <v>267</v>
      </c>
      <c r="C308" s="37" t="s">
        <v>86</v>
      </c>
      <c r="D308" s="38" t="s">
        <v>91</v>
      </c>
      <c r="E308" s="38" t="s">
        <v>89</v>
      </c>
      <c r="F308" s="37">
        <v>10</v>
      </c>
      <c r="G308" s="37">
        <v>10</v>
      </c>
      <c r="H308" s="37">
        <v>37</v>
      </c>
      <c r="I308" s="37" t="s">
        <v>8</v>
      </c>
      <c r="J308" s="37" t="s">
        <v>14</v>
      </c>
      <c r="K308" s="62">
        <f t="shared" si="4"/>
        <v>1.85</v>
      </c>
    </row>
    <row r="309" spans="1:11" hidden="1" x14ac:dyDescent="0.35">
      <c r="A309" s="33">
        <v>20019783</v>
      </c>
      <c r="B309" s="36" t="s">
        <v>268</v>
      </c>
      <c r="C309" s="37" t="s">
        <v>86</v>
      </c>
      <c r="D309" s="38" t="s">
        <v>91</v>
      </c>
      <c r="E309" s="38" t="s">
        <v>89</v>
      </c>
      <c r="F309" s="37">
        <v>2</v>
      </c>
      <c r="G309" s="37">
        <v>3</v>
      </c>
      <c r="H309" s="37">
        <v>2</v>
      </c>
      <c r="I309" s="37" t="s">
        <v>8</v>
      </c>
      <c r="J309" s="37" t="s">
        <v>7</v>
      </c>
      <c r="K309" s="62">
        <f t="shared" si="4"/>
        <v>0.4</v>
      </c>
    </row>
    <row r="310" spans="1:11" hidden="1" x14ac:dyDescent="0.35">
      <c r="A310" s="33">
        <v>20017830</v>
      </c>
      <c r="B310" s="36" t="s">
        <v>1412</v>
      </c>
      <c r="C310" s="37" t="s">
        <v>86</v>
      </c>
      <c r="D310" s="38"/>
      <c r="E310" s="38" t="s">
        <v>68</v>
      </c>
      <c r="F310" s="37">
        <v>2</v>
      </c>
      <c r="G310" s="37">
        <v>4</v>
      </c>
      <c r="H310" s="37">
        <v>16</v>
      </c>
      <c r="I310" s="37" t="s">
        <v>8</v>
      </c>
      <c r="J310" s="37" t="s">
        <v>14</v>
      </c>
      <c r="K310" s="62">
        <f t="shared" si="4"/>
        <v>2.6666666666666665</v>
      </c>
    </row>
    <row r="311" spans="1:11" hidden="1" x14ac:dyDescent="0.35">
      <c r="A311" s="33">
        <v>20019784</v>
      </c>
      <c r="B311" s="36" t="s">
        <v>269</v>
      </c>
      <c r="C311" s="37" t="s">
        <v>86</v>
      </c>
      <c r="D311" s="38" t="s">
        <v>91</v>
      </c>
      <c r="E311" s="38" t="s">
        <v>89</v>
      </c>
      <c r="F311" s="37">
        <v>10</v>
      </c>
      <c r="G311" s="37">
        <v>10</v>
      </c>
      <c r="H311" s="37">
        <v>40</v>
      </c>
      <c r="I311" s="37" t="s">
        <v>8</v>
      </c>
      <c r="J311" s="37" t="s">
        <v>13</v>
      </c>
      <c r="K311" s="62">
        <f t="shared" si="4"/>
        <v>2</v>
      </c>
    </row>
    <row r="312" spans="1:11" hidden="1" x14ac:dyDescent="0.35">
      <c r="A312" s="33">
        <v>20018239</v>
      </c>
      <c r="B312" s="36" t="s">
        <v>1532</v>
      </c>
      <c r="C312" s="37" t="s">
        <v>86</v>
      </c>
      <c r="D312" s="38"/>
      <c r="E312" s="38" t="s">
        <v>68</v>
      </c>
      <c r="F312" s="37">
        <v>50</v>
      </c>
      <c r="G312" s="37">
        <v>20</v>
      </c>
      <c r="H312" s="37">
        <v>68</v>
      </c>
      <c r="I312" s="37" t="s">
        <v>8</v>
      </c>
      <c r="J312" s="37" t="s">
        <v>9</v>
      </c>
      <c r="K312" s="62">
        <f t="shared" si="4"/>
        <v>0.97142857142857142</v>
      </c>
    </row>
    <row r="313" spans="1:11" hidden="1" x14ac:dyDescent="0.35">
      <c r="A313" s="33">
        <v>20019785</v>
      </c>
      <c r="B313" s="36" t="s">
        <v>270</v>
      </c>
      <c r="C313" s="37" t="s">
        <v>86</v>
      </c>
      <c r="D313" s="38" t="s">
        <v>91</v>
      </c>
      <c r="E313" s="38" t="s">
        <v>89</v>
      </c>
      <c r="F313" s="37">
        <v>2</v>
      </c>
      <c r="G313" s="37">
        <v>3</v>
      </c>
      <c r="H313" s="37">
        <v>10</v>
      </c>
      <c r="I313" s="37" t="s">
        <v>8</v>
      </c>
      <c r="J313" s="37" t="s">
        <v>14</v>
      </c>
      <c r="K313" s="62">
        <f t="shared" si="4"/>
        <v>2</v>
      </c>
    </row>
    <row r="314" spans="1:11" hidden="1" x14ac:dyDescent="0.35">
      <c r="A314" s="33">
        <v>20018240</v>
      </c>
      <c r="B314" s="36" t="s">
        <v>1533</v>
      </c>
      <c r="C314" s="37" t="s">
        <v>86</v>
      </c>
      <c r="D314" s="38"/>
      <c r="E314" s="38" t="s">
        <v>68</v>
      </c>
      <c r="F314" s="37">
        <v>50</v>
      </c>
      <c r="G314" s="37">
        <v>20</v>
      </c>
      <c r="H314" s="37">
        <v>68</v>
      </c>
      <c r="I314" s="37" t="s">
        <v>8</v>
      </c>
      <c r="J314" s="37" t="s">
        <v>9</v>
      </c>
      <c r="K314" s="62">
        <f t="shared" si="4"/>
        <v>0.97142857142857142</v>
      </c>
    </row>
    <row r="315" spans="1:11" hidden="1" x14ac:dyDescent="0.35">
      <c r="A315" s="33">
        <v>20019788</v>
      </c>
      <c r="B315" s="36" t="s">
        <v>1374</v>
      </c>
      <c r="C315" s="37" t="s">
        <v>86</v>
      </c>
      <c r="D315" s="38" t="s">
        <v>118</v>
      </c>
      <c r="E315" s="38" t="s">
        <v>89</v>
      </c>
      <c r="F315" s="37">
        <v>1</v>
      </c>
      <c r="G315" s="37">
        <v>1</v>
      </c>
      <c r="H315" s="37">
        <v>0</v>
      </c>
      <c r="I315" s="37" t="s">
        <v>8</v>
      </c>
      <c r="J315" s="37" t="s">
        <v>13</v>
      </c>
      <c r="K315" s="62">
        <f t="shared" si="4"/>
        <v>0</v>
      </c>
    </row>
    <row r="316" spans="1:11" hidden="1" x14ac:dyDescent="0.35">
      <c r="A316" s="33">
        <v>20019883</v>
      </c>
      <c r="B316" s="36" t="s">
        <v>271</v>
      </c>
      <c r="C316" s="37" t="s">
        <v>86</v>
      </c>
      <c r="D316" s="38" t="s">
        <v>91</v>
      </c>
      <c r="E316" s="38" t="s">
        <v>89</v>
      </c>
      <c r="F316" s="37">
        <v>20</v>
      </c>
      <c r="G316" s="37">
        <v>30</v>
      </c>
      <c r="H316" s="37">
        <v>25</v>
      </c>
      <c r="I316" s="37" t="s">
        <v>8</v>
      </c>
      <c r="J316" s="37" t="s">
        <v>7</v>
      </c>
      <c r="K316" s="62">
        <f t="shared" si="4"/>
        <v>0.5</v>
      </c>
    </row>
    <row r="317" spans="1:11" hidden="1" x14ac:dyDescent="0.35">
      <c r="A317" s="33">
        <v>20019884</v>
      </c>
      <c r="B317" s="36" t="s">
        <v>272</v>
      </c>
      <c r="C317" s="37" t="s">
        <v>86</v>
      </c>
      <c r="D317" s="38" t="s">
        <v>91</v>
      </c>
      <c r="E317" s="38" t="s">
        <v>89</v>
      </c>
      <c r="F317" s="37">
        <v>20</v>
      </c>
      <c r="G317" s="37">
        <v>20</v>
      </c>
      <c r="H317" s="37">
        <v>45</v>
      </c>
      <c r="I317" s="37" t="s">
        <v>8</v>
      </c>
      <c r="J317" s="37" t="s">
        <v>14</v>
      </c>
      <c r="K317" s="62">
        <f t="shared" si="4"/>
        <v>1.125</v>
      </c>
    </row>
    <row r="318" spans="1:11" hidden="1" x14ac:dyDescent="0.35">
      <c r="A318" s="33">
        <v>20018777</v>
      </c>
      <c r="B318" s="36" t="s">
        <v>1384</v>
      </c>
      <c r="C318" s="37" t="s">
        <v>86</v>
      </c>
      <c r="D318" s="38"/>
      <c r="E318" s="38" t="s">
        <v>68</v>
      </c>
      <c r="F318" s="37">
        <v>20</v>
      </c>
      <c r="G318" s="37">
        <v>40</v>
      </c>
      <c r="H318" s="37">
        <v>30</v>
      </c>
      <c r="I318" s="37" t="s">
        <v>8</v>
      </c>
      <c r="J318" s="37" t="s">
        <v>7</v>
      </c>
      <c r="K318" s="62">
        <f t="shared" si="4"/>
        <v>0.5</v>
      </c>
    </row>
    <row r="319" spans="1:11" hidden="1" x14ac:dyDescent="0.35">
      <c r="A319" s="33">
        <v>20019889</v>
      </c>
      <c r="B319" s="36" t="s">
        <v>273</v>
      </c>
      <c r="C319" s="37" t="s">
        <v>86</v>
      </c>
      <c r="D319" s="38" t="s">
        <v>129</v>
      </c>
      <c r="E319" s="38" t="s">
        <v>89</v>
      </c>
      <c r="F319" s="37">
        <v>30</v>
      </c>
      <c r="G319" s="37">
        <v>30</v>
      </c>
      <c r="H319" s="37">
        <v>15</v>
      </c>
      <c r="I319" s="37" t="s">
        <v>25</v>
      </c>
      <c r="J319" s="37" t="s">
        <v>9</v>
      </c>
      <c r="K319" s="62">
        <f t="shared" si="4"/>
        <v>0.25</v>
      </c>
    </row>
    <row r="320" spans="1:11" hidden="1" x14ac:dyDescent="0.35">
      <c r="A320" s="33">
        <v>20018778</v>
      </c>
      <c r="B320" s="36" t="s">
        <v>1534</v>
      </c>
      <c r="C320" s="37" t="s">
        <v>86</v>
      </c>
      <c r="D320" s="38"/>
      <c r="E320" s="38" t="s">
        <v>68</v>
      </c>
      <c r="F320" s="37">
        <v>100</v>
      </c>
      <c r="G320" s="37">
        <v>100</v>
      </c>
      <c r="H320" s="37">
        <v>144</v>
      </c>
      <c r="I320" s="37" t="s">
        <v>8</v>
      </c>
      <c r="J320" s="37" t="s">
        <v>9</v>
      </c>
      <c r="K320" s="62">
        <f t="shared" si="4"/>
        <v>0.72</v>
      </c>
    </row>
    <row r="321" spans="1:11" hidden="1" x14ac:dyDescent="0.35">
      <c r="A321" s="33">
        <v>20018779</v>
      </c>
      <c r="B321" s="36" t="s">
        <v>1535</v>
      </c>
      <c r="C321" s="37" t="s">
        <v>86</v>
      </c>
      <c r="D321" s="38"/>
      <c r="E321" s="38" t="s">
        <v>68</v>
      </c>
      <c r="F321" s="37">
        <v>30</v>
      </c>
      <c r="G321" s="37">
        <v>20</v>
      </c>
      <c r="H321" s="37">
        <v>46</v>
      </c>
      <c r="I321" s="37" t="s">
        <v>8</v>
      </c>
      <c r="J321" s="37" t="s">
        <v>9</v>
      </c>
      <c r="K321" s="62">
        <f t="shared" si="4"/>
        <v>0.92</v>
      </c>
    </row>
    <row r="322" spans="1:11" hidden="1" x14ac:dyDescent="0.35">
      <c r="A322" s="33">
        <v>20019892</v>
      </c>
      <c r="B322" s="36" t="s">
        <v>274</v>
      </c>
      <c r="C322" s="37" t="s">
        <v>86</v>
      </c>
      <c r="D322" s="38" t="s">
        <v>129</v>
      </c>
      <c r="E322" s="38" t="s">
        <v>89</v>
      </c>
      <c r="F322" s="37">
        <v>160</v>
      </c>
      <c r="G322" s="37">
        <v>300</v>
      </c>
      <c r="H322" s="37">
        <v>100</v>
      </c>
      <c r="I322" s="37" t="s">
        <v>25</v>
      </c>
      <c r="J322" s="37" t="s">
        <v>7</v>
      </c>
      <c r="K322" s="62">
        <f t="shared" si="4"/>
        <v>0.21739130434782608</v>
      </c>
    </row>
    <row r="323" spans="1:11" hidden="1" x14ac:dyDescent="0.35">
      <c r="A323" s="33">
        <v>20019411</v>
      </c>
      <c r="B323" s="36" t="s">
        <v>1331</v>
      </c>
      <c r="C323" s="37" t="s">
        <v>86</v>
      </c>
      <c r="D323" s="38"/>
      <c r="E323" s="38" t="s">
        <v>68</v>
      </c>
      <c r="F323" s="37">
        <v>5</v>
      </c>
      <c r="G323" s="37">
        <v>10</v>
      </c>
      <c r="H323" s="37">
        <v>18</v>
      </c>
      <c r="I323" s="37" t="s">
        <v>8</v>
      </c>
      <c r="J323" s="37" t="s">
        <v>14</v>
      </c>
      <c r="K323" s="62">
        <f t="shared" si="4"/>
        <v>1.2</v>
      </c>
    </row>
    <row r="324" spans="1:11" hidden="1" x14ac:dyDescent="0.35">
      <c r="A324" s="33">
        <v>20019915</v>
      </c>
      <c r="B324" s="36" t="s">
        <v>275</v>
      </c>
      <c r="C324" s="37" t="s">
        <v>86</v>
      </c>
      <c r="D324" s="38" t="s">
        <v>87</v>
      </c>
      <c r="E324" s="38" t="s">
        <v>89</v>
      </c>
      <c r="F324" s="37">
        <v>38</v>
      </c>
      <c r="G324" s="37">
        <v>63</v>
      </c>
      <c r="H324" s="37">
        <v>59</v>
      </c>
      <c r="I324" s="37" t="s">
        <v>8</v>
      </c>
      <c r="J324" s="37" t="s">
        <v>7</v>
      </c>
      <c r="K324" s="62">
        <f t="shared" si="4"/>
        <v>0.58415841584158412</v>
      </c>
    </row>
    <row r="325" spans="1:11" hidden="1" x14ac:dyDescent="0.35">
      <c r="A325" s="33">
        <v>20019916</v>
      </c>
      <c r="B325" s="36" t="s">
        <v>276</v>
      </c>
      <c r="C325" s="37" t="s">
        <v>86</v>
      </c>
      <c r="D325" s="38"/>
      <c r="E325" s="38" t="s">
        <v>89</v>
      </c>
      <c r="F325" s="37">
        <v>15000</v>
      </c>
      <c r="G325" s="37">
        <v>10000</v>
      </c>
      <c r="H325" s="37">
        <v>17200</v>
      </c>
      <c r="I325" s="37" t="s">
        <v>25</v>
      </c>
      <c r="J325" s="37" t="s">
        <v>7</v>
      </c>
      <c r="K325" s="62">
        <f t="shared" si="4"/>
        <v>0.68799999999999994</v>
      </c>
    </row>
    <row r="326" spans="1:11" hidden="1" x14ac:dyDescent="0.35">
      <c r="A326" s="33">
        <v>20019917</v>
      </c>
      <c r="B326" s="36" t="s">
        <v>277</v>
      </c>
      <c r="C326" s="37" t="s">
        <v>86</v>
      </c>
      <c r="D326" s="38"/>
      <c r="E326" s="38" t="s">
        <v>89</v>
      </c>
      <c r="F326" s="37">
        <v>5</v>
      </c>
      <c r="G326" s="37">
        <v>10</v>
      </c>
      <c r="H326" s="37">
        <v>3</v>
      </c>
      <c r="I326" s="37" t="s">
        <v>8</v>
      </c>
      <c r="J326" s="37" t="s">
        <v>7</v>
      </c>
      <c r="K326" s="62">
        <f t="shared" si="4"/>
        <v>0.2</v>
      </c>
    </row>
    <row r="327" spans="1:11" hidden="1" x14ac:dyDescent="0.35">
      <c r="A327" s="33">
        <v>20019919</v>
      </c>
      <c r="B327" s="36" t="s">
        <v>278</v>
      </c>
      <c r="C327" s="37" t="s">
        <v>86</v>
      </c>
      <c r="D327" s="38" t="s">
        <v>91</v>
      </c>
      <c r="E327" s="38" t="s">
        <v>89</v>
      </c>
      <c r="F327" s="37">
        <v>75</v>
      </c>
      <c r="G327" s="37">
        <v>100</v>
      </c>
      <c r="H327" s="37">
        <v>0</v>
      </c>
      <c r="I327" s="37" t="s">
        <v>8</v>
      </c>
      <c r="J327" s="37" t="s">
        <v>13</v>
      </c>
      <c r="K327" s="62">
        <f t="shared" si="4"/>
        <v>0</v>
      </c>
    </row>
    <row r="328" spans="1:11" hidden="1" x14ac:dyDescent="0.35">
      <c r="A328" s="33">
        <v>20019671</v>
      </c>
      <c r="B328" s="36" t="s">
        <v>1484</v>
      </c>
      <c r="C328" s="37" t="s">
        <v>86</v>
      </c>
      <c r="D328" s="38"/>
      <c r="E328" s="38" t="s">
        <v>68</v>
      </c>
      <c r="F328" s="37">
        <v>5</v>
      </c>
      <c r="G328" s="37">
        <v>20</v>
      </c>
      <c r="H328" s="37">
        <v>0</v>
      </c>
      <c r="I328" s="37" t="s">
        <v>23</v>
      </c>
      <c r="J328" s="37" t="s">
        <v>13</v>
      </c>
      <c r="K328" s="62">
        <f t="shared" si="4"/>
        <v>0</v>
      </c>
    </row>
    <row r="329" spans="1:11" hidden="1" x14ac:dyDescent="0.35">
      <c r="A329" s="33">
        <v>20019920</v>
      </c>
      <c r="B329" s="36" t="s">
        <v>279</v>
      </c>
      <c r="C329" s="37" t="s">
        <v>86</v>
      </c>
      <c r="D329" s="38"/>
      <c r="E329" s="38" t="s">
        <v>89</v>
      </c>
      <c r="F329" s="37">
        <v>150</v>
      </c>
      <c r="G329" s="37">
        <v>300</v>
      </c>
      <c r="H329" s="37">
        <v>0</v>
      </c>
      <c r="I329" s="37" t="s">
        <v>8</v>
      </c>
      <c r="J329" s="37" t="s">
        <v>9</v>
      </c>
      <c r="K329" s="62">
        <f t="shared" ref="K329:K392" si="5">H329/(F329+G329)</f>
        <v>0</v>
      </c>
    </row>
    <row r="330" spans="1:11" hidden="1" x14ac:dyDescent="0.35">
      <c r="A330" s="33">
        <v>20019945</v>
      </c>
      <c r="B330" s="36" t="s">
        <v>280</v>
      </c>
      <c r="C330" s="37" t="s">
        <v>86</v>
      </c>
      <c r="D330" s="38"/>
      <c r="E330" s="38" t="s">
        <v>89</v>
      </c>
      <c r="F330" s="37">
        <v>2</v>
      </c>
      <c r="G330" s="37">
        <v>2</v>
      </c>
      <c r="H330" s="37">
        <v>0</v>
      </c>
      <c r="I330" s="37" t="s">
        <v>21</v>
      </c>
      <c r="J330" s="37" t="s">
        <v>13</v>
      </c>
      <c r="K330" s="62">
        <f t="shared" si="5"/>
        <v>0</v>
      </c>
    </row>
    <row r="331" spans="1:11" hidden="1" x14ac:dyDescent="0.35">
      <c r="A331" s="33">
        <v>20019946</v>
      </c>
      <c r="B331" s="36" t="s">
        <v>281</v>
      </c>
      <c r="C331" s="37" t="s">
        <v>86</v>
      </c>
      <c r="D331" s="38"/>
      <c r="E331" s="38" t="s">
        <v>89</v>
      </c>
      <c r="F331" s="37">
        <v>4</v>
      </c>
      <c r="G331" s="37">
        <v>7</v>
      </c>
      <c r="H331" s="37">
        <v>22</v>
      </c>
      <c r="I331" s="37" t="s">
        <v>21</v>
      </c>
      <c r="J331" s="37" t="s">
        <v>14</v>
      </c>
      <c r="K331" s="62">
        <f t="shared" si="5"/>
        <v>2</v>
      </c>
    </row>
    <row r="332" spans="1:11" hidden="1" x14ac:dyDescent="0.35">
      <c r="A332" s="33">
        <v>20019948</v>
      </c>
      <c r="B332" s="36" t="s">
        <v>282</v>
      </c>
      <c r="C332" s="37" t="s">
        <v>86</v>
      </c>
      <c r="D332" s="38"/>
      <c r="E332" s="38" t="s">
        <v>89</v>
      </c>
      <c r="F332" s="37">
        <v>4</v>
      </c>
      <c r="G332" s="37">
        <v>7</v>
      </c>
      <c r="H332" s="37">
        <v>11</v>
      </c>
      <c r="I332" s="37" t="s">
        <v>21</v>
      </c>
      <c r="J332" s="37" t="s">
        <v>7</v>
      </c>
      <c r="K332" s="62">
        <f t="shared" si="5"/>
        <v>1</v>
      </c>
    </row>
    <row r="333" spans="1:11" hidden="1" x14ac:dyDescent="0.35">
      <c r="A333" s="33">
        <v>20019970</v>
      </c>
      <c r="B333" s="36" t="s">
        <v>283</v>
      </c>
      <c r="C333" s="37" t="s">
        <v>86</v>
      </c>
      <c r="D333" s="38" t="s">
        <v>91</v>
      </c>
      <c r="E333" s="38" t="s">
        <v>89</v>
      </c>
      <c r="F333" s="37">
        <v>40</v>
      </c>
      <c r="G333" s="37">
        <v>40</v>
      </c>
      <c r="H333" s="37">
        <v>52</v>
      </c>
      <c r="I333" s="37" t="s">
        <v>8</v>
      </c>
      <c r="J333" s="37" t="s">
        <v>7</v>
      </c>
      <c r="K333" s="62">
        <f t="shared" si="5"/>
        <v>0.65</v>
      </c>
    </row>
    <row r="334" spans="1:11" hidden="1" x14ac:dyDescent="0.35">
      <c r="A334" s="33">
        <v>20019971</v>
      </c>
      <c r="B334" s="36" t="s">
        <v>284</v>
      </c>
      <c r="C334" s="37" t="s">
        <v>86</v>
      </c>
      <c r="D334" s="38" t="s">
        <v>91</v>
      </c>
      <c r="E334" s="38" t="s">
        <v>89</v>
      </c>
      <c r="F334" s="37">
        <v>100</v>
      </c>
      <c r="G334" s="37">
        <v>200</v>
      </c>
      <c r="H334" s="37">
        <v>0</v>
      </c>
      <c r="I334" s="37" t="s">
        <v>8</v>
      </c>
      <c r="J334" s="37" t="s">
        <v>13</v>
      </c>
      <c r="K334" s="62">
        <f t="shared" si="5"/>
        <v>0</v>
      </c>
    </row>
    <row r="335" spans="1:11" hidden="1" x14ac:dyDescent="0.35">
      <c r="A335" s="33">
        <v>20019974</v>
      </c>
      <c r="B335" s="36" t="s">
        <v>285</v>
      </c>
      <c r="C335" s="37" t="s">
        <v>86</v>
      </c>
      <c r="D335" s="38" t="s">
        <v>91</v>
      </c>
      <c r="E335" s="38" t="s">
        <v>89</v>
      </c>
      <c r="F335" s="37">
        <v>11</v>
      </c>
      <c r="G335" s="37">
        <v>20</v>
      </c>
      <c r="H335" s="37">
        <v>50</v>
      </c>
      <c r="I335" s="37" t="s">
        <v>8</v>
      </c>
      <c r="J335" s="37" t="s">
        <v>14</v>
      </c>
      <c r="K335" s="62">
        <f t="shared" si="5"/>
        <v>1.6129032258064515</v>
      </c>
    </row>
    <row r="336" spans="1:11" hidden="1" x14ac:dyDescent="0.35">
      <c r="A336" s="33">
        <v>20020007</v>
      </c>
      <c r="B336" s="36" t="s">
        <v>17</v>
      </c>
      <c r="C336" s="37" t="s">
        <v>86</v>
      </c>
      <c r="D336" s="38"/>
      <c r="E336" s="38" t="s">
        <v>89</v>
      </c>
      <c r="F336" s="37">
        <v>30</v>
      </c>
      <c r="G336" s="37">
        <v>40</v>
      </c>
      <c r="H336" s="37">
        <v>25</v>
      </c>
      <c r="I336" s="37" t="s">
        <v>8</v>
      </c>
      <c r="J336" s="37" t="s">
        <v>7</v>
      </c>
      <c r="K336" s="62">
        <f t="shared" si="5"/>
        <v>0.35714285714285715</v>
      </c>
    </row>
    <row r="337" spans="1:11" hidden="1" x14ac:dyDescent="0.35">
      <c r="A337" s="33">
        <v>20020070</v>
      </c>
      <c r="B337" s="36" t="s">
        <v>286</v>
      </c>
      <c r="C337" s="37" t="s">
        <v>86</v>
      </c>
      <c r="D337" s="38"/>
      <c r="E337" s="38" t="s">
        <v>89</v>
      </c>
      <c r="F337" s="37">
        <v>5</v>
      </c>
      <c r="G337" s="37">
        <v>5</v>
      </c>
      <c r="H337" s="37">
        <v>10</v>
      </c>
      <c r="I337" s="37" t="s">
        <v>21</v>
      </c>
      <c r="J337" s="37" t="s">
        <v>9</v>
      </c>
      <c r="K337" s="62">
        <f t="shared" si="5"/>
        <v>1</v>
      </c>
    </row>
    <row r="338" spans="1:11" hidden="1" x14ac:dyDescent="0.35">
      <c r="A338" s="33">
        <v>20020071</v>
      </c>
      <c r="B338" s="36" t="s">
        <v>287</v>
      </c>
      <c r="C338" s="37" t="s">
        <v>86</v>
      </c>
      <c r="D338" s="38"/>
      <c r="E338" s="38" t="s">
        <v>89</v>
      </c>
      <c r="F338" s="37">
        <v>3</v>
      </c>
      <c r="G338" s="37">
        <v>5</v>
      </c>
      <c r="H338" s="37">
        <v>7</v>
      </c>
      <c r="I338" s="37" t="s">
        <v>21</v>
      </c>
      <c r="J338" s="37" t="s">
        <v>9</v>
      </c>
      <c r="K338" s="62">
        <f t="shared" si="5"/>
        <v>0.875</v>
      </c>
    </row>
    <row r="339" spans="1:11" hidden="1" x14ac:dyDescent="0.35">
      <c r="A339" s="33">
        <v>20019787</v>
      </c>
      <c r="B339" s="36" t="s">
        <v>1375</v>
      </c>
      <c r="C339" s="37" t="s">
        <v>86</v>
      </c>
      <c r="D339" s="38"/>
      <c r="E339" s="38" t="s">
        <v>68</v>
      </c>
      <c r="F339" s="37">
        <v>1</v>
      </c>
      <c r="G339" s="37">
        <v>1</v>
      </c>
      <c r="H339" s="37">
        <v>1</v>
      </c>
      <c r="I339" s="37" t="s">
        <v>8</v>
      </c>
      <c r="J339" s="37" t="s">
        <v>7</v>
      </c>
      <c r="K339" s="62">
        <f t="shared" si="5"/>
        <v>0.5</v>
      </c>
    </row>
    <row r="340" spans="1:11" hidden="1" x14ac:dyDescent="0.35">
      <c r="A340" s="33">
        <v>20020075</v>
      </c>
      <c r="B340" s="36" t="s">
        <v>72</v>
      </c>
      <c r="C340" s="37" t="s">
        <v>86</v>
      </c>
      <c r="D340" s="38"/>
      <c r="E340" s="38" t="s">
        <v>89</v>
      </c>
      <c r="F340" s="37">
        <v>300</v>
      </c>
      <c r="G340" s="37">
        <v>400</v>
      </c>
      <c r="H340" s="37">
        <v>652</v>
      </c>
      <c r="I340" s="37" t="s">
        <v>21</v>
      </c>
      <c r="J340" s="37" t="s">
        <v>7</v>
      </c>
      <c r="K340" s="62">
        <f t="shared" si="5"/>
        <v>0.93142857142857138</v>
      </c>
    </row>
    <row r="341" spans="1:11" hidden="1" x14ac:dyDescent="0.35">
      <c r="A341" s="33">
        <v>20020076</v>
      </c>
      <c r="B341" s="36" t="s">
        <v>288</v>
      </c>
      <c r="C341" s="37" t="s">
        <v>86</v>
      </c>
      <c r="D341" s="38"/>
      <c r="E341" s="38" t="s">
        <v>89</v>
      </c>
      <c r="F341" s="37">
        <v>10</v>
      </c>
      <c r="G341" s="37">
        <v>20</v>
      </c>
      <c r="H341" s="37">
        <v>12</v>
      </c>
      <c r="I341" s="37" t="s">
        <v>21</v>
      </c>
      <c r="J341" s="37" t="s">
        <v>7</v>
      </c>
      <c r="K341" s="62">
        <f t="shared" si="5"/>
        <v>0.4</v>
      </c>
    </row>
    <row r="342" spans="1:11" hidden="1" x14ac:dyDescent="0.35">
      <c r="A342" s="33">
        <v>20020077</v>
      </c>
      <c r="B342" s="36" t="s">
        <v>289</v>
      </c>
      <c r="C342" s="37" t="s">
        <v>86</v>
      </c>
      <c r="D342" s="38"/>
      <c r="E342" s="38" t="s">
        <v>89</v>
      </c>
      <c r="F342" s="37">
        <v>2</v>
      </c>
      <c r="G342" s="37">
        <v>2</v>
      </c>
      <c r="H342" s="37">
        <v>5</v>
      </c>
      <c r="I342" s="37" t="s">
        <v>21</v>
      </c>
      <c r="J342" s="37" t="s">
        <v>14</v>
      </c>
      <c r="K342" s="62">
        <f t="shared" si="5"/>
        <v>1.25</v>
      </c>
    </row>
    <row r="343" spans="1:11" hidden="1" x14ac:dyDescent="0.35">
      <c r="A343" s="33">
        <v>20020078</v>
      </c>
      <c r="B343" s="36" t="s">
        <v>290</v>
      </c>
      <c r="C343" s="37" t="s">
        <v>86</v>
      </c>
      <c r="D343" s="38"/>
      <c r="E343" s="38" t="s">
        <v>89</v>
      </c>
      <c r="F343" s="37">
        <v>4</v>
      </c>
      <c r="G343" s="37">
        <v>6</v>
      </c>
      <c r="H343" s="37">
        <v>11</v>
      </c>
      <c r="I343" s="37" t="s">
        <v>21</v>
      </c>
      <c r="J343" s="37" t="s">
        <v>14</v>
      </c>
      <c r="K343" s="62">
        <f t="shared" si="5"/>
        <v>1.1000000000000001</v>
      </c>
    </row>
    <row r="344" spans="1:11" hidden="1" x14ac:dyDescent="0.35">
      <c r="A344" s="33">
        <v>20020079</v>
      </c>
      <c r="B344" s="36" t="s">
        <v>291</v>
      </c>
      <c r="C344" s="37" t="s">
        <v>86</v>
      </c>
      <c r="D344" s="38"/>
      <c r="E344" s="38" t="s">
        <v>89</v>
      </c>
      <c r="F344" s="37">
        <v>8</v>
      </c>
      <c r="G344" s="37">
        <v>10</v>
      </c>
      <c r="H344" s="37">
        <v>8</v>
      </c>
      <c r="I344" s="37" t="s">
        <v>21</v>
      </c>
      <c r="J344" s="37" t="s">
        <v>7</v>
      </c>
      <c r="K344" s="62">
        <f t="shared" si="5"/>
        <v>0.44444444444444442</v>
      </c>
    </row>
    <row r="345" spans="1:11" hidden="1" x14ac:dyDescent="0.35">
      <c r="A345" s="33">
        <v>20020080</v>
      </c>
      <c r="B345" s="36" t="s">
        <v>292</v>
      </c>
      <c r="C345" s="37" t="s">
        <v>86</v>
      </c>
      <c r="D345" s="38"/>
      <c r="E345" s="38" t="s">
        <v>89</v>
      </c>
      <c r="F345" s="37">
        <v>60</v>
      </c>
      <c r="G345" s="37">
        <v>200</v>
      </c>
      <c r="H345" s="37">
        <v>47</v>
      </c>
      <c r="I345" s="37" t="s">
        <v>21</v>
      </c>
      <c r="J345" s="37" t="s">
        <v>7</v>
      </c>
      <c r="K345" s="62">
        <f t="shared" si="5"/>
        <v>0.18076923076923077</v>
      </c>
    </row>
    <row r="346" spans="1:11" hidden="1" x14ac:dyDescent="0.35">
      <c r="A346" s="33">
        <v>20020081</v>
      </c>
      <c r="B346" s="36" t="s">
        <v>293</v>
      </c>
      <c r="C346" s="37" t="s">
        <v>86</v>
      </c>
      <c r="D346" s="38"/>
      <c r="E346" s="38" t="s">
        <v>89</v>
      </c>
      <c r="F346" s="37">
        <v>100</v>
      </c>
      <c r="G346" s="37">
        <v>200</v>
      </c>
      <c r="H346" s="37">
        <v>215</v>
      </c>
      <c r="I346" s="37" t="s">
        <v>21</v>
      </c>
      <c r="J346" s="37" t="s">
        <v>9</v>
      </c>
      <c r="K346" s="62">
        <f t="shared" si="5"/>
        <v>0.71666666666666667</v>
      </c>
    </row>
    <row r="347" spans="1:11" hidden="1" x14ac:dyDescent="0.35">
      <c r="A347" s="33">
        <v>20020107</v>
      </c>
      <c r="B347" s="36" t="s">
        <v>294</v>
      </c>
      <c r="C347" s="37" t="s">
        <v>86</v>
      </c>
      <c r="D347" s="38" t="s">
        <v>87</v>
      </c>
      <c r="E347" s="38" t="s">
        <v>89</v>
      </c>
      <c r="F347" s="37">
        <v>4</v>
      </c>
      <c r="G347" s="37">
        <v>4</v>
      </c>
      <c r="H347" s="37">
        <v>2</v>
      </c>
      <c r="I347" s="37" t="s">
        <v>8</v>
      </c>
      <c r="J347" s="37" t="s">
        <v>9</v>
      </c>
      <c r="K347" s="62">
        <f t="shared" si="5"/>
        <v>0.25</v>
      </c>
    </row>
    <row r="348" spans="1:11" hidden="1" x14ac:dyDescent="0.35">
      <c r="A348" s="33">
        <v>20020119</v>
      </c>
      <c r="B348" s="36" t="s">
        <v>295</v>
      </c>
      <c r="C348" s="37" t="s">
        <v>86</v>
      </c>
      <c r="D348" s="38" t="s">
        <v>87</v>
      </c>
      <c r="E348" s="38" t="s">
        <v>89</v>
      </c>
      <c r="F348" s="37">
        <v>41</v>
      </c>
      <c r="G348" s="37">
        <v>68</v>
      </c>
      <c r="H348" s="37">
        <v>47</v>
      </c>
      <c r="I348" s="37" t="s">
        <v>8</v>
      </c>
      <c r="J348" s="37" t="s">
        <v>7</v>
      </c>
      <c r="K348" s="62">
        <f t="shared" si="5"/>
        <v>0.43119266055045874</v>
      </c>
    </row>
    <row r="349" spans="1:11" hidden="1" x14ac:dyDescent="0.35">
      <c r="A349" s="33">
        <v>20020122</v>
      </c>
      <c r="B349" s="36" t="s">
        <v>296</v>
      </c>
      <c r="C349" s="37" t="s">
        <v>86</v>
      </c>
      <c r="D349" s="38"/>
      <c r="E349" s="38" t="s">
        <v>89</v>
      </c>
      <c r="F349" s="37">
        <v>10</v>
      </c>
      <c r="G349" s="37">
        <v>15</v>
      </c>
      <c r="H349" s="37">
        <v>9</v>
      </c>
      <c r="I349" s="37" t="s">
        <v>21</v>
      </c>
      <c r="J349" s="37" t="s">
        <v>7</v>
      </c>
      <c r="K349" s="62">
        <f t="shared" si="5"/>
        <v>0.36</v>
      </c>
    </row>
    <row r="350" spans="1:11" hidden="1" x14ac:dyDescent="0.35">
      <c r="A350" s="33">
        <v>20020123</v>
      </c>
      <c r="B350" s="36" t="s">
        <v>297</v>
      </c>
      <c r="C350" s="37" t="s">
        <v>86</v>
      </c>
      <c r="D350" s="38"/>
      <c r="E350" s="38" t="s">
        <v>89</v>
      </c>
      <c r="F350" s="37">
        <v>15</v>
      </c>
      <c r="G350" s="37">
        <v>25</v>
      </c>
      <c r="H350" s="37">
        <v>31</v>
      </c>
      <c r="I350" s="37" t="s">
        <v>21</v>
      </c>
      <c r="J350" s="37" t="s">
        <v>7</v>
      </c>
      <c r="K350" s="62">
        <f t="shared" si="5"/>
        <v>0.77500000000000002</v>
      </c>
    </row>
    <row r="351" spans="1:11" hidden="1" x14ac:dyDescent="0.35">
      <c r="A351" s="33">
        <v>20020124</v>
      </c>
      <c r="B351" s="36" t="s">
        <v>298</v>
      </c>
      <c r="C351" s="37" t="s">
        <v>86</v>
      </c>
      <c r="D351" s="38"/>
      <c r="E351" s="38" t="s">
        <v>89</v>
      </c>
      <c r="F351" s="37">
        <v>10</v>
      </c>
      <c r="G351" s="37">
        <v>17</v>
      </c>
      <c r="H351" s="37">
        <v>22</v>
      </c>
      <c r="I351" s="37" t="s">
        <v>21</v>
      </c>
      <c r="J351" s="37" t="s">
        <v>7</v>
      </c>
      <c r="K351" s="62">
        <f t="shared" si="5"/>
        <v>0.81481481481481477</v>
      </c>
    </row>
    <row r="352" spans="1:11" hidden="1" x14ac:dyDescent="0.35">
      <c r="A352" s="33">
        <v>20019922</v>
      </c>
      <c r="B352" s="36" t="s">
        <v>1341</v>
      </c>
      <c r="C352" s="37" t="s">
        <v>86</v>
      </c>
      <c r="D352" s="38"/>
      <c r="E352" s="38" t="s">
        <v>68</v>
      </c>
      <c r="F352" s="37">
        <v>20</v>
      </c>
      <c r="G352" s="37">
        <v>40</v>
      </c>
      <c r="H352" s="37">
        <v>110</v>
      </c>
      <c r="I352" s="37" t="s">
        <v>25</v>
      </c>
      <c r="J352" s="37" t="s">
        <v>14</v>
      </c>
      <c r="K352" s="62">
        <f t="shared" si="5"/>
        <v>1.8333333333333333</v>
      </c>
    </row>
    <row r="353" spans="1:11" hidden="1" x14ac:dyDescent="0.35">
      <c r="A353" s="33">
        <v>20020125</v>
      </c>
      <c r="B353" s="36" t="s">
        <v>299</v>
      </c>
      <c r="C353" s="37" t="s">
        <v>86</v>
      </c>
      <c r="D353" s="38"/>
      <c r="E353" s="38" t="s">
        <v>89</v>
      </c>
      <c r="F353" s="37">
        <v>5</v>
      </c>
      <c r="G353" s="37">
        <v>8</v>
      </c>
      <c r="H353" s="37">
        <v>3</v>
      </c>
      <c r="I353" s="37" t="s">
        <v>21</v>
      </c>
      <c r="J353" s="37" t="s">
        <v>7</v>
      </c>
      <c r="K353" s="62">
        <f t="shared" si="5"/>
        <v>0.23076923076923078</v>
      </c>
    </row>
    <row r="354" spans="1:11" hidden="1" x14ac:dyDescent="0.35">
      <c r="A354" s="33">
        <v>20019923</v>
      </c>
      <c r="B354" s="36" t="s">
        <v>1259</v>
      </c>
      <c r="C354" s="37" t="s">
        <v>86</v>
      </c>
      <c r="D354" s="38"/>
      <c r="E354" s="38" t="s">
        <v>68</v>
      </c>
      <c r="F354" s="37">
        <v>20</v>
      </c>
      <c r="G354" s="37">
        <v>20</v>
      </c>
      <c r="H354" s="37">
        <v>10</v>
      </c>
      <c r="I354" s="37" t="s">
        <v>8</v>
      </c>
      <c r="J354" s="37" t="s">
        <v>7</v>
      </c>
      <c r="K354" s="62">
        <f t="shared" si="5"/>
        <v>0.25</v>
      </c>
    </row>
    <row r="355" spans="1:11" hidden="1" x14ac:dyDescent="0.35">
      <c r="A355" s="33">
        <v>20020126</v>
      </c>
      <c r="B355" s="36" t="s">
        <v>300</v>
      </c>
      <c r="C355" s="37" t="s">
        <v>86</v>
      </c>
      <c r="D355" s="38"/>
      <c r="E355" s="38" t="s">
        <v>89</v>
      </c>
      <c r="F355" s="37">
        <v>3</v>
      </c>
      <c r="G355" s="37">
        <v>4</v>
      </c>
      <c r="H355" s="37">
        <v>5</v>
      </c>
      <c r="I355" s="37" t="s">
        <v>21</v>
      </c>
      <c r="J355" s="37" t="s">
        <v>7</v>
      </c>
      <c r="K355" s="62">
        <f t="shared" si="5"/>
        <v>0.7142857142857143</v>
      </c>
    </row>
    <row r="356" spans="1:11" hidden="1" x14ac:dyDescent="0.35">
      <c r="A356" s="33">
        <v>20020152</v>
      </c>
      <c r="B356" s="36" t="s">
        <v>18</v>
      </c>
      <c r="C356" s="37" t="s">
        <v>86</v>
      </c>
      <c r="D356" s="38"/>
      <c r="E356" s="38" t="s">
        <v>89</v>
      </c>
      <c r="F356" s="37">
        <v>70</v>
      </c>
      <c r="G356" s="37">
        <v>125</v>
      </c>
      <c r="H356" s="37">
        <v>84</v>
      </c>
      <c r="I356" s="37" t="s">
        <v>10</v>
      </c>
      <c r="J356" s="37" t="s">
        <v>7</v>
      </c>
      <c r="K356" s="62">
        <f t="shared" si="5"/>
        <v>0.43076923076923079</v>
      </c>
    </row>
    <row r="357" spans="1:11" hidden="1" x14ac:dyDescent="0.35">
      <c r="A357" s="33">
        <v>20020153</v>
      </c>
      <c r="B357" s="36" t="s">
        <v>39</v>
      </c>
      <c r="C357" s="37" t="s">
        <v>86</v>
      </c>
      <c r="D357" s="38"/>
      <c r="E357" s="38" t="s">
        <v>89</v>
      </c>
      <c r="F357" s="37">
        <v>25</v>
      </c>
      <c r="G357" s="37">
        <v>50</v>
      </c>
      <c r="H357" s="37">
        <v>88</v>
      </c>
      <c r="I357" s="37" t="s">
        <v>10</v>
      </c>
      <c r="J357" s="37" t="s">
        <v>14</v>
      </c>
      <c r="K357" s="62">
        <f t="shared" si="5"/>
        <v>1.1733333333333333</v>
      </c>
    </row>
    <row r="358" spans="1:11" hidden="1" x14ac:dyDescent="0.35">
      <c r="A358" s="33">
        <v>20020154</v>
      </c>
      <c r="B358" s="36" t="s">
        <v>19</v>
      </c>
      <c r="C358" s="37" t="s">
        <v>86</v>
      </c>
      <c r="D358" s="38"/>
      <c r="E358" s="38" t="s">
        <v>89</v>
      </c>
      <c r="F358" s="37">
        <v>50</v>
      </c>
      <c r="G358" s="37">
        <v>100</v>
      </c>
      <c r="H358" s="37">
        <v>65</v>
      </c>
      <c r="I358" s="37" t="s">
        <v>10</v>
      </c>
      <c r="J358" s="37" t="s">
        <v>7</v>
      </c>
      <c r="K358" s="62">
        <f t="shared" si="5"/>
        <v>0.43333333333333335</v>
      </c>
    </row>
    <row r="359" spans="1:11" hidden="1" x14ac:dyDescent="0.35">
      <c r="A359" s="33">
        <v>20020181</v>
      </c>
      <c r="B359" s="36" t="s">
        <v>301</v>
      </c>
      <c r="C359" s="37" t="s">
        <v>86</v>
      </c>
      <c r="D359" s="38" t="s">
        <v>87</v>
      </c>
      <c r="E359" s="38" t="s">
        <v>89</v>
      </c>
      <c r="F359" s="37">
        <v>1</v>
      </c>
      <c r="G359" s="37">
        <v>1</v>
      </c>
      <c r="H359" s="37">
        <v>0</v>
      </c>
      <c r="I359" s="37" t="s">
        <v>8</v>
      </c>
      <c r="J359" s="37" t="s">
        <v>13</v>
      </c>
      <c r="K359" s="62">
        <f t="shared" si="5"/>
        <v>0</v>
      </c>
    </row>
    <row r="360" spans="1:11" hidden="1" x14ac:dyDescent="0.35">
      <c r="A360" s="33">
        <v>20020182</v>
      </c>
      <c r="B360" s="36" t="s">
        <v>302</v>
      </c>
      <c r="C360" s="37" t="s">
        <v>86</v>
      </c>
      <c r="D360" s="38" t="s">
        <v>87</v>
      </c>
      <c r="E360" s="38" t="s">
        <v>89</v>
      </c>
      <c r="F360" s="37">
        <v>2</v>
      </c>
      <c r="G360" s="37">
        <v>4</v>
      </c>
      <c r="H360" s="37">
        <v>4</v>
      </c>
      <c r="I360" s="37" t="s">
        <v>8</v>
      </c>
      <c r="J360" s="37" t="s">
        <v>7</v>
      </c>
      <c r="K360" s="62">
        <f t="shared" si="5"/>
        <v>0.66666666666666663</v>
      </c>
    </row>
    <row r="361" spans="1:11" hidden="1" x14ac:dyDescent="0.35">
      <c r="A361" s="33">
        <v>20020191</v>
      </c>
      <c r="B361" s="36" t="s">
        <v>40</v>
      </c>
      <c r="C361" s="37" t="s">
        <v>86</v>
      </c>
      <c r="D361" s="38"/>
      <c r="E361" s="38" t="s">
        <v>89</v>
      </c>
      <c r="F361" s="37">
        <v>100</v>
      </c>
      <c r="G361" s="37">
        <v>200</v>
      </c>
      <c r="H361" s="37">
        <v>350</v>
      </c>
      <c r="I361" s="37" t="s">
        <v>21</v>
      </c>
      <c r="J361" s="37" t="s">
        <v>14</v>
      </c>
      <c r="K361" s="62">
        <f t="shared" si="5"/>
        <v>1.1666666666666667</v>
      </c>
    </row>
    <row r="362" spans="1:11" hidden="1" x14ac:dyDescent="0.35">
      <c r="A362" s="33">
        <v>20020201</v>
      </c>
      <c r="B362" s="36" t="s">
        <v>41</v>
      </c>
      <c r="C362" s="37" t="s">
        <v>86</v>
      </c>
      <c r="D362" s="38"/>
      <c r="E362" s="38" t="s">
        <v>89</v>
      </c>
      <c r="F362" s="37">
        <v>501</v>
      </c>
      <c r="G362" s="37">
        <v>600</v>
      </c>
      <c r="H362" s="37">
        <v>674</v>
      </c>
      <c r="I362" s="37" t="s">
        <v>21</v>
      </c>
      <c r="J362" s="37" t="s">
        <v>7</v>
      </c>
      <c r="K362" s="62">
        <f t="shared" si="5"/>
        <v>0.6121707538601272</v>
      </c>
    </row>
    <row r="363" spans="1:11" hidden="1" x14ac:dyDescent="0.35">
      <c r="A363" s="33">
        <v>20020202</v>
      </c>
      <c r="B363" s="36" t="s">
        <v>42</v>
      </c>
      <c r="C363" s="37" t="s">
        <v>86</v>
      </c>
      <c r="D363" s="38"/>
      <c r="E363" s="38" t="s">
        <v>89</v>
      </c>
      <c r="F363" s="37">
        <v>550</v>
      </c>
      <c r="G363" s="37">
        <v>900</v>
      </c>
      <c r="H363" s="37">
        <v>1233</v>
      </c>
      <c r="I363" s="37" t="s">
        <v>21</v>
      </c>
      <c r="J363" s="37" t="s">
        <v>7</v>
      </c>
      <c r="K363" s="62">
        <f t="shared" si="5"/>
        <v>0.85034482758620689</v>
      </c>
    </row>
    <row r="364" spans="1:11" hidden="1" x14ac:dyDescent="0.35">
      <c r="A364" s="33">
        <v>20020203</v>
      </c>
      <c r="B364" s="36" t="s">
        <v>43</v>
      </c>
      <c r="C364" s="37" t="s">
        <v>86</v>
      </c>
      <c r="D364" s="38"/>
      <c r="E364" s="38" t="s">
        <v>89</v>
      </c>
      <c r="F364" s="37">
        <v>145</v>
      </c>
      <c r="G364" s="37">
        <v>288</v>
      </c>
      <c r="H364" s="37">
        <v>254</v>
      </c>
      <c r="I364" s="37" t="s">
        <v>21</v>
      </c>
      <c r="J364" s="37" t="s">
        <v>7</v>
      </c>
      <c r="K364" s="62">
        <f t="shared" si="5"/>
        <v>0.58660508083140872</v>
      </c>
    </row>
    <row r="365" spans="1:11" hidden="1" x14ac:dyDescent="0.35">
      <c r="A365" s="33">
        <v>20020204</v>
      </c>
      <c r="B365" s="36" t="s">
        <v>303</v>
      </c>
      <c r="C365" s="37" t="s">
        <v>86</v>
      </c>
      <c r="D365" s="38"/>
      <c r="E365" s="38" t="s">
        <v>89</v>
      </c>
      <c r="F365" s="37">
        <v>5</v>
      </c>
      <c r="G365" s="37">
        <v>8</v>
      </c>
      <c r="H365" s="37">
        <v>7</v>
      </c>
      <c r="I365" s="37" t="s">
        <v>10</v>
      </c>
      <c r="J365" s="37" t="s">
        <v>7</v>
      </c>
      <c r="K365" s="62">
        <f t="shared" si="5"/>
        <v>0.53846153846153844</v>
      </c>
    </row>
    <row r="366" spans="1:11" hidden="1" x14ac:dyDescent="0.35">
      <c r="A366" s="33">
        <v>20020296</v>
      </c>
      <c r="B366" s="36" t="s">
        <v>304</v>
      </c>
      <c r="C366" s="37" t="s">
        <v>86</v>
      </c>
      <c r="D366" s="38" t="s">
        <v>91</v>
      </c>
      <c r="E366" s="38" t="s">
        <v>89</v>
      </c>
      <c r="F366" s="37">
        <v>10</v>
      </c>
      <c r="G366" s="37">
        <v>30</v>
      </c>
      <c r="H366" s="37">
        <v>20</v>
      </c>
      <c r="I366" s="37" t="s">
        <v>8</v>
      </c>
      <c r="J366" s="37" t="s">
        <v>7</v>
      </c>
      <c r="K366" s="62">
        <f t="shared" si="5"/>
        <v>0.5</v>
      </c>
    </row>
    <row r="367" spans="1:11" hidden="1" x14ac:dyDescent="0.35">
      <c r="A367" s="33">
        <v>20020326</v>
      </c>
      <c r="B367" s="36" t="s">
        <v>305</v>
      </c>
      <c r="C367" s="37" t="s">
        <v>86</v>
      </c>
      <c r="D367" s="38"/>
      <c r="E367" s="38" t="s">
        <v>89</v>
      </c>
      <c r="F367" s="37">
        <v>4</v>
      </c>
      <c r="G367" s="37">
        <v>6</v>
      </c>
      <c r="H367" s="37">
        <v>4</v>
      </c>
      <c r="I367" s="37" t="s">
        <v>8</v>
      </c>
      <c r="J367" s="37" t="s">
        <v>7</v>
      </c>
      <c r="K367" s="62">
        <f t="shared" si="5"/>
        <v>0.4</v>
      </c>
    </row>
    <row r="368" spans="1:11" hidden="1" x14ac:dyDescent="0.35">
      <c r="A368" s="33">
        <v>20020331</v>
      </c>
      <c r="B368" s="36" t="s">
        <v>306</v>
      </c>
      <c r="C368" s="37" t="s">
        <v>86</v>
      </c>
      <c r="D368" s="38" t="s">
        <v>97</v>
      </c>
      <c r="E368" s="38" t="s">
        <v>89</v>
      </c>
      <c r="F368" s="37">
        <v>18</v>
      </c>
      <c r="G368" s="37">
        <v>29</v>
      </c>
      <c r="H368" s="37">
        <v>43</v>
      </c>
      <c r="I368" s="37" t="s">
        <v>8</v>
      </c>
      <c r="J368" s="37" t="s">
        <v>9</v>
      </c>
      <c r="K368" s="62">
        <f t="shared" si="5"/>
        <v>0.91489361702127658</v>
      </c>
    </row>
    <row r="369" spans="1:11" hidden="1" x14ac:dyDescent="0.35">
      <c r="A369" s="61">
        <v>20020345</v>
      </c>
      <c r="B369" s="36" t="s">
        <v>307</v>
      </c>
      <c r="C369" s="37" t="s">
        <v>86</v>
      </c>
      <c r="D369" s="38"/>
      <c r="E369" s="38" t="s">
        <v>89</v>
      </c>
      <c r="F369" s="37">
        <v>10</v>
      </c>
      <c r="G369" s="37">
        <v>16</v>
      </c>
      <c r="H369" s="37">
        <v>38</v>
      </c>
      <c r="I369" s="37" t="s">
        <v>8</v>
      </c>
      <c r="J369" s="37" t="s">
        <v>14</v>
      </c>
      <c r="K369" s="62">
        <f t="shared" si="5"/>
        <v>1.4615384615384615</v>
      </c>
    </row>
    <row r="370" spans="1:11" hidden="1" x14ac:dyDescent="0.35">
      <c r="A370" s="33">
        <v>20020346</v>
      </c>
      <c r="B370" s="36" t="s">
        <v>20</v>
      </c>
      <c r="C370" s="37" t="s">
        <v>86</v>
      </c>
      <c r="D370" s="38" t="s">
        <v>115</v>
      </c>
      <c r="E370" s="38" t="s">
        <v>89</v>
      </c>
      <c r="F370" s="37">
        <v>5</v>
      </c>
      <c r="G370" s="37">
        <v>10</v>
      </c>
      <c r="H370" s="37">
        <v>12</v>
      </c>
      <c r="I370" s="37" t="s">
        <v>21</v>
      </c>
      <c r="J370" s="37" t="s">
        <v>7</v>
      </c>
      <c r="K370" s="62">
        <f t="shared" si="5"/>
        <v>0.8</v>
      </c>
    </row>
    <row r="371" spans="1:11" hidden="1" x14ac:dyDescent="0.35">
      <c r="A371" s="33">
        <v>20020351</v>
      </c>
      <c r="B371" s="36" t="s">
        <v>1530</v>
      </c>
      <c r="C371" s="37" t="s">
        <v>86</v>
      </c>
      <c r="D371" s="38" t="s">
        <v>222</v>
      </c>
      <c r="E371" s="38" t="s">
        <v>89</v>
      </c>
      <c r="F371" s="37">
        <v>3</v>
      </c>
      <c r="G371" s="37">
        <v>4</v>
      </c>
      <c r="H371" s="37">
        <v>3</v>
      </c>
      <c r="I371" s="37" t="s">
        <v>8</v>
      </c>
      <c r="J371" s="37" t="s">
        <v>7</v>
      </c>
      <c r="K371" s="62">
        <f t="shared" si="5"/>
        <v>0.42857142857142855</v>
      </c>
    </row>
    <row r="372" spans="1:11" hidden="1" x14ac:dyDescent="0.35">
      <c r="A372" s="33">
        <v>20020355</v>
      </c>
      <c r="B372" s="36" t="s">
        <v>308</v>
      </c>
      <c r="C372" s="37" t="s">
        <v>86</v>
      </c>
      <c r="D372" s="38"/>
      <c r="E372" s="38" t="s">
        <v>89</v>
      </c>
      <c r="F372" s="37">
        <v>8</v>
      </c>
      <c r="G372" s="37">
        <v>15</v>
      </c>
      <c r="H372" s="37">
        <v>14</v>
      </c>
      <c r="I372" s="37" t="s">
        <v>8</v>
      </c>
      <c r="J372" s="37" t="s">
        <v>7</v>
      </c>
      <c r="K372" s="62">
        <f t="shared" si="5"/>
        <v>0.60869565217391308</v>
      </c>
    </row>
    <row r="373" spans="1:11" hidden="1" x14ac:dyDescent="0.35">
      <c r="A373" s="33">
        <v>20020417</v>
      </c>
      <c r="B373" s="36" t="s">
        <v>309</v>
      </c>
      <c r="C373" s="37" t="s">
        <v>86</v>
      </c>
      <c r="D373" s="38"/>
      <c r="E373" s="38" t="s">
        <v>89</v>
      </c>
      <c r="F373" s="37">
        <v>60</v>
      </c>
      <c r="G373" s="37">
        <v>100</v>
      </c>
      <c r="H373" s="37">
        <v>75</v>
      </c>
      <c r="I373" s="37" t="s">
        <v>8</v>
      </c>
      <c r="J373" s="37" t="s">
        <v>7</v>
      </c>
      <c r="K373" s="62">
        <f t="shared" si="5"/>
        <v>0.46875</v>
      </c>
    </row>
    <row r="374" spans="1:11" hidden="1" x14ac:dyDescent="0.35">
      <c r="A374" s="33">
        <v>20020503</v>
      </c>
      <c r="B374" s="36" t="s">
        <v>1385</v>
      </c>
      <c r="C374" s="37" t="s">
        <v>86</v>
      </c>
      <c r="D374" s="38" t="s">
        <v>91</v>
      </c>
      <c r="E374" s="38" t="s">
        <v>89</v>
      </c>
      <c r="F374" s="37">
        <v>5</v>
      </c>
      <c r="G374" s="37">
        <v>20</v>
      </c>
      <c r="H374" s="37">
        <v>20</v>
      </c>
      <c r="I374" s="37" t="s">
        <v>8</v>
      </c>
      <c r="J374" s="37" t="s">
        <v>7</v>
      </c>
      <c r="K374" s="62">
        <f t="shared" si="5"/>
        <v>0.8</v>
      </c>
    </row>
    <row r="375" spans="1:11" x14ac:dyDescent="0.35">
      <c r="A375" s="33">
        <v>20020532</v>
      </c>
      <c r="B375" s="36" t="s">
        <v>44</v>
      </c>
      <c r="C375" s="37" t="s">
        <v>86</v>
      </c>
      <c r="D375" s="38"/>
      <c r="E375" s="38" t="s">
        <v>89</v>
      </c>
      <c r="F375" s="37">
        <v>30</v>
      </c>
      <c r="G375" s="37">
        <v>50</v>
      </c>
      <c r="H375" s="37">
        <v>601</v>
      </c>
      <c r="I375" s="37" t="s">
        <v>8</v>
      </c>
      <c r="J375" s="37" t="s">
        <v>14</v>
      </c>
      <c r="K375" s="62">
        <f t="shared" si="5"/>
        <v>7.5125000000000002</v>
      </c>
    </row>
    <row r="376" spans="1:11" x14ac:dyDescent="0.35">
      <c r="A376" s="33">
        <v>20020567</v>
      </c>
      <c r="B376" s="36" t="s">
        <v>310</v>
      </c>
      <c r="C376" s="37" t="s">
        <v>86</v>
      </c>
      <c r="D376" s="38"/>
      <c r="E376" s="38" t="s">
        <v>89</v>
      </c>
      <c r="F376" s="37">
        <v>1</v>
      </c>
      <c r="G376" s="37">
        <v>1</v>
      </c>
      <c r="H376" s="37">
        <v>433</v>
      </c>
      <c r="I376" s="37" t="s">
        <v>8</v>
      </c>
      <c r="J376" s="37" t="s">
        <v>14</v>
      </c>
      <c r="K376" s="62">
        <f t="shared" si="5"/>
        <v>216.5</v>
      </c>
    </row>
    <row r="377" spans="1:11" hidden="1" x14ac:dyDescent="0.35">
      <c r="A377" s="33">
        <v>20020170</v>
      </c>
      <c r="B377" s="36" t="s">
        <v>1223</v>
      </c>
      <c r="C377" s="37" t="s">
        <v>86</v>
      </c>
      <c r="D377" s="38"/>
      <c r="E377" s="38" t="s">
        <v>68</v>
      </c>
      <c r="F377" s="37">
        <v>30</v>
      </c>
      <c r="G377" s="37">
        <v>50</v>
      </c>
      <c r="H377" s="37">
        <v>3</v>
      </c>
      <c r="I377" s="37" t="s">
        <v>8</v>
      </c>
      <c r="J377" s="37" t="s">
        <v>9</v>
      </c>
      <c r="K377" s="62">
        <f t="shared" si="5"/>
        <v>3.7499999999999999E-2</v>
      </c>
    </row>
    <row r="378" spans="1:11" hidden="1" x14ac:dyDescent="0.35">
      <c r="A378" s="33">
        <v>20020663</v>
      </c>
      <c r="B378" s="36" t="s">
        <v>311</v>
      </c>
      <c r="C378" s="37" t="s">
        <v>86</v>
      </c>
      <c r="D378" s="38"/>
      <c r="E378" s="38" t="s">
        <v>89</v>
      </c>
      <c r="F378" s="37">
        <v>15</v>
      </c>
      <c r="G378" s="37">
        <v>10</v>
      </c>
      <c r="H378" s="37">
        <v>30</v>
      </c>
      <c r="I378" s="37" t="s">
        <v>8</v>
      </c>
      <c r="J378" s="37" t="s">
        <v>14</v>
      </c>
      <c r="K378" s="62">
        <f t="shared" si="5"/>
        <v>1.2</v>
      </c>
    </row>
    <row r="379" spans="1:11" hidden="1" x14ac:dyDescent="0.35">
      <c r="A379" s="33">
        <v>20020664</v>
      </c>
      <c r="B379" s="36" t="s">
        <v>312</v>
      </c>
      <c r="C379" s="37" t="s">
        <v>86</v>
      </c>
      <c r="D379" s="38"/>
      <c r="E379" s="38" t="s">
        <v>89</v>
      </c>
      <c r="F379" s="37">
        <v>5</v>
      </c>
      <c r="G379" s="37">
        <v>8</v>
      </c>
      <c r="H379" s="37">
        <v>10</v>
      </c>
      <c r="I379" s="37" t="s">
        <v>8</v>
      </c>
      <c r="J379" s="37" t="s">
        <v>7</v>
      </c>
      <c r="K379" s="62">
        <f t="shared" si="5"/>
        <v>0.76923076923076927</v>
      </c>
    </row>
    <row r="380" spans="1:11" hidden="1" x14ac:dyDescent="0.35">
      <c r="A380" s="33">
        <v>20020665</v>
      </c>
      <c r="B380" s="36" t="s">
        <v>313</v>
      </c>
      <c r="C380" s="37" t="s">
        <v>86</v>
      </c>
      <c r="D380" s="38"/>
      <c r="E380" s="38" t="s">
        <v>89</v>
      </c>
      <c r="F380" s="37">
        <v>3</v>
      </c>
      <c r="G380" s="37">
        <v>4</v>
      </c>
      <c r="H380" s="37">
        <v>5</v>
      </c>
      <c r="I380" s="37" t="s">
        <v>8</v>
      </c>
      <c r="J380" s="37" t="s">
        <v>7</v>
      </c>
      <c r="K380" s="62">
        <f t="shared" si="5"/>
        <v>0.7142857142857143</v>
      </c>
    </row>
    <row r="381" spans="1:11" hidden="1" x14ac:dyDescent="0.35">
      <c r="A381" s="33">
        <v>20020666</v>
      </c>
      <c r="B381" s="36" t="s">
        <v>45</v>
      </c>
      <c r="C381" s="37" t="s">
        <v>86</v>
      </c>
      <c r="D381" s="38"/>
      <c r="E381" s="38" t="s">
        <v>89</v>
      </c>
      <c r="F381" s="37">
        <v>20</v>
      </c>
      <c r="G381" s="37">
        <v>36</v>
      </c>
      <c r="H381" s="37">
        <v>40</v>
      </c>
      <c r="I381" s="37" t="s">
        <v>8</v>
      </c>
      <c r="J381" s="37" t="s">
        <v>7</v>
      </c>
      <c r="K381" s="62">
        <f t="shared" si="5"/>
        <v>0.7142857142857143</v>
      </c>
    </row>
    <row r="382" spans="1:11" hidden="1" x14ac:dyDescent="0.35">
      <c r="A382" s="33">
        <v>20020667</v>
      </c>
      <c r="B382" s="36" t="s">
        <v>314</v>
      </c>
      <c r="C382" s="37" t="s">
        <v>86</v>
      </c>
      <c r="D382" s="38"/>
      <c r="E382" s="38" t="s">
        <v>89</v>
      </c>
      <c r="F382" s="37">
        <v>4</v>
      </c>
      <c r="G382" s="37">
        <v>6</v>
      </c>
      <c r="H382" s="37">
        <v>5</v>
      </c>
      <c r="I382" s="37" t="s">
        <v>8</v>
      </c>
      <c r="J382" s="37" t="s">
        <v>7</v>
      </c>
      <c r="K382" s="62">
        <f t="shared" si="5"/>
        <v>0.5</v>
      </c>
    </row>
    <row r="383" spans="1:11" hidden="1" x14ac:dyDescent="0.35">
      <c r="A383" s="33">
        <v>20020673</v>
      </c>
      <c r="B383" s="36" t="s">
        <v>315</v>
      </c>
      <c r="C383" s="37" t="s">
        <v>86</v>
      </c>
      <c r="D383" s="38" t="s">
        <v>87</v>
      </c>
      <c r="E383" s="38" t="s">
        <v>89</v>
      </c>
      <c r="F383" s="37">
        <v>5</v>
      </c>
      <c r="G383" s="37">
        <v>10</v>
      </c>
      <c r="H383" s="37">
        <v>6</v>
      </c>
      <c r="I383" s="37" t="s">
        <v>8</v>
      </c>
      <c r="J383" s="37" t="s">
        <v>7</v>
      </c>
      <c r="K383" s="62">
        <f t="shared" si="5"/>
        <v>0.4</v>
      </c>
    </row>
    <row r="384" spans="1:11" hidden="1" x14ac:dyDescent="0.35">
      <c r="A384" s="33">
        <v>20020688</v>
      </c>
      <c r="B384" s="36" t="s">
        <v>316</v>
      </c>
      <c r="C384" s="37" t="s">
        <v>86</v>
      </c>
      <c r="D384" s="38" t="s">
        <v>129</v>
      </c>
      <c r="E384" s="38" t="s">
        <v>89</v>
      </c>
      <c r="F384" s="37">
        <v>9</v>
      </c>
      <c r="G384" s="37">
        <v>14</v>
      </c>
      <c r="H384" s="37">
        <v>22</v>
      </c>
      <c r="I384" s="37" t="s">
        <v>25</v>
      </c>
      <c r="J384" s="37" t="s">
        <v>7</v>
      </c>
      <c r="K384" s="62">
        <f t="shared" si="5"/>
        <v>0.95652173913043481</v>
      </c>
    </row>
    <row r="385" spans="1:11" hidden="1" x14ac:dyDescent="0.35">
      <c r="A385" s="33">
        <v>20020696</v>
      </c>
      <c r="B385" s="36" t="s">
        <v>317</v>
      </c>
      <c r="C385" s="37" t="s">
        <v>86</v>
      </c>
      <c r="D385" s="38"/>
      <c r="E385" s="38" t="s">
        <v>89</v>
      </c>
      <c r="F385" s="37">
        <v>1</v>
      </c>
      <c r="G385" s="37">
        <v>1</v>
      </c>
      <c r="H385" s="37">
        <v>0</v>
      </c>
      <c r="I385" s="37" t="s">
        <v>8</v>
      </c>
      <c r="J385" s="37" t="s">
        <v>13</v>
      </c>
      <c r="K385" s="62">
        <f t="shared" si="5"/>
        <v>0</v>
      </c>
    </row>
    <row r="386" spans="1:11" hidden="1" x14ac:dyDescent="0.35">
      <c r="A386" s="33">
        <v>20020718</v>
      </c>
      <c r="B386" s="36" t="s">
        <v>318</v>
      </c>
      <c r="C386" s="37" t="s">
        <v>86</v>
      </c>
      <c r="D386" s="38" t="s">
        <v>87</v>
      </c>
      <c r="E386" s="38" t="s">
        <v>89</v>
      </c>
      <c r="F386" s="37">
        <v>2</v>
      </c>
      <c r="G386" s="37">
        <v>3</v>
      </c>
      <c r="H386" s="37">
        <v>3</v>
      </c>
      <c r="I386" s="37" t="s">
        <v>8</v>
      </c>
      <c r="J386" s="37" t="s">
        <v>7</v>
      </c>
      <c r="K386" s="62">
        <f t="shared" si="5"/>
        <v>0.6</v>
      </c>
    </row>
    <row r="387" spans="1:11" x14ac:dyDescent="0.35">
      <c r="A387" s="33">
        <v>20020719</v>
      </c>
      <c r="B387" s="36" t="s">
        <v>319</v>
      </c>
      <c r="C387" s="37" t="s">
        <v>86</v>
      </c>
      <c r="D387" s="38" t="s">
        <v>87</v>
      </c>
      <c r="E387" s="38" t="s">
        <v>89</v>
      </c>
      <c r="F387" s="37">
        <v>1</v>
      </c>
      <c r="G387" s="37">
        <v>1</v>
      </c>
      <c r="H387" s="37">
        <v>12</v>
      </c>
      <c r="I387" s="37" t="s">
        <v>8</v>
      </c>
      <c r="J387" s="37" t="s">
        <v>14</v>
      </c>
      <c r="K387" s="62">
        <f t="shared" si="5"/>
        <v>6</v>
      </c>
    </row>
    <row r="388" spans="1:11" hidden="1" x14ac:dyDescent="0.35">
      <c r="A388" s="33">
        <v>20020737</v>
      </c>
      <c r="B388" s="36" t="s">
        <v>320</v>
      </c>
      <c r="C388" s="37" t="s">
        <v>86</v>
      </c>
      <c r="D388" s="38"/>
      <c r="E388" s="38" t="s">
        <v>89</v>
      </c>
      <c r="F388" s="37">
        <v>20</v>
      </c>
      <c r="G388" s="37">
        <v>40</v>
      </c>
      <c r="H388" s="37">
        <v>40</v>
      </c>
      <c r="I388" s="37" t="s">
        <v>8</v>
      </c>
      <c r="J388" s="37" t="s">
        <v>7</v>
      </c>
      <c r="K388" s="62">
        <f t="shared" si="5"/>
        <v>0.66666666666666663</v>
      </c>
    </row>
    <row r="389" spans="1:11" hidden="1" x14ac:dyDescent="0.35">
      <c r="A389" s="33">
        <v>20020849</v>
      </c>
      <c r="B389" s="36" t="s">
        <v>321</v>
      </c>
      <c r="C389" s="37" t="s">
        <v>86</v>
      </c>
      <c r="D389" s="38"/>
      <c r="E389" s="38" t="s">
        <v>89</v>
      </c>
      <c r="F389" s="37">
        <v>110</v>
      </c>
      <c r="G389" s="37">
        <v>220</v>
      </c>
      <c r="H389" s="37">
        <v>263</v>
      </c>
      <c r="I389" s="37" t="s">
        <v>8</v>
      </c>
      <c r="J389" s="37" t="s">
        <v>7</v>
      </c>
      <c r="K389" s="62">
        <f t="shared" si="5"/>
        <v>0.79696969696969699</v>
      </c>
    </row>
    <row r="390" spans="1:11" hidden="1" x14ac:dyDescent="0.35">
      <c r="A390" s="33">
        <v>20020513</v>
      </c>
      <c r="B390" s="36" t="s">
        <v>1528</v>
      </c>
      <c r="C390" s="37" t="s">
        <v>86</v>
      </c>
      <c r="D390" s="38"/>
      <c r="E390" s="38" t="s">
        <v>68</v>
      </c>
      <c r="F390" s="37">
        <v>7</v>
      </c>
      <c r="G390" s="37">
        <v>10</v>
      </c>
      <c r="H390" s="37">
        <v>1</v>
      </c>
      <c r="I390" s="37" t="s">
        <v>8</v>
      </c>
      <c r="J390" s="37" t="s">
        <v>9</v>
      </c>
      <c r="K390" s="62">
        <f t="shared" si="5"/>
        <v>5.8823529411764705E-2</v>
      </c>
    </row>
    <row r="391" spans="1:11" hidden="1" x14ac:dyDescent="0.35">
      <c r="A391" s="33">
        <v>20020860</v>
      </c>
      <c r="B391" s="36" t="s">
        <v>322</v>
      </c>
      <c r="C391" s="37" t="s">
        <v>86</v>
      </c>
      <c r="D391" s="38"/>
      <c r="E391" s="38" t="s">
        <v>89</v>
      </c>
      <c r="F391" s="37">
        <v>16</v>
      </c>
      <c r="G391" s="37">
        <v>16</v>
      </c>
      <c r="H391" s="37">
        <v>24</v>
      </c>
      <c r="I391" s="37" t="s">
        <v>23</v>
      </c>
      <c r="J391" s="37" t="s">
        <v>7</v>
      </c>
      <c r="K391" s="62">
        <f t="shared" si="5"/>
        <v>0.75</v>
      </c>
    </row>
    <row r="392" spans="1:11" hidden="1" x14ac:dyDescent="0.35">
      <c r="A392" s="33">
        <v>20020867</v>
      </c>
      <c r="B392" s="36" t="s">
        <v>1220</v>
      </c>
      <c r="C392" s="37" t="s">
        <v>86</v>
      </c>
      <c r="D392" s="38"/>
      <c r="E392" s="38" t="s">
        <v>89</v>
      </c>
      <c r="F392" s="37">
        <v>150</v>
      </c>
      <c r="G392" s="37">
        <v>300</v>
      </c>
      <c r="H392" s="37">
        <v>80</v>
      </c>
      <c r="I392" s="37" t="s">
        <v>23</v>
      </c>
      <c r="J392" s="37" t="s">
        <v>9</v>
      </c>
      <c r="K392" s="62">
        <f t="shared" si="5"/>
        <v>0.17777777777777778</v>
      </c>
    </row>
    <row r="393" spans="1:11" hidden="1" x14ac:dyDescent="0.35">
      <c r="A393" s="33">
        <v>20020964</v>
      </c>
      <c r="B393" s="36" t="s">
        <v>323</v>
      </c>
      <c r="C393" s="37" t="s">
        <v>86</v>
      </c>
      <c r="D393" s="38" t="s">
        <v>87</v>
      </c>
      <c r="E393" s="38" t="s">
        <v>102</v>
      </c>
      <c r="F393" s="37">
        <v>10</v>
      </c>
      <c r="G393" s="37">
        <v>16</v>
      </c>
      <c r="H393" s="37">
        <v>12</v>
      </c>
      <c r="I393" s="37" t="s">
        <v>8</v>
      </c>
      <c r="J393" s="37" t="s">
        <v>7</v>
      </c>
      <c r="K393" s="62">
        <f t="shared" ref="K393:K456" si="6">H393/(F393+G393)</f>
        <v>0.46153846153846156</v>
      </c>
    </row>
    <row r="394" spans="1:11" hidden="1" x14ac:dyDescent="0.35">
      <c r="A394" s="33">
        <v>20020618</v>
      </c>
      <c r="B394" s="36" t="s">
        <v>1386</v>
      </c>
      <c r="C394" s="37" t="s">
        <v>86</v>
      </c>
      <c r="D394" s="38"/>
      <c r="E394" s="38" t="s">
        <v>68</v>
      </c>
      <c r="F394" s="37">
        <v>40</v>
      </c>
      <c r="G394" s="37">
        <v>80</v>
      </c>
      <c r="H394" s="37">
        <v>48</v>
      </c>
      <c r="I394" s="37" t="s">
        <v>8</v>
      </c>
      <c r="J394" s="37" t="s">
        <v>7</v>
      </c>
      <c r="K394" s="62">
        <f t="shared" si="6"/>
        <v>0.4</v>
      </c>
    </row>
    <row r="395" spans="1:11" hidden="1" x14ac:dyDescent="0.35">
      <c r="A395" s="33">
        <v>20020967</v>
      </c>
      <c r="B395" s="36" t="s">
        <v>324</v>
      </c>
      <c r="C395" s="37" t="s">
        <v>86</v>
      </c>
      <c r="D395" s="38"/>
      <c r="E395" s="38" t="s">
        <v>89</v>
      </c>
      <c r="F395" s="37">
        <v>50</v>
      </c>
      <c r="G395" s="37">
        <v>100</v>
      </c>
      <c r="H395" s="37">
        <v>87</v>
      </c>
      <c r="I395" s="37" t="s">
        <v>8</v>
      </c>
      <c r="J395" s="37" t="s">
        <v>7</v>
      </c>
      <c r="K395" s="62">
        <f t="shared" si="6"/>
        <v>0.57999999999999996</v>
      </c>
    </row>
    <row r="396" spans="1:11" hidden="1" x14ac:dyDescent="0.35">
      <c r="A396" s="33">
        <v>20020992</v>
      </c>
      <c r="B396" s="36" t="s">
        <v>325</v>
      </c>
      <c r="C396" s="37" t="s">
        <v>86</v>
      </c>
      <c r="D396" s="38"/>
      <c r="E396" s="38" t="s">
        <v>89</v>
      </c>
      <c r="F396" s="37">
        <v>1</v>
      </c>
      <c r="G396" s="37">
        <v>1</v>
      </c>
      <c r="H396" s="37">
        <v>1</v>
      </c>
      <c r="I396" s="37" t="s">
        <v>8</v>
      </c>
      <c r="J396" s="37" t="s">
        <v>7</v>
      </c>
      <c r="K396" s="62">
        <f t="shared" si="6"/>
        <v>0.5</v>
      </c>
    </row>
    <row r="397" spans="1:11" hidden="1" x14ac:dyDescent="0.35">
      <c r="A397" s="33">
        <v>20021006</v>
      </c>
      <c r="B397" s="36" t="s">
        <v>326</v>
      </c>
      <c r="C397" s="37" t="s">
        <v>86</v>
      </c>
      <c r="D397" s="38"/>
      <c r="E397" s="38" t="s">
        <v>89</v>
      </c>
      <c r="F397" s="37">
        <v>6</v>
      </c>
      <c r="G397" s="37">
        <v>10</v>
      </c>
      <c r="H397" s="37">
        <v>13</v>
      </c>
      <c r="I397" s="37" t="s">
        <v>8</v>
      </c>
      <c r="J397" s="37" t="s">
        <v>14</v>
      </c>
      <c r="K397" s="62">
        <f t="shared" si="6"/>
        <v>0.8125</v>
      </c>
    </row>
    <row r="398" spans="1:11" hidden="1" x14ac:dyDescent="0.35">
      <c r="A398" s="33">
        <v>20021132</v>
      </c>
      <c r="B398" s="36" t="s">
        <v>327</v>
      </c>
      <c r="C398" s="37" t="s">
        <v>86</v>
      </c>
      <c r="D398" s="38"/>
      <c r="E398" s="38" t="s">
        <v>89</v>
      </c>
      <c r="F398" s="37">
        <v>50</v>
      </c>
      <c r="G398" s="37">
        <v>30</v>
      </c>
      <c r="H398" s="37">
        <v>69</v>
      </c>
      <c r="I398" s="37" t="s">
        <v>8</v>
      </c>
      <c r="J398" s="37" t="s">
        <v>7</v>
      </c>
      <c r="K398" s="62">
        <f t="shared" si="6"/>
        <v>0.86250000000000004</v>
      </c>
    </row>
    <row r="399" spans="1:11" hidden="1" x14ac:dyDescent="0.35">
      <c r="A399" s="33">
        <v>20021134</v>
      </c>
      <c r="B399" s="36" t="s">
        <v>1387</v>
      </c>
      <c r="C399" s="37" t="s">
        <v>86</v>
      </c>
      <c r="D399" s="38"/>
      <c r="E399" s="38" t="s">
        <v>89</v>
      </c>
      <c r="F399" s="37">
        <v>50</v>
      </c>
      <c r="G399" s="37">
        <v>30</v>
      </c>
      <c r="H399" s="37">
        <v>72</v>
      </c>
      <c r="I399" s="37" t="s">
        <v>8</v>
      </c>
      <c r="J399" s="37" t="s">
        <v>7</v>
      </c>
      <c r="K399" s="62">
        <f t="shared" si="6"/>
        <v>0.9</v>
      </c>
    </row>
    <row r="400" spans="1:11" hidden="1" x14ac:dyDescent="0.35">
      <c r="A400" s="33">
        <v>20021152</v>
      </c>
      <c r="B400" s="36" t="s">
        <v>328</v>
      </c>
      <c r="C400" s="37" t="s">
        <v>86</v>
      </c>
      <c r="D400" s="38"/>
      <c r="E400" s="38" t="s">
        <v>89</v>
      </c>
      <c r="F400" s="37">
        <v>4</v>
      </c>
      <c r="G400" s="37">
        <v>6</v>
      </c>
      <c r="H400" s="37">
        <v>4</v>
      </c>
      <c r="I400" s="37" t="s">
        <v>24</v>
      </c>
      <c r="J400" s="37" t="s">
        <v>7</v>
      </c>
      <c r="K400" s="62">
        <f t="shared" si="6"/>
        <v>0.4</v>
      </c>
    </row>
    <row r="401" spans="1:11" hidden="1" x14ac:dyDescent="0.35">
      <c r="A401" s="33">
        <v>20020686</v>
      </c>
      <c r="B401" s="36" t="s">
        <v>1303</v>
      </c>
      <c r="C401" s="37" t="s">
        <v>86</v>
      </c>
      <c r="D401" s="38"/>
      <c r="E401" s="38" t="s">
        <v>68</v>
      </c>
      <c r="F401" s="37">
        <v>2</v>
      </c>
      <c r="G401" s="37">
        <v>2</v>
      </c>
      <c r="H401" s="37">
        <v>2</v>
      </c>
      <c r="I401" s="37" t="s">
        <v>8</v>
      </c>
      <c r="J401" s="37" t="s">
        <v>7</v>
      </c>
      <c r="K401" s="62">
        <f t="shared" si="6"/>
        <v>0.5</v>
      </c>
    </row>
    <row r="402" spans="1:11" hidden="1" x14ac:dyDescent="0.35">
      <c r="A402" s="33">
        <v>20021180</v>
      </c>
      <c r="B402" s="36" t="s">
        <v>329</v>
      </c>
      <c r="C402" s="37" t="s">
        <v>86</v>
      </c>
      <c r="D402" s="38"/>
      <c r="E402" s="38" t="s">
        <v>89</v>
      </c>
      <c r="F402" s="37">
        <v>5</v>
      </c>
      <c r="G402" s="37">
        <v>10</v>
      </c>
      <c r="H402" s="37">
        <v>6</v>
      </c>
      <c r="I402" s="37" t="s">
        <v>8</v>
      </c>
      <c r="J402" s="37" t="s">
        <v>7</v>
      </c>
      <c r="K402" s="62">
        <f t="shared" si="6"/>
        <v>0.4</v>
      </c>
    </row>
    <row r="403" spans="1:11" hidden="1" x14ac:dyDescent="0.35">
      <c r="A403" s="33">
        <v>20021428</v>
      </c>
      <c r="B403" s="36" t="s">
        <v>330</v>
      </c>
      <c r="C403" s="37" t="s">
        <v>86</v>
      </c>
      <c r="D403" s="38"/>
      <c r="E403" s="38" t="s">
        <v>89</v>
      </c>
      <c r="F403" s="37">
        <v>4</v>
      </c>
      <c r="G403" s="37">
        <v>6</v>
      </c>
      <c r="H403" s="37">
        <v>0</v>
      </c>
      <c r="I403" s="37" t="s">
        <v>8</v>
      </c>
      <c r="J403" s="37" t="s">
        <v>13</v>
      </c>
      <c r="K403" s="62">
        <f t="shared" si="6"/>
        <v>0</v>
      </c>
    </row>
    <row r="404" spans="1:11" hidden="1" x14ac:dyDescent="0.35">
      <c r="A404" s="33">
        <v>20021465</v>
      </c>
      <c r="B404" s="36" t="s">
        <v>331</v>
      </c>
      <c r="C404" s="37" t="s">
        <v>86</v>
      </c>
      <c r="D404" s="38" t="s">
        <v>87</v>
      </c>
      <c r="E404" s="38" t="s">
        <v>89</v>
      </c>
      <c r="F404" s="37">
        <v>1</v>
      </c>
      <c r="G404" s="37">
        <v>1</v>
      </c>
      <c r="H404" s="37">
        <v>8</v>
      </c>
      <c r="I404" s="37" t="s">
        <v>8</v>
      </c>
      <c r="J404" s="37" t="s">
        <v>14</v>
      </c>
      <c r="K404" s="62">
        <f t="shared" si="6"/>
        <v>4</v>
      </c>
    </row>
    <row r="405" spans="1:11" hidden="1" x14ac:dyDescent="0.35">
      <c r="A405" s="33">
        <v>20020781</v>
      </c>
      <c r="B405" s="36" t="s">
        <v>1284</v>
      </c>
      <c r="C405" s="37" t="s">
        <v>86</v>
      </c>
      <c r="D405" s="38"/>
      <c r="E405" s="38" t="s">
        <v>68</v>
      </c>
      <c r="F405" s="37">
        <v>20</v>
      </c>
      <c r="G405" s="37">
        <v>40</v>
      </c>
      <c r="H405" s="37">
        <v>0</v>
      </c>
      <c r="I405" s="37" t="s">
        <v>8</v>
      </c>
      <c r="J405" s="37" t="s">
        <v>13</v>
      </c>
      <c r="K405" s="62">
        <f t="shared" si="6"/>
        <v>0</v>
      </c>
    </row>
    <row r="406" spans="1:11" x14ac:dyDescent="0.35">
      <c r="A406" s="33">
        <v>20021581</v>
      </c>
      <c r="B406" s="36" t="s">
        <v>332</v>
      </c>
      <c r="C406" s="37" t="s">
        <v>86</v>
      </c>
      <c r="D406" s="38" t="s">
        <v>118</v>
      </c>
      <c r="E406" s="38" t="s">
        <v>89</v>
      </c>
      <c r="F406" s="37">
        <v>1</v>
      </c>
      <c r="G406" s="37">
        <v>1</v>
      </c>
      <c r="H406" s="37">
        <v>10</v>
      </c>
      <c r="I406" s="37" t="s">
        <v>8</v>
      </c>
      <c r="J406" s="37" t="s">
        <v>14</v>
      </c>
      <c r="K406" s="62">
        <f t="shared" si="6"/>
        <v>5</v>
      </c>
    </row>
    <row r="407" spans="1:11" hidden="1" x14ac:dyDescent="0.35">
      <c r="A407" s="33">
        <v>20021582</v>
      </c>
      <c r="B407" s="36" t="s">
        <v>333</v>
      </c>
      <c r="C407" s="37" t="s">
        <v>86</v>
      </c>
      <c r="D407" s="38" t="s">
        <v>118</v>
      </c>
      <c r="E407" s="38" t="s">
        <v>89</v>
      </c>
      <c r="F407" s="37">
        <v>1</v>
      </c>
      <c r="G407" s="37">
        <v>1</v>
      </c>
      <c r="H407" s="37">
        <v>6</v>
      </c>
      <c r="I407" s="37" t="s">
        <v>8</v>
      </c>
      <c r="J407" s="37" t="s">
        <v>14</v>
      </c>
      <c r="K407" s="62">
        <f t="shared" si="6"/>
        <v>3</v>
      </c>
    </row>
    <row r="408" spans="1:11" hidden="1" x14ac:dyDescent="0.35">
      <c r="A408" s="33">
        <v>20021584</v>
      </c>
      <c r="B408" s="36" t="s">
        <v>334</v>
      </c>
      <c r="C408" s="37" t="s">
        <v>86</v>
      </c>
      <c r="D408" s="38" t="s">
        <v>118</v>
      </c>
      <c r="E408" s="38" t="s">
        <v>89</v>
      </c>
      <c r="F408" s="37">
        <v>3</v>
      </c>
      <c r="G408" s="37">
        <v>4</v>
      </c>
      <c r="H408" s="37">
        <v>3</v>
      </c>
      <c r="I408" s="37" t="s">
        <v>8</v>
      </c>
      <c r="J408" s="37" t="s">
        <v>7</v>
      </c>
      <c r="K408" s="62">
        <f t="shared" si="6"/>
        <v>0.42857142857142855</v>
      </c>
    </row>
    <row r="409" spans="1:11" hidden="1" x14ac:dyDescent="0.35">
      <c r="A409" s="33">
        <v>20021585</v>
      </c>
      <c r="B409" s="36" t="s">
        <v>335</v>
      </c>
      <c r="C409" s="37" t="s">
        <v>86</v>
      </c>
      <c r="D409" s="38" t="s">
        <v>118</v>
      </c>
      <c r="E409" s="38" t="s">
        <v>89</v>
      </c>
      <c r="F409" s="37">
        <v>1</v>
      </c>
      <c r="G409" s="37">
        <v>1</v>
      </c>
      <c r="H409" s="37">
        <v>1</v>
      </c>
      <c r="I409" s="37" t="s">
        <v>8</v>
      </c>
      <c r="J409" s="37" t="s">
        <v>7</v>
      </c>
      <c r="K409" s="62">
        <f t="shared" si="6"/>
        <v>0.5</v>
      </c>
    </row>
    <row r="410" spans="1:11" hidden="1" x14ac:dyDescent="0.35">
      <c r="A410" s="33">
        <v>20021598</v>
      </c>
      <c r="B410" s="36" t="s">
        <v>336</v>
      </c>
      <c r="C410" s="37" t="s">
        <v>86</v>
      </c>
      <c r="D410" s="38" t="s">
        <v>118</v>
      </c>
      <c r="E410" s="38" t="s">
        <v>89</v>
      </c>
      <c r="F410" s="37">
        <v>10</v>
      </c>
      <c r="G410" s="37">
        <v>15</v>
      </c>
      <c r="H410" s="37">
        <v>2</v>
      </c>
      <c r="I410" s="37" t="s">
        <v>8</v>
      </c>
      <c r="J410" s="37" t="s">
        <v>9</v>
      </c>
      <c r="K410" s="62">
        <f t="shared" si="6"/>
        <v>0.08</v>
      </c>
    </row>
    <row r="411" spans="1:11" hidden="1" x14ac:dyDescent="0.35">
      <c r="A411" s="33">
        <v>20021599</v>
      </c>
      <c r="B411" s="36" t="s">
        <v>337</v>
      </c>
      <c r="C411" s="37" t="s">
        <v>86</v>
      </c>
      <c r="D411" s="38" t="s">
        <v>118</v>
      </c>
      <c r="E411" s="38" t="s">
        <v>89</v>
      </c>
      <c r="F411" s="37">
        <v>8</v>
      </c>
      <c r="G411" s="37">
        <v>10</v>
      </c>
      <c r="H411" s="37">
        <v>5</v>
      </c>
      <c r="I411" s="37" t="s">
        <v>8</v>
      </c>
      <c r="J411" s="37" t="s">
        <v>9</v>
      </c>
      <c r="K411" s="62">
        <f t="shared" si="6"/>
        <v>0.27777777777777779</v>
      </c>
    </row>
    <row r="412" spans="1:11" hidden="1" x14ac:dyDescent="0.35">
      <c r="A412" s="33">
        <v>20021810</v>
      </c>
      <c r="B412" s="36" t="s">
        <v>338</v>
      </c>
      <c r="C412" s="37" t="s">
        <v>86</v>
      </c>
      <c r="D412" s="38" t="s">
        <v>222</v>
      </c>
      <c r="E412" s="38" t="s">
        <v>89</v>
      </c>
      <c r="F412" s="37">
        <v>4</v>
      </c>
      <c r="G412" s="37">
        <v>4</v>
      </c>
      <c r="H412" s="37">
        <v>3</v>
      </c>
      <c r="I412" s="37" t="s">
        <v>8</v>
      </c>
      <c r="J412" s="37" t="s">
        <v>9</v>
      </c>
      <c r="K412" s="62">
        <f t="shared" si="6"/>
        <v>0.375</v>
      </c>
    </row>
    <row r="413" spans="1:11" hidden="1" x14ac:dyDescent="0.35">
      <c r="A413" s="33">
        <v>20021153</v>
      </c>
      <c r="B413" s="36" t="s">
        <v>1221</v>
      </c>
      <c r="C413" s="37" t="s">
        <v>86</v>
      </c>
      <c r="D413" s="38"/>
      <c r="E413" s="38" t="s">
        <v>68</v>
      </c>
      <c r="F413" s="37">
        <v>26</v>
      </c>
      <c r="G413" s="37">
        <v>30</v>
      </c>
      <c r="H413" s="37">
        <v>40</v>
      </c>
      <c r="I413" s="37" t="s">
        <v>24</v>
      </c>
      <c r="J413" s="37" t="s">
        <v>7</v>
      </c>
      <c r="K413" s="62">
        <f t="shared" si="6"/>
        <v>0.7142857142857143</v>
      </c>
    </row>
    <row r="414" spans="1:11" hidden="1" x14ac:dyDescent="0.35">
      <c r="A414" s="33">
        <v>20021816</v>
      </c>
      <c r="B414" s="36" t="s">
        <v>1428</v>
      </c>
      <c r="C414" s="37" t="s">
        <v>86</v>
      </c>
      <c r="D414" s="38"/>
      <c r="E414" s="38" t="s">
        <v>89</v>
      </c>
      <c r="F414" s="37">
        <v>30</v>
      </c>
      <c r="G414" s="37">
        <v>50</v>
      </c>
      <c r="H414" s="37">
        <v>46</v>
      </c>
      <c r="I414" s="37" t="s">
        <v>8</v>
      </c>
      <c r="J414" s="37" t="s">
        <v>7</v>
      </c>
      <c r="K414" s="62">
        <f t="shared" si="6"/>
        <v>0.57499999999999996</v>
      </c>
    </row>
    <row r="415" spans="1:11" hidden="1" x14ac:dyDescent="0.35">
      <c r="A415" s="33">
        <v>20021894</v>
      </c>
      <c r="B415" s="36" t="s">
        <v>339</v>
      </c>
      <c r="C415" s="37" t="s">
        <v>86</v>
      </c>
      <c r="D415" s="38"/>
      <c r="E415" s="38" t="s">
        <v>89</v>
      </c>
      <c r="F415" s="37">
        <v>9</v>
      </c>
      <c r="G415" s="37">
        <v>14</v>
      </c>
      <c r="H415" s="37">
        <v>64</v>
      </c>
      <c r="I415" s="37" t="s">
        <v>8</v>
      </c>
      <c r="J415" s="37" t="s">
        <v>14</v>
      </c>
      <c r="K415" s="62">
        <f t="shared" si="6"/>
        <v>2.7826086956521738</v>
      </c>
    </row>
    <row r="416" spans="1:11" hidden="1" x14ac:dyDescent="0.35">
      <c r="A416" s="33">
        <v>20021919</v>
      </c>
      <c r="B416" s="36" t="s">
        <v>340</v>
      </c>
      <c r="C416" s="37" t="s">
        <v>86</v>
      </c>
      <c r="D416" s="38" t="s">
        <v>87</v>
      </c>
      <c r="E416" s="38" t="s">
        <v>89</v>
      </c>
      <c r="F416" s="37">
        <v>2</v>
      </c>
      <c r="G416" s="37">
        <v>3</v>
      </c>
      <c r="H416" s="37">
        <v>16</v>
      </c>
      <c r="I416" s="37" t="s">
        <v>24</v>
      </c>
      <c r="J416" s="37" t="s">
        <v>14</v>
      </c>
      <c r="K416" s="62">
        <f t="shared" si="6"/>
        <v>3.2</v>
      </c>
    </row>
    <row r="417" spans="1:11" hidden="1" x14ac:dyDescent="0.35">
      <c r="A417" s="33">
        <v>20021920</v>
      </c>
      <c r="B417" s="36" t="s">
        <v>341</v>
      </c>
      <c r="C417" s="37" t="s">
        <v>86</v>
      </c>
      <c r="D417" s="38"/>
      <c r="E417" s="38" t="s">
        <v>89</v>
      </c>
      <c r="F417" s="37">
        <v>5</v>
      </c>
      <c r="G417" s="37">
        <v>10</v>
      </c>
      <c r="H417" s="37">
        <v>6</v>
      </c>
      <c r="I417" s="37" t="s">
        <v>8</v>
      </c>
      <c r="J417" s="37" t="s">
        <v>7</v>
      </c>
      <c r="K417" s="62">
        <f t="shared" si="6"/>
        <v>0.4</v>
      </c>
    </row>
    <row r="418" spans="1:11" hidden="1" x14ac:dyDescent="0.35">
      <c r="A418" s="33">
        <v>20022012</v>
      </c>
      <c r="B418" s="36" t="s">
        <v>342</v>
      </c>
      <c r="C418" s="37" t="s">
        <v>86</v>
      </c>
      <c r="D418" s="38" t="s">
        <v>115</v>
      </c>
      <c r="E418" s="38" t="s">
        <v>89</v>
      </c>
      <c r="F418" s="37">
        <v>3</v>
      </c>
      <c r="G418" s="37">
        <v>2</v>
      </c>
      <c r="H418" s="37">
        <v>3</v>
      </c>
      <c r="I418" s="37" t="s">
        <v>8</v>
      </c>
      <c r="J418" s="37" t="s">
        <v>7</v>
      </c>
      <c r="K418" s="62">
        <f t="shared" si="6"/>
        <v>0.6</v>
      </c>
    </row>
    <row r="419" spans="1:11" hidden="1" x14ac:dyDescent="0.35">
      <c r="A419" s="33">
        <v>20022078</v>
      </c>
      <c r="B419" s="36" t="s">
        <v>343</v>
      </c>
      <c r="C419" s="37" t="s">
        <v>86</v>
      </c>
      <c r="D419" s="38"/>
      <c r="E419" s="38" t="s">
        <v>89</v>
      </c>
      <c r="F419" s="37">
        <v>4</v>
      </c>
      <c r="G419" s="37">
        <v>8</v>
      </c>
      <c r="H419" s="37">
        <v>10</v>
      </c>
      <c r="I419" s="37" t="s">
        <v>8</v>
      </c>
      <c r="J419" s="37" t="s">
        <v>7</v>
      </c>
      <c r="K419" s="62">
        <f t="shared" si="6"/>
        <v>0.83333333333333337</v>
      </c>
    </row>
    <row r="420" spans="1:11" hidden="1" x14ac:dyDescent="0.35">
      <c r="A420" s="33">
        <v>20022079</v>
      </c>
      <c r="B420" s="36" t="s">
        <v>344</v>
      </c>
      <c r="C420" s="37" t="s">
        <v>86</v>
      </c>
      <c r="D420" s="38" t="s">
        <v>115</v>
      </c>
      <c r="E420" s="38" t="s">
        <v>89</v>
      </c>
      <c r="F420" s="37">
        <v>3</v>
      </c>
      <c r="G420" s="37">
        <v>8</v>
      </c>
      <c r="H420" s="37">
        <v>9</v>
      </c>
      <c r="I420" s="37" t="s">
        <v>8</v>
      </c>
      <c r="J420" s="37" t="s">
        <v>14</v>
      </c>
      <c r="K420" s="62">
        <f t="shared" si="6"/>
        <v>0.81818181818181823</v>
      </c>
    </row>
    <row r="421" spans="1:11" hidden="1" x14ac:dyDescent="0.35">
      <c r="A421" s="33">
        <v>20022104</v>
      </c>
      <c r="B421" s="36" t="s">
        <v>345</v>
      </c>
      <c r="C421" s="37" t="s">
        <v>86</v>
      </c>
      <c r="D421" s="38" t="s">
        <v>115</v>
      </c>
      <c r="E421" s="38" t="s">
        <v>89</v>
      </c>
      <c r="F421" s="37">
        <v>5</v>
      </c>
      <c r="G421" s="37">
        <v>10</v>
      </c>
      <c r="H421" s="37">
        <v>7</v>
      </c>
      <c r="I421" s="37" t="s">
        <v>8</v>
      </c>
      <c r="J421" s="37" t="s">
        <v>7</v>
      </c>
      <c r="K421" s="62">
        <f t="shared" si="6"/>
        <v>0.46666666666666667</v>
      </c>
    </row>
    <row r="422" spans="1:11" hidden="1" x14ac:dyDescent="0.35">
      <c r="A422" s="33">
        <v>20022141</v>
      </c>
      <c r="B422" s="36" t="s">
        <v>346</v>
      </c>
      <c r="C422" s="37" t="s">
        <v>86</v>
      </c>
      <c r="D422" s="38" t="s">
        <v>87</v>
      </c>
      <c r="E422" s="38" t="s">
        <v>89</v>
      </c>
      <c r="F422" s="37">
        <v>1</v>
      </c>
      <c r="G422" s="37">
        <v>1</v>
      </c>
      <c r="H422" s="37">
        <v>1</v>
      </c>
      <c r="I422" s="37" t="s">
        <v>8</v>
      </c>
      <c r="J422" s="37" t="s">
        <v>7</v>
      </c>
      <c r="K422" s="62">
        <f t="shared" si="6"/>
        <v>0.5</v>
      </c>
    </row>
    <row r="423" spans="1:11" hidden="1" x14ac:dyDescent="0.35">
      <c r="A423" s="33">
        <v>20021665</v>
      </c>
      <c r="B423" s="36" t="s">
        <v>1491</v>
      </c>
      <c r="C423" s="37" t="s">
        <v>86</v>
      </c>
      <c r="D423" s="38"/>
      <c r="E423" s="38" t="s">
        <v>68</v>
      </c>
      <c r="F423" s="37">
        <v>2</v>
      </c>
      <c r="G423" s="37">
        <v>2</v>
      </c>
      <c r="H423" s="37">
        <v>5</v>
      </c>
      <c r="I423" s="37" t="s">
        <v>8</v>
      </c>
      <c r="J423" s="37" t="s">
        <v>14</v>
      </c>
      <c r="K423" s="62">
        <f t="shared" si="6"/>
        <v>1.25</v>
      </c>
    </row>
    <row r="424" spans="1:11" hidden="1" x14ac:dyDescent="0.35">
      <c r="A424" s="33">
        <v>20022150</v>
      </c>
      <c r="B424" s="36" t="s">
        <v>347</v>
      </c>
      <c r="C424" s="37" t="s">
        <v>86</v>
      </c>
      <c r="D424" s="38" t="s">
        <v>118</v>
      </c>
      <c r="E424" s="38" t="s">
        <v>89</v>
      </c>
      <c r="F424" s="37">
        <v>4</v>
      </c>
      <c r="G424" s="37">
        <v>6</v>
      </c>
      <c r="H424" s="37">
        <v>6</v>
      </c>
      <c r="I424" s="37" t="s">
        <v>8</v>
      </c>
      <c r="J424" s="37" t="s">
        <v>7</v>
      </c>
      <c r="K424" s="62">
        <f t="shared" si="6"/>
        <v>0.6</v>
      </c>
    </row>
    <row r="425" spans="1:11" hidden="1" x14ac:dyDescent="0.35">
      <c r="A425" s="33">
        <v>20022229</v>
      </c>
      <c r="B425" s="36" t="s">
        <v>348</v>
      </c>
      <c r="C425" s="37" t="s">
        <v>86</v>
      </c>
      <c r="D425" s="38" t="s">
        <v>118</v>
      </c>
      <c r="E425" s="38" t="s">
        <v>89</v>
      </c>
      <c r="F425" s="37">
        <v>1</v>
      </c>
      <c r="G425" s="37">
        <v>1</v>
      </c>
      <c r="H425" s="37">
        <v>1</v>
      </c>
      <c r="I425" s="37" t="s">
        <v>8</v>
      </c>
      <c r="J425" s="37" t="s">
        <v>7</v>
      </c>
      <c r="K425" s="62">
        <f t="shared" si="6"/>
        <v>0.5</v>
      </c>
    </row>
    <row r="426" spans="1:11" hidden="1" x14ac:dyDescent="0.35">
      <c r="A426" s="33">
        <v>20022336</v>
      </c>
      <c r="B426" s="36" t="s">
        <v>349</v>
      </c>
      <c r="C426" s="37" t="s">
        <v>86</v>
      </c>
      <c r="D426" s="38"/>
      <c r="E426" s="38" t="s">
        <v>89</v>
      </c>
      <c r="F426" s="37">
        <v>10</v>
      </c>
      <c r="G426" s="37">
        <v>5</v>
      </c>
      <c r="H426" s="37">
        <v>10</v>
      </c>
      <c r="I426" s="37" t="s">
        <v>8</v>
      </c>
      <c r="J426" s="37" t="s">
        <v>7</v>
      </c>
      <c r="K426" s="62">
        <f t="shared" si="6"/>
        <v>0.66666666666666663</v>
      </c>
    </row>
    <row r="427" spans="1:11" x14ac:dyDescent="0.35">
      <c r="A427" s="33">
        <v>20022432</v>
      </c>
      <c r="B427" s="36" t="s">
        <v>350</v>
      </c>
      <c r="C427" s="37" t="s">
        <v>86</v>
      </c>
      <c r="D427" s="38" t="s">
        <v>115</v>
      </c>
      <c r="E427" s="38" t="s">
        <v>89</v>
      </c>
      <c r="F427" s="37">
        <v>1</v>
      </c>
      <c r="G427" s="37">
        <v>1</v>
      </c>
      <c r="H427" s="37">
        <v>17</v>
      </c>
      <c r="I427" s="37" t="s">
        <v>8</v>
      </c>
      <c r="J427" s="37" t="s">
        <v>14</v>
      </c>
      <c r="K427" s="62">
        <f t="shared" si="6"/>
        <v>8.5</v>
      </c>
    </row>
    <row r="428" spans="1:11" hidden="1" x14ac:dyDescent="0.35">
      <c r="A428" s="33">
        <v>20021907</v>
      </c>
      <c r="B428" s="36" t="s">
        <v>1366</v>
      </c>
      <c r="C428" s="37" t="s">
        <v>86</v>
      </c>
      <c r="D428" s="38"/>
      <c r="E428" s="38" t="s">
        <v>68</v>
      </c>
      <c r="F428" s="37">
        <v>2</v>
      </c>
      <c r="G428" s="37">
        <v>2</v>
      </c>
      <c r="H428" s="37">
        <v>1</v>
      </c>
      <c r="I428" s="37" t="s">
        <v>8</v>
      </c>
      <c r="J428" s="37" t="s">
        <v>9</v>
      </c>
      <c r="K428" s="62">
        <f t="shared" si="6"/>
        <v>0.25</v>
      </c>
    </row>
    <row r="429" spans="1:11" x14ac:dyDescent="0.35">
      <c r="A429" s="33">
        <v>20022436</v>
      </c>
      <c r="B429" s="36" t="s">
        <v>351</v>
      </c>
      <c r="C429" s="37" t="s">
        <v>86</v>
      </c>
      <c r="D429" s="38" t="s">
        <v>118</v>
      </c>
      <c r="E429" s="38" t="s">
        <v>89</v>
      </c>
      <c r="F429" s="37">
        <v>1</v>
      </c>
      <c r="G429" s="37">
        <v>1</v>
      </c>
      <c r="H429" s="37">
        <v>70</v>
      </c>
      <c r="I429" s="37" t="s">
        <v>8</v>
      </c>
      <c r="J429" s="37" t="s">
        <v>14</v>
      </c>
      <c r="K429" s="62">
        <f t="shared" si="6"/>
        <v>35</v>
      </c>
    </row>
    <row r="430" spans="1:11" hidden="1" x14ac:dyDescent="0.35">
      <c r="A430" s="33">
        <v>20021909</v>
      </c>
      <c r="B430" s="36" t="s">
        <v>1347</v>
      </c>
      <c r="C430" s="37" t="s">
        <v>86</v>
      </c>
      <c r="D430" s="38"/>
      <c r="E430" s="38" t="s">
        <v>68</v>
      </c>
      <c r="F430" s="37">
        <v>2</v>
      </c>
      <c r="G430" s="37">
        <v>4</v>
      </c>
      <c r="H430" s="37">
        <v>4</v>
      </c>
      <c r="I430" s="37" t="s">
        <v>8</v>
      </c>
      <c r="J430" s="37" t="s">
        <v>7</v>
      </c>
      <c r="K430" s="62">
        <f t="shared" si="6"/>
        <v>0.66666666666666663</v>
      </c>
    </row>
    <row r="431" spans="1:11" hidden="1" x14ac:dyDescent="0.35">
      <c r="A431" s="33">
        <v>20022673</v>
      </c>
      <c r="B431" s="36" t="s">
        <v>352</v>
      </c>
      <c r="C431" s="37" t="s">
        <v>86</v>
      </c>
      <c r="D431" s="38" t="s">
        <v>97</v>
      </c>
      <c r="E431" s="38" t="s">
        <v>89</v>
      </c>
      <c r="F431" s="37">
        <v>3</v>
      </c>
      <c r="G431" s="37">
        <v>4</v>
      </c>
      <c r="H431" s="37">
        <v>10</v>
      </c>
      <c r="I431" s="37" t="s">
        <v>8</v>
      </c>
      <c r="J431" s="37" t="s">
        <v>14</v>
      </c>
      <c r="K431" s="62">
        <f t="shared" si="6"/>
        <v>1.4285714285714286</v>
      </c>
    </row>
    <row r="432" spans="1:11" hidden="1" x14ac:dyDescent="0.35">
      <c r="A432" s="33">
        <v>20022011</v>
      </c>
      <c r="B432" s="36" t="s">
        <v>1388</v>
      </c>
      <c r="C432" s="37" t="s">
        <v>86</v>
      </c>
      <c r="D432" s="38"/>
      <c r="E432" s="38" t="s">
        <v>68</v>
      </c>
      <c r="F432" s="37">
        <v>5</v>
      </c>
      <c r="G432" s="37">
        <v>5</v>
      </c>
      <c r="H432" s="37">
        <v>9</v>
      </c>
      <c r="I432" s="37" t="s">
        <v>8</v>
      </c>
      <c r="J432" s="37" t="s">
        <v>7</v>
      </c>
      <c r="K432" s="62">
        <f t="shared" si="6"/>
        <v>0.9</v>
      </c>
    </row>
    <row r="433" spans="1:11" hidden="1" x14ac:dyDescent="0.35">
      <c r="A433" s="33">
        <v>20022057</v>
      </c>
      <c r="B433" s="36" t="s">
        <v>1057</v>
      </c>
      <c r="C433" s="37" t="s">
        <v>86</v>
      </c>
      <c r="D433" s="38"/>
      <c r="E433" s="38" t="s">
        <v>68</v>
      </c>
      <c r="F433" s="37">
        <v>20</v>
      </c>
      <c r="G433" s="37">
        <v>20</v>
      </c>
      <c r="H433" s="37">
        <v>115</v>
      </c>
      <c r="I433" s="37" t="s">
        <v>8</v>
      </c>
      <c r="J433" s="37" t="s">
        <v>14</v>
      </c>
      <c r="K433" s="62">
        <f t="shared" si="6"/>
        <v>2.875</v>
      </c>
    </row>
    <row r="434" spans="1:11" hidden="1" x14ac:dyDescent="0.35">
      <c r="A434" s="33">
        <v>20022101</v>
      </c>
      <c r="B434" s="36" t="s">
        <v>1248</v>
      </c>
      <c r="C434" s="37" t="s">
        <v>86</v>
      </c>
      <c r="D434" s="38"/>
      <c r="E434" s="38" t="s">
        <v>68</v>
      </c>
      <c r="F434" s="37">
        <v>5</v>
      </c>
      <c r="G434" s="37">
        <v>10</v>
      </c>
      <c r="H434" s="37">
        <v>0</v>
      </c>
      <c r="I434" s="37" t="s">
        <v>8</v>
      </c>
      <c r="J434" s="37" t="s">
        <v>13</v>
      </c>
      <c r="K434" s="62">
        <f t="shared" si="6"/>
        <v>0</v>
      </c>
    </row>
    <row r="435" spans="1:11" hidden="1" x14ac:dyDescent="0.35">
      <c r="A435" s="33">
        <v>20022425</v>
      </c>
      <c r="B435" s="36" t="s">
        <v>871</v>
      </c>
      <c r="C435" s="37" t="s">
        <v>86</v>
      </c>
      <c r="D435" s="38"/>
      <c r="E435" s="38" t="s">
        <v>102</v>
      </c>
      <c r="F435" s="37">
        <v>20</v>
      </c>
      <c r="G435" s="37">
        <v>24</v>
      </c>
      <c r="H435" s="37">
        <v>42</v>
      </c>
      <c r="I435" s="37" t="s">
        <v>8</v>
      </c>
      <c r="J435" s="37" t="s">
        <v>7</v>
      </c>
      <c r="K435" s="62">
        <f t="shared" si="6"/>
        <v>0.95454545454545459</v>
      </c>
    </row>
    <row r="436" spans="1:11" hidden="1" x14ac:dyDescent="0.35">
      <c r="A436" s="33">
        <v>20022605</v>
      </c>
      <c r="B436" s="36" t="s">
        <v>1304</v>
      </c>
      <c r="C436" s="37" t="s">
        <v>86</v>
      </c>
      <c r="D436" s="38"/>
      <c r="E436" s="38" t="s">
        <v>68</v>
      </c>
      <c r="F436" s="37">
        <v>2</v>
      </c>
      <c r="G436" s="37">
        <v>2</v>
      </c>
      <c r="H436" s="37">
        <v>2</v>
      </c>
      <c r="I436" s="37" t="s">
        <v>8</v>
      </c>
      <c r="J436" s="37" t="s">
        <v>13</v>
      </c>
      <c r="K436" s="62">
        <f t="shared" si="6"/>
        <v>0.5</v>
      </c>
    </row>
    <row r="437" spans="1:11" hidden="1" x14ac:dyDescent="0.35">
      <c r="A437" s="33">
        <v>20022683</v>
      </c>
      <c r="B437" s="36" t="s">
        <v>1389</v>
      </c>
      <c r="C437" s="37" t="s">
        <v>86</v>
      </c>
      <c r="D437" s="38"/>
      <c r="E437" s="38" t="s">
        <v>68</v>
      </c>
      <c r="F437" s="37">
        <v>10</v>
      </c>
      <c r="G437" s="37">
        <v>20</v>
      </c>
      <c r="H437" s="37">
        <v>22</v>
      </c>
      <c r="I437" s="37" t="s">
        <v>8</v>
      </c>
      <c r="J437" s="37" t="s">
        <v>7</v>
      </c>
      <c r="K437" s="62">
        <f t="shared" si="6"/>
        <v>0.73333333333333328</v>
      </c>
    </row>
    <row r="438" spans="1:11" hidden="1" x14ac:dyDescent="0.35">
      <c r="A438" s="33">
        <v>20022697</v>
      </c>
      <c r="B438" s="36" t="s">
        <v>1249</v>
      </c>
      <c r="C438" s="37" t="s">
        <v>86</v>
      </c>
      <c r="D438" s="38"/>
      <c r="E438" s="38" t="s">
        <v>68</v>
      </c>
      <c r="F438" s="37">
        <v>2</v>
      </c>
      <c r="G438" s="37">
        <v>2</v>
      </c>
      <c r="H438" s="37">
        <v>3</v>
      </c>
      <c r="I438" s="37" t="s">
        <v>8</v>
      </c>
      <c r="J438" s="37" t="s">
        <v>7</v>
      </c>
      <c r="K438" s="62">
        <f t="shared" si="6"/>
        <v>0.75</v>
      </c>
    </row>
    <row r="439" spans="1:11" hidden="1" x14ac:dyDescent="0.35">
      <c r="A439" s="33">
        <v>20022698</v>
      </c>
      <c r="B439" s="36" t="s">
        <v>363</v>
      </c>
      <c r="C439" s="37" t="s">
        <v>86</v>
      </c>
      <c r="D439" s="38"/>
      <c r="E439" s="38" t="s">
        <v>68</v>
      </c>
      <c r="F439" s="37">
        <v>20</v>
      </c>
      <c r="G439" s="37">
        <v>20</v>
      </c>
      <c r="H439" s="37">
        <v>32</v>
      </c>
      <c r="I439" s="37" t="s">
        <v>8</v>
      </c>
      <c r="J439" s="37" t="s">
        <v>7</v>
      </c>
      <c r="K439" s="62">
        <f t="shared" si="6"/>
        <v>0.8</v>
      </c>
    </row>
    <row r="440" spans="1:11" hidden="1" x14ac:dyDescent="0.35">
      <c r="A440" s="33">
        <v>20022707</v>
      </c>
      <c r="B440" s="36" t="s">
        <v>364</v>
      </c>
      <c r="C440" s="37" t="s">
        <v>86</v>
      </c>
      <c r="D440" s="38"/>
      <c r="E440" s="38" t="s">
        <v>68</v>
      </c>
      <c r="F440" s="37">
        <v>5</v>
      </c>
      <c r="G440" s="37">
        <v>10</v>
      </c>
      <c r="H440" s="37">
        <v>30</v>
      </c>
      <c r="I440" s="37" t="s">
        <v>8</v>
      </c>
      <c r="J440" s="37" t="s">
        <v>14</v>
      </c>
      <c r="K440" s="62">
        <f t="shared" si="6"/>
        <v>2</v>
      </c>
    </row>
    <row r="441" spans="1:11" hidden="1" x14ac:dyDescent="0.35">
      <c r="A441" s="33">
        <v>20022711</v>
      </c>
      <c r="B441" s="36" t="s">
        <v>1250</v>
      </c>
      <c r="C441" s="37" t="s">
        <v>86</v>
      </c>
      <c r="D441" s="38"/>
      <c r="E441" s="38" t="s">
        <v>68</v>
      </c>
      <c r="F441" s="37">
        <v>2</v>
      </c>
      <c r="G441" s="37">
        <v>2</v>
      </c>
      <c r="H441" s="37">
        <v>3</v>
      </c>
      <c r="I441" s="37" t="s">
        <v>8</v>
      </c>
      <c r="J441" s="37" t="s">
        <v>7</v>
      </c>
      <c r="K441" s="62">
        <f t="shared" si="6"/>
        <v>0.75</v>
      </c>
    </row>
    <row r="442" spans="1:11" hidden="1" x14ac:dyDescent="0.35">
      <c r="A442" s="33">
        <v>20022877</v>
      </c>
      <c r="B442" s="36" t="s">
        <v>365</v>
      </c>
      <c r="C442" s="37" t="s">
        <v>86</v>
      </c>
      <c r="D442" s="38"/>
      <c r="E442" s="38" t="s">
        <v>68</v>
      </c>
      <c r="F442" s="37">
        <v>1</v>
      </c>
      <c r="G442" s="37">
        <v>1</v>
      </c>
      <c r="H442" s="37">
        <v>5</v>
      </c>
      <c r="I442" s="37" t="s">
        <v>8</v>
      </c>
      <c r="J442" s="37" t="s">
        <v>14</v>
      </c>
      <c r="K442" s="62">
        <f t="shared" si="6"/>
        <v>2.5</v>
      </c>
    </row>
    <row r="443" spans="1:11" hidden="1" x14ac:dyDescent="0.35">
      <c r="A443" s="33">
        <v>20022878</v>
      </c>
      <c r="B443" s="36" t="s">
        <v>366</v>
      </c>
      <c r="C443" s="37" t="s">
        <v>86</v>
      </c>
      <c r="D443" s="38"/>
      <c r="E443" s="38" t="s">
        <v>68</v>
      </c>
      <c r="F443" s="37">
        <v>1</v>
      </c>
      <c r="G443" s="37">
        <v>1</v>
      </c>
      <c r="H443" s="37">
        <v>9</v>
      </c>
      <c r="I443" s="37" t="s">
        <v>8</v>
      </c>
      <c r="J443" s="37" t="s">
        <v>14</v>
      </c>
      <c r="K443" s="62">
        <f t="shared" si="6"/>
        <v>4.5</v>
      </c>
    </row>
    <row r="444" spans="1:11" hidden="1" x14ac:dyDescent="0.35">
      <c r="A444" s="33">
        <v>20022888</v>
      </c>
      <c r="B444" s="36" t="s">
        <v>367</v>
      </c>
      <c r="C444" s="37" t="s">
        <v>86</v>
      </c>
      <c r="D444" s="38"/>
      <c r="E444" s="38" t="s">
        <v>68</v>
      </c>
      <c r="F444" s="37">
        <v>880</v>
      </c>
      <c r="G444" s="37">
        <v>1500</v>
      </c>
      <c r="H444" s="37">
        <v>1100</v>
      </c>
      <c r="I444" s="37" t="s">
        <v>25</v>
      </c>
      <c r="J444" s="37" t="s">
        <v>7</v>
      </c>
      <c r="K444" s="62">
        <f t="shared" si="6"/>
        <v>0.46218487394957986</v>
      </c>
    </row>
    <row r="445" spans="1:11" hidden="1" x14ac:dyDescent="0.35">
      <c r="A445" s="33">
        <v>20022922</v>
      </c>
      <c r="B445" s="36" t="s">
        <v>368</v>
      </c>
      <c r="C445" s="37" t="s">
        <v>86</v>
      </c>
      <c r="D445" s="38"/>
      <c r="E445" s="38" t="s">
        <v>68</v>
      </c>
      <c r="F445" s="37">
        <v>3</v>
      </c>
      <c r="G445" s="37">
        <v>7</v>
      </c>
      <c r="H445" s="37">
        <v>6</v>
      </c>
      <c r="I445" s="37" t="s">
        <v>8</v>
      </c>
      <c r="J445" s="37" t="s">
        <v>7</v>
      </c>
      <c r="K445" s="62">
        <f t="shared" si="6"/>
        <v>0.6</v>
      </c>
    </row>
    <row r="446" spans="1:11" hidden="1" x14ac:dyDescent="0.35">
      <c r="A446" s="33">
        <v>20022924</v>
      </c>
      <c r="B446" s="36" t="s">
        <v>369</v>
      </c>
      <c r="C446" s="37" t="s">
        <v>86</v>
      </c>
      <c r="D446" s="38"/>
      <c r="E446" s="38" t="s">
        <v>68</v>
      </c>
      <c r="F446" s="37">
        <v>3</v>
      </c>
      <c r="G446" s="37">
        <v>6</v>
      </c>
      <c r="H446" s="37">
        <v>16</v>
      </c>
      <c r="I446" s="37" t="s">
        <v>8</v>
      </c>
      <c r="J446" s="37" t="s">
        <v>14</v>
      </c>
      <c r="K446" s="62">
        <f t="shared" si="6"/>
        <v>1.7777777777777777</v>
      </c>
    </row>
    <row r="447" spans="1:11" hidden="1" x14ac:dyDescent="0.35">
      <c r="A447" s="33">
        <v>20022992</v>
      </c>
      <c r="B447" s="36" t="s">
        <v>370</v>
      </c>
      <c r="C447" s="37" t="s">
        <v>86</v>
      </c>
      <c r="D447" s="38"/>
      <c r="E447" s="38" t="s">
        <v>68</v>
      </c>
      <c r="F447" s="37">
        <v>4000</v>
      </c>
      <c r="G447" s="37">
        <v>6000</v>
      </c>
      <c r="H447" s="37">
        <v>1000</v>
      </c>
      <c r="I447" s="37" t="s">
        <v>8</v>
      </c>
      <c r="J447" s="37" t="s">
        <v>9</v>
      </c>
      <c r="K447" s="62">
        <f t="shared" si="6"/>
        <v>0.1</v>
      </c>
    </row>
    <row r="448" spans="1:11" hidden="1" x14ac:dyDescent="0.35">
      <c r="A448" s="33">
        <v>20023010</v>
      </c>
      <c r="B448" s="36" t="s">
        <v>371</v>
      </c>
      <c r="C448" s="37" t="s">
        <v>86</v>
      </c>
      <c r="D448" s="38"/>
      <c r="E448" s="38" t="s">
        <v>68</v>
      </c>
      <c r="F448" s="37">
        <v>3</v>
      </c>
      <c r="G448" s="37">
        <v>2</v>
      </c>
      <c r="H448" s="37">
        <v>4</v>
      </c>
      <c r="I448" s="37" t="s">
        <v>8</v>
      </c>
      <c r="J448" s="37" t="s">
        <v>7</v>
      </c>
      <c r="K448" s="62">
        <f t="shared" si="6"/>
        <v>0.8</v>
      </c>
    </row>
    <row r="449" spans="1:11" hidden="1" x14ac:dyDescent="0.35">
      <c r="A449" s="33">
        <v>20023022</v>
      </c>
      <c r="B449" s="36" t="s">
        <v>372</v>
      </c>
      <c r="C449" s="37" t="s">
        <v>86</v>
      </c>
      <c r="D449" s="38"/>
      <c r="E449" s="38" t="s">
        <v>68</v>
      </c>
      <c r="F449" s="37">
        <v>3</v>
      </c>
      <c r="G449" s="37">
        <v>6</v>
      </c>
      <c r="H449" s="37">
        <v>0</v>
      </c>
      <c r="I449" s="37" t="s">
        <v>8</v>
      </c>
      <c r="J449" s="37" t="s">
        <v>7</v>
      </c>
      <c r="K449" s="62">
        <f t="shared" si="6"/>
        <v>0</v>
      </c>
    </row>
    <row r="450" spans="1:11" hidden="1" x14ac:dyDescent="0.35">
      <c r="A450" s="33">
        <v>20023087</v>
      </c>
      <c r="B450" s="36" t="s">
        <v>373</v>
      </c>
      <c r="C450" s="37" t="s">
        <v>86</v>
      </c>
      <c r="D450" s="38"/>
      <c r="E450" s="38" t="s">
        <v>68</v>
      </c>
      <c r="F450" s="37">
        <v>4</v>
      </c>
      <c r="G450" s="37">
        <v>6</v>
      </c>
      <c r="H450" s="37">
        <v>6</v>
      </c>
      <c r="I450" s="37" t="s">
        <v>8</v>
      </c>
      <c r="J450" s="37" t="s">
        <v>7</v>
      </c>
      <c r="K450" s="62">
        <f t="shared" si="6"/>
        <v>0.6</v>
      </c>
    </row>
    <row r="451" spans="1:11" hidden="1" x14ac:dyDescent="0.35">
      <c r="A451" s="33">
        <v>20023178</v>
      </c>
      <c r="B451" s="36" t="s">
        <v>374</v>
      </c>
      <c r="C451" s="37" t="s">
        <v>86</v>
      </c>
      <c r="D451" s="38"/>
      <c r="E451" s="38" t="s">
        <v>68</v>
      </c>
      <c r="F451" s="37">
        <v>2</v>
      </c>
      <c r="G451" s="37">
        <v>3</v>
      </c>
      <c r="H451" s="37">
        <v>4</v>
      </c>
      <c r="I451" s="37" t="s">
        <v>8</v>
      </c>
      <c r="J451" s="37" t="s">
        <v>7</v>
      </c>
      <c r="K451" s="62">
        <f t="shared" si="6"/>
        <v>0.8</v>
      </c>
    </row>
    <row r="452" spans="1:11" hidden="1" x14ac:dyDescent="0.35">
      <c r="A452" s="33">
        <v>20023179</v>
      </c>
      <c r="B452" s="36" t="s">
        <v>375</v>
      </c>
      <c r="C452" s="37" t="s">
        <v>86</v>
      </c>
      <c r="D452" s="38"/>
      <c r="E452" s="38" t="s">
        <v>68</v>
      </c>
      <c r="F452" s="37">
        <v>20</v>
      </c>
      <c r="G452" s="37">
        <v>20</v>
      </c>
      <c r="H452" s="37">
        <v>114</v>
      </c>
      <c r="I452" s="37" t="s">
        <v>8</v>
      </c>
      <c r="J452" s="37" t="s">
        <v>14</v>
      </c>
      <c r="K452" s="62">
        <f t="shared" si="6"/>
        <v>2.85</v>
      </c>
    </row>
    <row r="453" spans="1:11" hidden="1" x14ac:dyDescent="0.35">
      <c r="A453" s="33">
        <v>20023241</v>
      </c>
      <c r="B453" s="36" t="s">
        <v>376</v>
      </c>
      <c r="C453" s="37" t="s">
        <v>86</v>
      </c>
      <c r="D453" s="38"/>
      <c r="E453" s="38" t="s">
        <v>68</v>
      </c>
      <c r="F453" s="37">
        <v>2</v>
      </c>
      <c r="G453" s="37">
        <v>1</v>
      </c>
      <c r="H453" s="37">
        <v>6</v>
      </c>
      <c r="I453" s="37" t="s">
        <v>8</v>
      </c>
      <c r="J453" s="37" t="s">
        <v>14</v>
      </c>
      <c r="K453" s="62">
        <f t="shared" si="6"/>
        <v>2</v>
      </c>
    </row>
    <row r="454" spans="1:11" hidden="1" x14ac:dyDescent="0.35">
      <c r="A454" s="33">
        <v>20023269</v>
      </c>
      <c r="B454" s="36" t="s">
        <v>377</v>
      </c>
      <c r="C454" s="37" t="s">
        <v>86</v>
      </c>
      <c r="D454" s="38"/>
      <c r="E454" s="38" t="s">
        <v>68</v>
      </c>
      <c r="F454" s="37">
        <v>15</v>
      </c>
      <c r="G454" s="37">
        <v>20</v>
      </c>
      <c r="H454" s="37">
        <v>22</v>
      </c>
      <c r="I454" s="37" t="s">
        <v>8</v>
      </c>
      <c r="J454" s="37" t="s">
        <v>7</v>
      </c>
      <c r="K454" s="62">
        <f t="shared" si="6"/>
        <v>0.62857142857142856</v>
      </c>
    </row>
    <row r="455" spans="1:11" hidden="1" x14ac:dyDescent="0.35">
      <c r="A455" s="33">
        <v>20023350</v>
      </c>
      <c r="B455" s="36" t="s">
        <v>378</v>
      </c>
      <c r="C455" s="37" t="s">
        <v>86</v>
      </c>
      <c r="D455" s="38"/>
      <c r="E455" s="38" t="s">
        <v>68</v>
      </c>
      <c r="F455" s="37">
        <v>2</v>
      </c>
      <c r="G455" s="37">
        <v>2</v>
      </c>
      <c r="H455" s="37">
        <v>4</v>
      </c>
      <c r="I455" s="37" t="s">
        <v>8</v>
      </c>
      <c r="J455" s="37" t="s">
        <v>7</v>
      </c>
      <c r="K455" s="62">
        <f t="shared" si="6"/>
        <v>1</v>
      </c>
    </row>
    <row r="456" spans="1:11" hidden="1" x14ac:dyDescent="0.35">
      <c r="A456" s="33">
        <v>20023401</v>
      </c>
      <c r="B456" s="36" t="s">
        <v>379</v>
      </c>
      <c r="C456" s="37" t="s">
        <v>86</v>
      </c>
      <c r="D456" s="38"/>
      <c r="E456" s="38" t="s">
        <v>68</v>
      </c>
      <c r="F456" s="37">
        <v>10</v>
      </c>
      <c r="G456" s="37">
        <v>10</v>
      </c>
      <c r="H456" s="37">
        <v>14</v>
      </c>
      <c r="I456" s="37" t="s">
        <v>8</v>
      </c>
      <c r="J456" s="37" t="s">
        <v>7</v>
      </c>
      <c r="K456" s="62">
        <f t="shared" si="6"/>
        <v>0.7</v>
      </c>
    </row>
    <row r="457" spans="1:11" hidden="1" x14ac:dyDescent="0.35">
      <c r="A457" s="33">
        <v>20023429</v>
      </c>
      <c r="B457" s="36" t="s">
        <v>380</v>
      </c>
      <c r="C457" s="37" t="s">
        <v>86</v>
      </c>
      <c r="D457" s="38"/>
      <c r="E457" s="38" t="s">
        <v>68</v>
      </c>
      <c r="F457" s="37">
        <v>3</v>
      </c>
      <c r="G457" s="37">
        <v>2</v>
      </c>
      <c r="H457" s="37">
        <v>2</v>
      </c>
      <c r="I457" s="37" t="s">
        <v>8</v>
      </c>
      <c r="J457" s="37" t="s">
        <v>9</v>
      </c>
      <c r="K457" s="62">
        <f t="shared" ref="K457:K520" si="7">H457/(F457+G457)</f>
        <v>0.4</v>
      </c>
    </row>
    <row r="458" spans="1:11" hidden="1" x14ac:dyDescent="0.35">
      <c r="A458" s="33">
        <v>20023458</v>
      </c>
      <c r="B458" s="36" t="s">
        <v>1348</v>
      </c>
      <c r="C458" s="37" t="s">
        <v>86</v>
      </c>
      <c r="D458" s="38"/>
      <c r="E458" s="38" t="s">
        <v>68</v>
      </c>
      <c r="F458" s="37">
        <v>10</v>
      </c>
      <c r="G458" s="37">
        <v>10</v>
      </c>
      <c r="H458" s="37">
        <v>16</v>
      </c>
      <c r="I458" s="37" t="s">
        <v>8</v>
      </c>
      <c r="J458" s="37" t="s">
        <v>7</v>
      </c>
      <c r="K458" s="62">
        <f t="shared" si="7"/>
        <v>0.8</v>
      </c>
    </row>
    <row r="459" spans="1:11" hidden="1" x14ac:dyDescent="0.35">
      <c r="A459" s="33">
        <v>20023576</v>
      </c>
      <c r="B459" s="36" t="s">
        <v>381</v>
      </c>
      <c r="C459" s="37" t="s">
        <v>86</v>
      </c>
      <c r="D459" s="38"/>
      <c r="E459" s="38" t="s">
        <v>68</v>
      </c>
      <c r="F459" s="37">
        <v>1000</v>
      </c>
      <c r="G459" s="37">
        <v>2000</v>
      </c>
      <c r="H459" s="37">
        <v>1000</v>
      </c>
      <c r="I459" s="37" t="s">
        <v>8</v>
      </c>
      <c r="J459" s="37" t="s">
        <v>7</v>
      </c>
      <c r="K459" s="62">
        <f t="shared" si="7"/>
        <v>0.33333333333333331</v>
      </c>
    </row>
    <row r="460" spans="1:11" hidden="1" x14ac:dyDescent="0.35">
      <c r="A460" s="33">
        <v>20023655</v>
      </c>
      <c r="B460" s="36" t="s">
        <v>1285</v>
      </c>
      <c r="C460" s="37" t="s">
        <v>86</v>
      </c>
      <c r="D460" s="38"/>
      <c r="E460" s="38" t="s">
        <v>68</v>
      </c>
      <c r="F460" s="37">
        <v>6</v>
      </c>
      <c r="G460" s="37">
        <v>4</v>
      </c>
      <c r="H460" s="37">
        <v>8</v>
      </c>
      <c r="I460" s="37" t="s">
        <v>8</v>
      </c>
      <c r="J460" s="37" t="s">
        <v>7</v>
      </c>
      <c r="K460" s="62">
        <f t="shared" si="7"/>
        <v>0.8</v>
      </c>
    </row>
    <row r="461" spans="1:11" hidden="1" x14ac:dyDescent="0.35">
      <c r="A461" s="33">
        <v>20023659</v>
      </c>
      <c r="B461" s="36" t="s">
        <v>382</v>
      </c>
      <c r="C461" s="37" t="s">
        <v>86</v>
      </c>
      <c r="D461" s="38"/>
      <c r="E461" s="38" t="s">
        <v>68</v>
      </c>
      <c r="F461" s="37">
        <v>1</v>
      </c>
      <c r="G461" s="37">
        <v>1</v>
      </c>
      <c r="H461" s="37">
        <v>6</v>
      </c>
      <c r="I461" s="37" t="s">
        <v>8</v>
      </c>
      <c r="J461" s="37" t="s">
        <v>14</v>
      </c>
      <c r="K461" s="62">
        <f t="shared" si="7"/>
        <v>3</v>
      </c>
    </row>
    <row r="462" spans="1:11" hidden="1" x14ac:dyDescent="0.35">
      <c r="A462" s="33">
        <v>20023707</v>
      </c>
      <c r="B462" s="36" t="s">
        <v>383</v>
      </c>
      <c r="C462" s="37" t="s">
        <v>86</v>
      </c>
      <c r="D462" s="38"/>
      <c r="E462" s="38" t="s">
        <v>68</v>
      </c>
      <c r="F462" s="37">
        <v>4</v>
      </c>
      <c r="G462" s="37">
        <v>6</v>
      </c>
      <c r="H462" s="37">
        <v>6</v>
      </c>
      <c r="I462" s="37" t="s">
        <v>8</v>
      </c>
      <c r="J462" s="37" t="s">
        <v>7</v>
      </c>
      <c r="K462" s="62">
        <f t="shared" si="7"/>
        <v>0.6</v>
      </c>
    </row>
    <row r="463" spans="1:11" hidden="1" x14ac:dyDescent="0.35">
      <c r="A463" s="33">
        <v>20023885</v>
      </c>
      <c r="B463" s="36" t="s">
        <v>1444</v>
      </c>
      <c r="C463" s="37" t="s">
        <v>86</v>
      </c>
      <c r="D463" s="38"/>
      <c r="E463" s="38" t="s">
        <v>68</v>
      </c>
      <c r="F463" s="37">
        <v>40</v>
      </c>
      <c r="G463" s="37">
        <v>66</v>
      </c>
      <c r="H463" s="37">
        <v>62</v>
      </c>
      <c r="I463" s="37" t="s">
        <v>8</v>
      </c>
      <c r="J463" s="37" t="s">
        <v>7</v>
      </c>
      <c r="K463" s="62">
        <f t="shared" si="7"/>
        <v>0.58490566037735847</v>
      </c>
    </row>
    <row r="464" spans="1:11" hidden="1" x14ac:dyDescent="0.35">
      <c r="A464" s="33">
        <v>20023886</v>
      </c>
      <c r="B464" s="36" t="s">
        <v>1531</v>
      </c>
      <c r="C464" s="37" t="s">
        <v>86</v>
      </c>
      <c r="D464" s="38"/>
      <c r="E464" s="38" t="s">
        <v>68</v>
      </c>
      <c r="F464" s="37">
        <v>15</v>
      </c>
      <c r="G464" s="37">
        <v>30</v>
      </c>
      <c r="H464" s="37">
        <v>41</v>
      </c>
      <c r="I464" s="37" t="s">
        <v>8</v>
      </c>
      <c r="J464" s="37" t="s">
        <v>7</v>
      </c>
      <c r="K464" s="62">
        <f t="shared" si="7"/>
        <v>0.91111111111111109</v>
      </c>
    </row>
    <row r="465" spans="1:11" hidden="1" x14ac:dyDescent="0.35">
      <c r="A465" s="33">
        <v>20024029</v>
      </c>
      <c r="B465" s="36" t="s">
        <v>384</v>
      </c>
      <c r="C465" s="37" t="s">
        <v>86</v>
      </c>
      <c r="D465" s="38"/>
      <c r="E465" s="38" t="s">
        <v>102</v>
      </c>
      <c r="F465" s="37">
        <v>51</v>
      </c>
      <c r="G465" s="37">
        <v>50</v>
      </c>
      <c r="H465" s="37">
        <v>90</v>
      </c>
      <c r="I465" s="37" t="s">
        <v>8</v>
      </c>
      <c r="J465" s="37" t="s">
        <v>7</v>
      </c>
      <c r="K465" s="62">
        <f t="shared" si="7"/>
        <v>0.8910891089108911</v>
      </c>
    </row>
    <row r="466" spans="1:11" hidden="1" x14ac:dyDescent="0.35">
      <c r="A466" s="33">
        <v>20024067</v>
      </c>
      <c r="B466" s="36" t="s">
        <v>385</v>
      </c>
      <c r="C466" s="37" t="s">
        <v>86</v>
      </c>
      <c r="D466" s="38"/>
      <c r="E466" s="38" t="s">
        <v>68</v>
      </c>
      <c r="F466" s="37">
        <v>40</v>
      </c>
      <c r="G466" s="37">
        <v>60</v>
      </c>
      <c r="H466" s="37">
        <v>80</v>
      </c>
      <c r="I466" s="37" t="s">
        <v>8</v>
      </c>
      <c r="J466" s="37" t="s">
        <v>7</v>
      </c>
      <c r="K466" s="62">
        <f t="shared" si="7"/>
        <v>0.8</v>
      </c>
    </row>
    <row r="467" spans="1:11" hidden="1" x14ac:dyDescent="0.35">
      <c r="A467" s="33">
        <v>20024068</v>
      </c>
      <c r="B467" s="36" t="s">
        <v>386</v>
      </c>
      <c r="C467" s="37" t="s">
        <v>86</v>
      </c>
      <c r="D467" s="38"/>
      <c r="E467" s="38" t="s">
        <v>68</v>
      </c>
      <c r="F467" s="37">
        <v>13</v>
      </c>
      <c r="G467" s="37">
        <v>21</v>
      </c>
      <c r="H467" s="37">
        <v>50</v>
      </c>
      <c r="I467" s="37" t="s">
        <v>8</v>
      </c>
      <c r="J467" s="37" t="s">
        <v>14</v>
      </c>
      <c r="K467" s="62">
        <f t="shared" si="7"/>
        <v>1.4705882352941178</v>
      </c>
    </row>
    <row r="468" spans="1:11" x14ac:dyDescent="0.35">
      <c r="A468" s="33">
        <v>20024086</v>
      </c>
      <c r="B468" s="36" t="s">
        <v>387</v>
      </c>
      <c r="C468" s="37" t="s">
        <v>86</v>
      </c>
      <c r="D468" s="38"/>
      <c r="E468" s="38" t="s">
        <v>68</v>
      </c>
      <c r="F468" s="37">
        <v>1</v>
      </c>
      <c r="G468" s="37">
        <v>1</v>
      </c>
      <c r="H468" s="37">
        <v>20</v>
      </c>
      <c r="I468" s="37" t="s">
        <v>8</v>
      </c>
      <c r="J468" s="37" t="s">
        <v>14</v>
      </c>
      <c r="K468" s="62">
        <f t="shared" si="7"/>
        <v>10</v>
      </c>
    </row>
    <row r="469" spans="1:11" hidden="1" x14ac:dyDescent="0.35">
      <c r="A469" s="33">
        <v>20024123</v>
      </c>
      <c r="B469" s="36" t="s">
        <v>1367</v>
      </c>
      <c r="C469" s="37" t="s">
        <v>86</v>
      </c>
      <c r="D469" s="38"/>
      <c r="E469" s="38" t="s">
        <v>68</v>
      </c>
      <c r="F469" s="37">
        <v>2</v>
      </c>
      <c r="G469" s="37">
        <v>2</v>
      </c>
      <c r="H469" s="37">
        <v>4</v>
      </c>
      <c r="I469" s="37" t="s">
        <v>8</v>
      </c>
      <c r="J469" s="37" t="s">
        <v>7</v>
      </c>
      <c r="K469" s="62">
        <f t="shared" si="7"/>
        <v>1</v>
      </c>
    </row>
    <row r="470" spans="1:11" hidden="1" x14ac:dyDescent="0.35">
      <c r="A470" s="33">
        <v>20024319</v>
      </c>
      <c r="B470" s="36" t="s">
        <v>388</v>
      </c>
      <c r="C470" s="37" t="s">
        <v>86</v>
      </c>
      <c r="D470" s="38"/>
      <c r="E470" s="38" t="s">
        <v>68</v>
      </c>
      <c r="F470" s="37">
        <v>100</v>
      </c>
      <c r="G470" s="37">
        <v>100</v>
      </c>
      <c r="H470" s="37">
        <v>141</v>
      </c>
      <c r="I470" s="37" t="s">
        <v>21</v>
      </c>
      <c r="J470" s="37" t="s">
        <v>9</v>
      </c>
      <c r="K470" s="62">
        <f t="shared" si="7"/>
        <v>0.70499999999999996</v>
      </c>
    </row>
    <row r="471" spans="1:11" hidden="1" x14ac:dyDescent="0.35">
      <c r="A471" s="33">
        <v>20024336</v>
      </c>
      <c r="B471" s="36" t="s">
        <v>389</v>
      </c>
      <c r="C471" s="37" t="s">
        <v>86</v>
      </c>
      <c r="D471" s="38"/>
      <c r="E471" s="38" t="s">
        <v>68</v>
      </c>
      <c r="F471" s="37">
        <v>6</v>
      </c>
      <c r="G471" s="37">
        <v>20</v>
      </c>
      <c r="H471" s="37">
        <v>6</v>
      </c>
      <c r="I471" s="37" t="s">
        <v>8</v>
      </c>
      <c r="J471" s="37" t="s">
        <v>7</v>
      </c>
      <c r="K471" s="62">
        <f t="shared" si="7"/>
        <v>0.23076923076923078</v>
      </c>
    </row>
    <row r="472" spans="1:11" hidden="1" x14ac:dyDescent="0.35">
      <c r="A472" s="33">
        <v>20024363</v>
      </c>
      <c r="B472" s="36" t="s">
        <v>390</v>
      </c>
      <c r="C472" s="37" t="s">
        <v>86</v>
      </c>
      <c r="D472" s="38"/>
      <c r="E472" s="38" t="s">
        <v>68</v>
      </c>
      <c r="F472" s="37">
        <v>6</v>
      </c>
      <c r="G472" s="37">
        <v>5</v>
      </c>
      <c r="H472" s="37">
        <v>7</v>
      </c>
      <c r="I472" s="37" t="s">
        <v>8</v>
      </c>
      <c r="J472" s="37" t="s">
        <v>7</v>
      </c>
      <c r="K472" s="62">
        <f t="shared" si="7"/>
        <v>0.63636363636363635</v>
      </c>
    </row>
    <row r="473" spans="1:11" x14ac:dyDescent="0.35">
      <c r="A473" s="33">
        <v>20024371</v>
      </c>
      <c r="B473" s="36" t="s">
        <v>391</v>
      </c>
      <c r="C473" s="37" t="s">
        <v>86</v>
      </c>
      <c r="D473" s="38"/>
      <c r="E473" s="38" t="s">
        <v>68</v>
      </c>
      <c r="F473" s="37">
        <v>1</v>
      </c>
      <c r="G473" s="37">
        <v>1</v>
      </c>
      <c r="H473" s="37">
        <v>10</v>
      </c>
      <c r="I473" s="37" t="s">
        <v>8</v>
      </c>
      <c r="J473" s="37" t="s">
        <v>14</v>
      </c>
      <c r="K473" s="62">
        <f t="shared" si="7"/>
        <v>5</v>
      </c>
    </row>
    <row r="474" spans="1:11" hidden="1" x14ac:dyDescent="0.35">
      <c r="A474" s="33">
        <v>20024453</v>
      </c>
      <c r="B474" s="36" t="s">
        <v>392</v>
      </c>
      <c r="C474" s="37" t="s">
        <v>86</v>
      </c>
      <c r="D474" s="38"/>
      <c r="E474" s="38" t="s">
        <v>68</v>
      </c>
      <c r="F474" s="37">
        <v>2</v>
      </c>
      <c r="G474" s="37">
        <v>3</v>
      </c>
      <c r="H474" s="37">
        <v>6</v>
      </c>
      <c r="I474" s="37" t="s">
        <v>8</v>
      </c>
      <c r="J474" s="37" t="s">
        <v>14</v>
      </c>
      <c r="K474" s="62">
        <f t="shared" si="7"/>
        <v>1.2</v>
      </c>
    </row>
    <row r="475" spans="1:11" hidden="1" x14ac:dyDescent="0.35">
      <c r="A475" s="33">
        <v>20024458</v>
      </c>
      <c r="B475" s="36" t="s">
        <v>393</v>
      </c>
      <c r="C475" s="37" t="s">
        <v>86</v>
      </c>
      <c r="D475" s="38"/>
      <c r="E475" s="38" t="s">
        <v>68</v>
      </c>
      <c r="F475" s="37">
        <v>12</v>
      </c>
      <c r="G475" s="37">
        <v>12</v>
      </c>
      <c r="H475" s="37">
        <v>24</v>
      </c>
      <c r="I475" s="37" t="s">
        <v>8</v>
      </c>
      <c r="J475" s="37" t="s">
        <v>7</v>
      </c>
      <c r="K475" s="62">
        <f t="shared" si="7"/>
        <v>1</v>
      </c>
    </row>
    <row r="476" spans="1:11" hidden="1" x14ac:dyDescent="0.35">
      <c r="A476" s="33">
        <v>20024469</v>
      </c>
      <c r="B476" s="36" t="s">
        <v>394</v>
      </c>
      <c r="C476" s="37" t="s">
        <v>86</v>
      </c>
      <c r="D476" s="38"/>
      <c r="E476" s="38" t="s">
        <v>68</v>
      </c>
      <c r="F476" s="37">
        <v>1</v>
      </c>
      <c r="G476" s="37">
        <v>1</v>
      </c>
      <c r="H476" s="37">
        <v>8</v>
      </c>
      <c r="I476" s="37" t="s">
        <v>8</v>
      </c>
      <c r="J476" s="37" t="s">
        <v>14</v>
      </c>
      <c r="K476" s="62">
        <f t="shared" si="7"/>
        <v>4</v>
      </c>
    </row>
    <row r="477" spans="1:11" x14ac:dyDescent="0.35">
      <c r="A477" s="33">
        <v>20024538</v>
      </c>
      <c r="B477" s="36" t="s">
        <v>395</v>
      </c>
      <c r="C477" s="37" t="s">
        <v>86</v>
      </c>
      <c r="D477" s="38"/>
      <c r="E477" s="38" t="s">
        <v>68</v>
      </c>
      <c r="F477" s="37">
        <v>3</v>
      </c>
      <c r="G477" s="37">
        <v>4</v>
      </c>
      <c r="H477" s="37">
        <v>93</v>
      </c>
      <c r="I477" s="37" t="s">
        <v>8</v>
      </c>
      <c r="J477" s="37" t="s">
        <v>14</v>
      </c>
      <c r="K477" s="62">
        <f t="shared" si="7"/>
        <v>13.285714285714286</v>
      </c>
    </row>
    <row r="478" spans="1:11" hidden="1" x14ac:dyDescent="0.35">
      <c r="A478" s="33">
        <v>20024539</v>
      </c>
      <c r="B478" s="36" t="s">
        <v>396</v>
      </c>
      <c r="C478" s="37" t="s">
        <v>86</v>
      </c>
      <c r="D478" s="38"/>
      <c r="E478" s="38" t="s">
        <v>68</v>
      </c>
      <c r="F478" s="37">
        <v>22</v>
      </c>
      <c r="G478" s="37">
        <v>44</v>
      </c>
      <c r="H478" s="37">
        <v>30</v>
      </c>
      <c r="I478" s="37" t="s">
        <v>8</v>
      </c>
      <c r="J478" s="37" t="s">
        <v>7</v>
      </c>
      <c r="K478" s="62">
        <f t="shared" si="7"/>
        <v>0.45454545454545453</v>
      </c>
    </row>
    <row r="479" spans="1:11" hidden="1" x14ac:dyDescent="0.35">
      <c r="A479" s="33">
        <v>20024542</v>
      </c>
      <c r="B479" s="36" t="s">
        <v>397</v>
      </c>
      <c r="C479" s="37" t="s">
        <v>86</v>
      </c>
      <c r="D479" s="38"/>
      <c r="E479" s="38" t="s">
        <v>68</v>
      </c>
      <c r="F479" s="37">
        <v>4</v>
      </c>
      <c r="G479" s="37">
        <v>20</v>
      </c>
      <c r="H479" s="37">
        <v>20</v>
      </c>
      <c r="I479" s="37" t="s">
        <v>8</v>
      </c>
      <c r="J479" s="37" t="s">
        <v>7</v>
      </c>
      <c r="K479" s="62">
        <f t="shared" si="7"/>
        <v>0.83333333333333337</v>
      </c>
    </row>
    <row r="480" spans="1:11" x14ac:dyDescent="0.35">
      <c r="A480" s="33">
        <v>20024544</v>
      </c>
      <c r="B480" s="36" t="s">
        <v>398</v>
      </c>
      <c r="C480" s="37" t="s">
        <v>86</v>
      </c>
      <c r="D480" s="38"/>
      <c r="E480" s="38" t="s">
        <v>68</v>
      </c>
      <c r="F480" s="37">
        <v>3</v>
      </c>
      <c r="G480" s="37">
        <v>4</v>
      </c>
      <c r="H480" s="37">
        <v>46</v>
      </c>
      <c r="I480" s="37" t="s">
        <v>8</v>
      </c>
      <c r="J480" s="37" t="s">
        <v>14</v>
      </c>
      <c r="K480" s="62">
        <f t="shared" si="7"/>
        <v>6.5714285714285712</v>
      </c>
    </row>
    <row r="481" spans="1:11" hidden="1" x14ac:dyDescent="0.35">
      <c r="A481" s="33">
        <v>20024595</v>
      </c>
      <c r="B481" s="36" t="s">
        <v>399</v>
      </c>
      <c r="C481" s="37" t="s">
        <v>86</v>
      </c>
      <c r="D481" s="38"/>
      <c r="E481" s="38" t="s">
        <v>68</v>
      </c>
      <c r="F481" s="37">
        <v>307</v>
      </c>
      <c r="G481" s="37">
        <v>511</v>
      </c>
      <c r="H481" s="37">
        <v>2300</v>
      </c>
      <c r="I481" s="37" t="s">
        <v>8</v>
      </c>
      <c r="J481" s="37" t="s">
        <v>14</v>
      </c>
      <c r="K481" s="62">
        <f t="shared" si="7"/>
        <v>2.8117359413202934</v>
      </c>
    </row>
    <row r="482" spans="1:11" hidden="1" x14ac:dyDescent="0.35">
      <c r="A482" s="33">
        <v>20024596</v>
      </c>
      <c r="B482" s="36" t="s">
        <v>400</v>
      </c>
      <c r="C482" s="37" t="s">
        <v>86</v>
      </c>
      <c r="D482" s="38"/>
      <c r="E482" s="38" t="s">
        <v>68</v>
      </c>
      <c r="F482" s="37">
        <v>8</v>
      </c>
      <c r="G482" s="37">
        <v>10</v>
      </c>
      <c r="H482" s="37">
        <v>4</v>
      </c>
      <c r="I482" s="37" t="s">
        <v>8</v>
      </c>
      <c r="J482" s="37" t="s">
        <v>9</v>
      </c>
      <c r="K482" s="62">
        <f t="shared" si="7"/>
        <v>0.22222222222222221</v>
      </c>
    </row>
    <row r="483" spans="1:11" hidden="1" x14ac:dyDescent="0.35">
      <c r="A483" s="33">
        <v>20024618</v>
      </c>
      <c r="B483" s="36" t="s">
        <v>56</v>
      </c>
      <c r="C483" s="37" t="s">
        <v>86</v>
      </c>
      <c r="D483" s="38"/>
      <c r="E483" s="38" t="s">
        <v>68</v>
      </c>
      <c r="F483" s="37">
        <v>6</v>
      </c>
      <c r="G483" s="37">
        <v>6</v>
      </c>
      <c r="H483" s="37">
        <v>10</v>
      </c>
      <c r="I483" s="37" t="s">
        <v>8</v>
      </c>
      <c r="J483" s="37" t="s">
        <v>7</v>
      </c>
      <c r="K483" s="62">
        <f t="shared" si="7"/>
        <v>0.83333333333333337</v>
      </c>
    </row>
    <row r="484" spans="1:11" hidden="1" x14ac:dyDescent="0.35">
      <c r="A484" s="33">
        <v>20024619</v>
      </c>
      <c r="B484" s="36" t="s">
        <v>57</v>
      </c>
      <c r="C484" s="37" t="s">
        <v>86</v>
      </c>
      <c r="D484" s="38"/>
      <c r="E484" s="38" t="s">
        <v>68</v>
      </c>
      <c r="F484" s="37">
        <v>6</v>
      </c>
      <c r="G484" s="37">
        <v>6</v>
      </c>
      <c r="H484" s="37">
        <v>9</v>
      </c>
      <c r="I484" s="37" t="s">
        <v>8</v>
      </c>
      <c r="J484" s="37" t="s">
        <v>7</v>
      </c>
      <c r="K484" s="62">
        <f t="shared" si="7"/>
        <v>0.75</v>
      </c>
    </row>
    <row r="485" spans="1:11" hidden="1" x14ac:dyDescent="0.35">
      <c r="A485" s="33">
        <v>20024742</v>
      </c>
      <c r="B485" s="36" t="s">
        <v>401</v>
      </c>
      <c r="C485" s="37" t="s">
        <v>86</v>
      </c>
      <c r="D485" s="38"/>
      <c r="E485" s="38" t="s">
        <v>68</v>
      </c>
      <c r="F485" s="37">
        <v>1000</v>
      </c>
      <c r="G485" s="37">
        <v>1000</v>
      </c>
      <c r="H485" s="37">
        <v>1233</v>
      </c>
      <c r="I485" s="37" t="s">
        <v>8</v>
      </c>
      <c r="J485" s="37" t="s">
        <v>7</v>
      </c>
      <c r="K485" s="62">
        <f t="shared" si="7"/>
        <v>0.61650000000000005</v>
      </c>
    </row>
    <row r="486" spans="1:11" hidden="1" x14ac:dyDescent="0.35">
      <c r="A486" s="33">
        <v>20024748</v>
      </c>
      <c r="B486" s="36" t="s">
        <v>402</v>
      </c>
      <c r="C486" s="37" t="s">
        <v>86</v>
      </c>
      <c r="D486" s="38"/>
      <c r="E486" s="38" t="s">
        <v>68</v>
      </c>
      <c r="F486" s="37">
        <v>1</v>
      </c>
      <c r="G486" s="37">
        <v>1</v>
      </c>
      <c r="H486" s="37">
        <v>1</v>
      </c>
      <c r="I486" s="37" t="s">
        <v>8</v>
      </c>
      <c r="J486" s="37" t="s">
        <v>7</v>
      </c>
      <c r="K486" s="62">
        <f t="shared" si="7"/>
        <v>0.5</v>
      </c>
    </row>
    <row r="487" spans="1:11" hidden="1" x14ac:dyDescent="0.35">
      <c r="A487" s="33">
        <v>20024813</v>
      </c>
      <c r="B487" s="36" t="s">
        <v>403</v>
      </c>
      <c r="C487" s="37" t="s">
        <v>86</v>
      </c>
      <c r="D487" s="38"/>
      <c r="E487" s="38" t="s">
        <v>68</v>
      </c>
      <c r="F487" s="37">
        <v>2</v>
      </c>
      <c r="G487" s="37">
        <v>3</v>
      </c>
      <c r="H487" s="37">
        <v>5</v>
      </c>
      <c r="I487" s="37" t="s">
        <v>8</v>
      </c>
      <c r="J487" s="37" t="s">
        <v>7</v>
      </c>
      <c r="K487" s="62">
        <f t="shared" si="7"/>
        <v>1</v>
      </c>
    </row>
    <row r="488" spans="1:11" hidden="1" x14ac:dyDescent="0.35">
      <c r="A488" s="33">
        <v>20024829</v>
      </c>
      <c r="B488" s="36" t="s">
        <v>404</v>
      </c>
      <c r="C488" s="37" t="s">
        <v>86</v>
      </c>
      <c r="D488" s="38"/>
      <c r="E488" s="38" t="s">
        <v>68</v>
      </c>
      <c r="F488" s="37">
        <v>50</v>
      </c>
      <c r="G488" s="37">
        <v>50</v>
      </c>
      <c r="H488" s="37">
        <v>30</v>
      </c>
      <c r="I488" s="37" t="s">
        <v>8</v>
      </c>
      <c r="J488" s="37" t="s">
        <v>7</v>
      </c>
      <c r="K488" s="62">
        <f t="shared" si="7"/>
        <v>0.3</v>
      </c>
    </row>
    <row r="489" spans="1:11" hidden="1" x14ac:dyDescent="0.35">
      <c r="A489" s="33">
        <v>20024831</v>
      </c>
      <c r="B489" s="36" t="s">
        <v>405</v>
      </c>
      <c r="C489" s="37" t="s">
        <v>86</v>
      </c>
      <c r="D489" s="38"/>
      <c r="E489" s="38" t="s">
        <v>68</v>
      </c>
      <c r="F489" s="37">
        <v>18</v>
      </c>
      <c r="G489" s="37">
        <v>29</v>
      </c>
      <c r="H489" s="37">
        <v>55</v>
      </c>
      <c r="I489" s="37" t="s">
        <v>8</v>
      </c>
      <c r="J489" s="37" t="s">
        <v>14</v>
      </c>
      <c r="K489" s="62">
        <f t="shared" si="7"/>
        <v>1.1702127659574468</v>
      </c>
    </row>
    <row r="490" spans="1:11" x14ac:dyDescent="0.35">
      <c r="A490" s="33">
        <v>20024832</v>
      </c>
      <c r="B490" s="36" t="s">
        <v>406</v>
      </c>
      <c r="C490" s="37" t="s">
        <v>86</v>
      </c>
      <c r="D490" s="38"/>
      <c r="E490" s="38" t="s">
        <v>68</v>
      </c>
      <c r="F490" s="37">
        <v>7</v>
      </c>
      <c r="G490" s="37">
        <v>11</v>
      </c>
      <c r="H490" s="37">
        <v>1000</v>
      </c>
      <c r="I490" s="37" t="s">
        <v>8</v>
      </c>
      <c r="J490" s="37" t="s">
        <v>14</v>
      </c>
      <c r="K490" s="62">
        <f t="shared" si="7"/>
        <v>55.555555555555557</v>
      </c>
    </row>
    <row r="491" spans="1:11" hidden="1" x14ac:dyDescent="0.35">
      <c r="A491" s="33">
        <v>20024838</v>
      </c>
      <c r="B491" s="36" t="s">
        <v>407</v>
      </c>
      <c r="C491" s="37" t="s">
        <v>86</v>
      </c>
      <c r="D491" s="38"/>
      <c r="E491" s="38" t="s">
        <v>68</v>
      </c>
      <c r="F491" s="37">
        <v>3</v>
      </c>
      <c r="G491" s="37">
        <v>2</v>
      </c>
      <c r="H491" s="37">
        <v>4</v>
      </c>
      <c r="I491" s="37" t="s">
        <v>8</v>
      </c>
      <c r="J491" s="37" t="s">
        <v>7</v>
      </c>
      <c r="K491" s="62">
        <f t="shared" si="7"/>
        <v>0.8</v>
      </c>
    </row>
    <row r="492" spans="1:11" hidden="1" x14ac:dyDescent="0.35">
      <c r="A492" s="33">
        <v>20024847</v>
      </c>
      <c r="B492" s="36" t="s">
        <v>408</v>
      </c>
      <c r="C492" s="37" t="s">
        <v>86</v>
      </c>
      <c r="D492" s="38"/>
      <c r="E492" s="38" t="s">
        <v>68</v>
      </c>
      <c r="F492" s="37">
        <v>2</v>
      </c>
      <c r="G492" s="37">
        <v>2</v>
      </c>
      <c r="H492" s="37">
        <v>3</v>
      </c>
      <c r="I492" s="37" t="s">
        <v>21</v>
      </c>
      <c r="J492" s="37" t="s">
        <v>7</v>
      </c>
      <c r="K492" s="62">
        <f t="shared" si="7"/>
        <v>0.75</v>
      </c>
    </row>
    <row r="493" spans="1:11" hidden="1" x14ac:dyDescent="0.35">
      <c r="A493" s="33">
        <v>20024848</v>
      </c>
      <c r="B493" s="36" t="s">
        <v>409</v>
      </c>
      <c r="C493" s="37" t="s">
        <v>86</v>
      </c>
      <c r="D493" s="38"/>
      <c r="E493" s="38" t="s">
        <v>68</v>
      </c>
      <c r="F493" s="37">
        <v>4</v>
      </c>
      <c r="G493" s="37">
        <v>7</v>
      </c>
      <c r="H493" s="37">
        <v>13</v>
      </c>
      <c r="I493" s="37" t="s">
        <v>21</v>
      </c>
      <c r="J493" s="37" t="s">
        <v>14</v>
      </c>
      <c r="K493" s="62">
        <f t="shared" si="7"/>
        <v>1.1818181818181819</v>
      </c>
    </row>
    <row r="494" spans="1:11" hidden="1" x14ac:dyDescent="0.35">
      <c r="A494" s="33">
        <v>20024849</v>
      </c>
      <c r="B494" s="36" t="s">
        <v>410</v>
      </c>
      <c r="C494" s="37" t="s">
        <v>86</v>
      </c>
      <c r="D494" s="38"/>
      <c r="E494" s="38" t="s">
        <v>68</v>
      </c>
      <c r="F494" s="37">
        <v>7</v>
      </c>
      <c r="G494" s="37">
        <v>12</v>
      </c>
      <c r="H494" s="37">
        <v>9</v>
      </c>
      <c r="I494" s="37" t="s">
        <v>21</v>
      </c>
      <c r="J494" s="37" t="s">
        <v>7</v>
      </c>
      <c r="K494" s="62">
        <f t="shared" si="7"/>
        <v>0.47368421052631576</v>
      </c>
    </row>
    <row r="495" spans="1:11" hidden="1" x14ac:dyDescent="0.35">
      <c r="A495" s="33">
        <v>20024850</v>
      </c>
      <c r="B495" s="36" t="s">
        <v>411</v>
      </c>
      <c r="C495" s="37" t="s">
        <v>86</v>
      </c>
      <c r="D495" s="38"/>
      <c r="E495" s="38" t="s">
        <v>68</v>
      </c>
      <c r="F495" s="37">
        <v>6</v>
      </c>
      <c r="G495" s="37">
        <v>10</v>
      </c>
      <c r="H495" s="37">
        <v>7</v>
      </c>
      <c r="I495" s="37" t="s">
        <v>21</v>
      </c>
      <c r="J495" s="37" t="s">
        <v>7</v>
      </c>
      <c r="K495" s="62">
        <f t="shared" si="7"/>
        <v>0.4375</v>
      </c>
    </row>
    <row r="496" spans="1:11" hidden="1" x14ac:dyDescent="0.35">
      <c r="A496" s="33">
        <v>20024851</v>
      </c>
      <c r="B496" s="36" t="s">
        <v>412</v>
      </c>
      <c r="C496" s="37" t="s">
        <v>86</v>
      </c>
      <c r="D496" s="38"/>
      <c r="E496" s="38" t="s">
        <v>68</v>
      </c>
      <c r="F496" s="37">
        <v>2</v>
      </c>
      <c r="G496" s="37">
        <v>4</v>
      </c>
      <c r="H496" s="37">
        <v>2</v>
      </c>
      <c r="I496" s="37" t="s">
        <v>21</v>
      </c>
      <c r="J496" s="37" t="s">
        <v>7</v>
      </c>
      <c r="K496" s="62">
        <f t="shared" si="7"/>
        <v>0.33333333333333331</v>
      </c>
    </row>
    <row r="497" spans="1:11" hidden="1" x14ac:dyDescent="0.35">
      <c r="A497" s="33">
        <v>20024852</v>
      </c>
      <c r="B497" s="36" t="s">
        <v>413</v>
      </c>
      <c r="C497" s="37" t="s">
        <v>86</v>
      </c>
      <c r="D497" s="38"/>
      <c r="E497" s="38" t="s">
        <v>68</v>
      </c>
      <c r="F497" s="37">
        <v>3</v>
      </c>
      <c r="G497" s="37">
        <v>5</v>
      </c>
      <c r="H497" s="37">
        <v>6</v>
      </c>
      <c r="I497" s="37" t="s">
        <v>21</v>
      </c>
      <c r="J497" s="37" t="s">
        <v>7</v>
      </c>
      <c r="K497" s="62">
        <f t="shared" si="7"/>
        <v>0.75</v>
      </c>
    </row>
    <row r="498" spans="1:11" hidden="1" x14ac:dyDescent="0.35">
      <c r="A498" s="33">
        <v>20024955</v>
      </c>
      <c r="B498" s="36" t="s">
        <v>414</v>
      </c>
      <c r="C498" s="37" t="s">
        <v>86</v>
      </c>
      <c r="D498" s="38"/>
      <c r="E498" s="38" t="s">
        <v>68</v>
      </c>
      <c r="F498" s="37">
        <v>1</v>
      </c>
      <c r="G498" s="37">
        <v>1</v>
      </c>
      <c r="H498" s="37">
        <v>3</v>
      </c>
      <c r="I498" s="37" t="s">
        <v>8</v>
      </c>
      <c r="J498" s="37" t="s">
        <v>14</v>
      </c>
      <c r="K498" s="62">
        <f t="shared" si="7"/>
        <v>1.5</v>
      </c>
    </row>
    <row r="499" spans="1:11" hidden="1" x14ac:dyDescent="0.35">
      <c r="A499" s="33">
        <v>20024957</v>
      </c>
      <c r="B499" s="36" t="s">
        <v>415</v>
      </c>
      <c r="C499" s="37" t="s">
        <v>86</v>
      </c>
      <c r="D499" s="38"/>
      <c r="E499" s="38" t="s">
        <v>68</v>
      </c>
      <c r="F499" s="37">
        <v>7</v>
      </c>
      <c r="G499" s="37">
        <v>6</v>
      </c>
      <c r="H499" s="37">
        <v>9</v>
      </c>
      <c r="I499" s="37" t="s">
        <v>21</v>
      </c>
      <c r="J499" s="37" t="s">
        <v>7</v>
      </c>
      <c r="K499" s="62">
        <f t="shared" si="7"/>
        <v>0.69230769230769229</v>
      </c>
    </row>
    <row r="500" spans="1:11" hidden="1" x14ac:dyDescent="0.35">
      <c r="A500" s="33">
        <v>20024960</v>
      </c>
      <c r="B500" s="36" t="s">
        <v>416</v>
      </c>
      <c r="C500" s="37" t="s">
        <v>86</v>
      </c>
      <c r="D500" s="38"/>
      <c r="E500" s="38" t="s">
        <v>68</v>
      </c>
      <c r="F500" s="37">
        <v>1</v>
      </c>
      <c r="G500" s="37">
        <v>1</v>
      </c>
      <c r="H500" s="37">
        <v>1</v>
      </c>
      <c r="I500" s="37" t="s">
        <v>21</v>
      </c>
      <c r="J500" s="37" t="s">
        <v>7</v>
      </c>
      <c r="K500" s="62">
        <f t="shared" si="7"/>
        <v>0.5</v>
      </c>
    </row>
    <row r="501" spans="1:11" hidden="1" x14ac:dyDescent="0.35">
      <c r="A501" s="33">
        <v>20024961</v>
      </c>
      <c r="B501" s="36" t="s">
        <v>417</v>
      </c>
      <c r="C501" s="37" t="s">
        <v>86</v>
      </c>
      <c r="D501" s="38"/>
      <c r="E501" s="38" t="s">
        <v>68</v>
      </c>
      <c r="F501" s="37">
        <v>8</v>
      </c>
      <c r="G501" s="37">
        <v>13</v>
      </c>
      <c r="H501" s="37">
        <v>0</v>
      </c>
      <c r="I501" s="37" t="s">
        <v>21</v>
      </c>
      <c r="J501" s="37" t="s">
        <v>9</v>
      </c>
      <c r="K501" s="62">
        <f t="shared" si="7"/>
        <v>0</v>
      </c>
    </row>
    <row r="502" spans="1:11" hidden="1" x14ac:dyDescent="0.35">
      <c r="A502" s="33">
        <v>20024962</v>
      </c>
      <c r="B502" s="36" t="s">
        <v>418</v>
      </c>
      <c r="C502" s="37" t="s">
        <v>86</v>
      </c>
      <c r="D502" s="38"/>
      <c r="E502" s="38" t="s">
        <v>68</v>
      </c>
      <c r="F502" s="37">
        <v>2</v>
      </c>
      <c r="G502" s="37">
        <v>3</v>
      </c>
      <c r="H502" s="37">
        <v>0</v>
      </c>
      <c r="I502" s="37" t="s">
        <v>8</v>
      </c>
      <c r="J502" s="37" t="s">
        <v>13</v>
      </c>
      <c r="K502" s="62">
        <f t="shared" si="7"/>
        <v>0</v>
      </c>
    </row>
    <row r="503" spans="1:11" hidden="1" x14ac:dyDescent="0.35">
      <c r="A503" s="33">
        <v>20025047</v>
      </c>
      <c r="B503" s="36" t="s">
        <v>1497</v>
      </c>
      <c r="C503" s="37" t="s">
        <v>86</v>
      </c>
      <c r="D503" s="38"/>
      <c r="E503" s="38" t="s">
        <v>68</v>
      </c>
      <c r="F503" s="37">
        <v>4</v>
      </c>
      <c r="G503" s="37">
        <v>6</v>
      </c>
      <c r="H503" s="37">
        <v>2</v>
      </c>
      <c r="I503" s="37" t="s">
        <v>8</v>
      </c>
      <c r="J503" s="37" t="s">
        <v>9</v>
      </c>
      <c r="K503" s="62">
        <f t="shared" si="7"/>
        <v>0.2</v>
      </c>
    </row>
    <row r="504" spans="1:11" hidden="1" x14ac:dyDescent="0.35">
      <c r="A504" s="33">
        <v>20025112</v>
      </c>
      <c r="B504" s="36" t="s">
        <v>419</v>
      </c>
      <c r="C504" s="37" t="s">
        <v>86</v>
      </c>
      <c r="D504" s="38"/>
      <c r="E504" s="38" t="s">
        <v>68</v>
      </c>
      <c r="F504" s="37">
        <v>1</v>
      </c>
      <c r="G504" s="37">
        <v>1</v>
      </c>
      <c r="H504" s="37">
        <v>4</v>
      </c>
      <c r="I504" s="37" t="s">
        <v>8</v>
      </c>
      <c r="J504" s="37" t="s">
        <v>14</v>
      </c>
      <c r="K504" s="62">
        <f t="shared" si="7"/>
        <v>2</v>
      </c>
    </row>
    <row r="505" spans="1:11" hidden="1" x14ac:dyDescent="0.35">
      <c r="A505" s="33">
        <v>20025184</v>
      </c>
      <c r="B505" s="36" t="s">
        <v>420</v>
      </c>
      <c r="C505" s="37" t="s">
        <v>86</v>
      </c>
      <c r="D505" s="38"/>
      <c r="E505" s="38" t="s">
        <v>68</v>
      </c>
      <c r="F505" s="37">
        <v>38</v>
      </c>
      <c r="G505" s="37">
        <v>63</v>
      </c>
      <c r="H505" s="37">
        <v>100</v>
      </c>
      <c r="I505" s="37" t="s">
        <v>8</v>
      </c>
      <c r="J505" s="37" t="s">
        <v>7</v>
      </c>
      <c r="K505" s="62">
        <f t="shared" si="7"/>
        <v>0.99009900990099009</v>
      </c>
    </row>
    <row r="506" spans="1:11" hidden="1" x14ac:dyDescent="0.35">
      <c r="A506" s="33">
        <v>20025287</v>
      </c>
      <c r="B506" s="36" t="s">
        <v>1492</v>
      </c>
      <c r="C506" s="37" t="s">
        <v>86</v>
      </c>
      <c r="D506" s="38"/>
      <c r="E506" s="38" t="s">
        <v>68</v>
      </c>
      <c r="F506" s="37">
        <v>2</v>
      </c>
      <c r="G506" s="37">
        <v>2</v>
      </c>
      <c r="H506" s="37">
        <v>4</v>
      </c>
      <c r="I506" s="37" t="s">
        <v>8</v>
      </c>
      <c r="J506" s="37" t="s">
        <v>7</v>
      </c>
      <c r="K506" s="62">
        <f t="shared" si="7"/>
        <v>1</v>
      </c>
    </row>
    <row r="507" spans="1:11" hidden="1" x14ac:dyDescent="0.35">
      <c r="A507" s="33">
        <v>20025289</v>
      </c>
      <c r="B507" s="36" t="s">
        <v>421</v>
      </c>
      <c r="C507" s="37" t="s">
        <v>86</v>
      </c>
      <c r="D507" s="38"/>
      <c r="E507" s="38" t="s">
        <v>68</v>
      </c>
      <c r="F507" s="37">
        <v>10</v>
      </c>
      <c r="G507" s="37">
        <v>10</v>
      </c>
      <c r="H507" s="37">
        <v>31</v>
      </c>
      <c r="I507" s="37" t="s">
        <v>8</v>
      </c>
      <c r="J507" s="37" t="s">
        <v>14</v>
      </c>
      <c r="K507" s="62">
        <f t="shared" si="7"/>
        <v>1.55</v>
      </c>
    </row>
    <row r="508" spans="1:11" hidden="1" x14ac:dyDescent="0.35">
      <c r="A508" s="33">
        <v>20025290</v>
      </c>
      <c r="B508" s="36" t="s">
        <v>422</v>
      </c>
      <c r="C508" s="37" t="s">
        <v>86</v>
      </c>
      <c r="D508" s="38"/>
      <c r="E508" s="38" t="s">
        <v>68</v>
      </c>
      <c r="F508" s="37">
        <v>5</v>
      </c>
      <c r="G508" s="37">
        <v>5</v>
      </c>
      <c r="H508" s="37">
        <v>13</v>
      </c>
      <c r="I508" s="37" t="s">
        <v>8</v>
      </c>
      <c r="J508" s="37" t="s">
        <v>14</v>
      </c>
      <c r="K508" s="62">
        <f t="shared" si="7"/>
        <v>1.3</v>
      </c>
    </row>
    <row r="509" spans="1:11" x14ac:dyDescent="0.35">
      <c r="A509" s="33">
        <v>20025291</v>
      </c>
      <c r="B509" s="36" t="s">
        <v>423</v>
      </c>
      <c r="C509" s="37" t="s">
        <v>86</v>
      </c>
      <c r="D509" s="38"/>
      <c r="E509" s="38" t="s">
        <v>68</v>
      </c>
      <c r="F509" s="37">
        <v>1</v>
      </c>
      <c r="G509" s="37">
        <v>1</v>
      </c>
      <c r="H509" s="37">
        <v>10</v>
      </c>
      <c r="I509" s="37" t="s">
        <v>8</v>
      </c>
      <c r="J509" s="37" t="s">
        <v>14</v>
      </c>
      <c r="K509" s="62">
        <f t="shared" si="7"/>
        <v>5</v>
      </c>
    </row>
    <row r="510" spans="1:11" hidden="1" x14ac:dyDescent="0.35">
      <c r="A510" s="33">
        <v>20025461</v>
      </c>
      <c r="B510" s="36" t="s">
        <v>1399</v>
      </c>
      <c r="C510" s="37" t="s">
        <v>86</v>
      </c>
      <c r="D510" s="38"/>
      <c r="E510" s="38" t="s">
        <v>102</v>
      </c>
      <c r="F510" s="37">
        <v>2</v>
      </c>
      <c r="G510" s="37">
        <v>1</v>
      </c>
      <c r="H510" s="37">
        <v>3</v>
      </c>
      <c r="I510" s="37" t="s">
        <v>8</v>
      </c>
      <c r="J510" s="37" t="s">
        <v>7</v>
      </c>
      <c r="K510" s="62">
        <f t="shared" si="7"/>
        <v>1</v>
      </c>
    </row>
    <row r="511" spans="1:11" hidden="1" x14ac:dyDescent="0.35">
      <c r="A511" s="33">
        <v>20025463</v>
      </c>
      <c r="B511" s="36" t="s">
        <v>424</v>
      </c>
      <c r="C511" s="37" t="s">
        <v>86</v>
      </c>
      <c r="D511" s="38"/>
      <c r="E511" s="38" t="s">
        <v>68</v>
      </c>
      <c r="F511" s="37">
        <v>1</v>
      </c>
      <c r="G511" s="37">
        <v>1</v>
      </c>
      <c r="H511" s="37">
        <v>1</v>
      </c>
      <c r="I511" s="37" t="s">
        <v>8</v>
      </c>
      <c r="J511" s="37" t="s">
        <v>7</v>
      </c>
      <c r="K511" s="62">
        <f t="shared" si="7"/>
        <v>0.5</v>
      </c>
    </row>
    <row r="512" spans="1:11" hidden="1" x14ac:dyDescent="0.35">
      <c r="A512" s="33">
        <v>20025466</v>
      </c>
      <c r="B512" s="36" t="s">
        <v>1485</v>
      </c>
      <c r="C512" s="37" t="s">
        <v>86</v>
      </c>
      <c r="D512" s="38"/>
      <c r="E512" s="38" t="s">
        <v>68</v>
      </c>
      <c r="F512" s="37">
        <v>19</v>
      </c>
      <c r="G512" s="37">
        <v>31</v>
      </c>
      <c r="H512" s="37">
        <v>9</v>
      </c>
      <c r="I512" s="37" t="s">
        <v>8</v>
      </c>
      <c r="J512" s="37" t="s">
        <v>9</v>
      </c>
      <c r="K512" s="62">
        <f t="shared" si="7"/>
        <v>0.18</v>
      </c>
    </row>
    <row r="513" spans="1:11" hidden="1" x14ac:dyDescent="0.35">
      <c r="A513" s="33">
        <v>20025553</v>
      </c>
      <c r="B513" s="36" t="s">
        <v>1481</v>
      </c>
      <c r="C513" s="37" t="s">
        <v>86</v>
      </c>
      <c r="D513" s="38"/>
      <c r="E513" s="38" t="s">
        <v>68</v>
      </c>
      <c r="F513" s="37">
        <v>20</v>
      </c>
      <c r="G513" s="37">
        <v>20</v>
      </c>
      <c r="H513" s="37">
        <v>83</v>
      </c>
      <c r="I513" s="37" t="s">
        <v>8</v>
      </c>
      <c r="J513" s="37" t="s">
        <v>14</v>
      </c>
      <c r="K513" s="62">
        <f t="shared" si="7"/>
        <v>2.0750000000000002</v>
      </c>
    </row>
    <row r="514" spans="1:11" hidden="1" x14ac:dyDescent="0.35">
      <c r="A514" s="33">
        <v>20025554</v>
      </c>
      <c r="B514" s="36" t="s">
        <v>425</v>
      </c>
      <c r="C514" s="37" t="s">
        <v>86</v>
      </c>
      <c r="D514" s="38"/>
      <c r="E514" s="38" t="s">
        <v>68</v>
      </c>
      <c r="F514" s="37">
        <v>3</v>
      </c>
      <c r="G514" s="37">
        <v>4</v>
      </c>
      <c r="H514" s="37">
        <v>3</v>
      </c>
      <c r="I514" s="37" t="s">
        <v>8</v>
      </c>
      <c r="J514" s="37" t="s">
        <v>7</v>
      </c>
      <c r="K514" s="62">
        <f t="shared" si="7"/>
        <v>0.42857142857142855</v>
      </c>
    </row>
    <row r="515" spans="1:11" hidden="1" x14ac:dyDescent="0.35">
      <c r="A515" s="33">
        <v>20025559</v>
      </c>
      <c r="B515" s="36" t="s">
        <v>426</v>
      </c>
      <c r="C515" s="37" t="s">
        <v>86</v>
      </c>
      <c r="D515" s="38"/>
      <c r="E515" s="38" t="s">
        <v>68</v>
      </c>
      <c r="F515" s="37">
        <v>20</v>
      </c>
      <c r="G515" s="37">
        <v>20</v>
      </c>
      <c r="H515" s="37">
        <v>30</v>
      </c>
      <c r="I515" s="37" t="s">
        <v>8</v>
      </c>
      <c r="J515" s="37" t="s">
        <v>7</v>
      </c>
      <c r="K515" s="62">
        <f t="shared" si="7"/>
        <v>0.75</v>
      </c>
    </row>
    <row r="516" spans="1:11" hidden="1" x14ac:dyDescent="0.35">
      <c r="A516" s="33">
        <v>20025560</v>
      </c>
      <c r="B516" s="36" t="s">
        <v>1342</v>
      </c>
      <c r="C516" s="37" t="s">
        <v>86</v>
      </c>
      <c r="D516" s="38"/>
      <c r="E516" s="38" t="s">
        <v>68</v>
      </c>
      <c r="F516" s="37">
        <v>20</v>
      </c>
      <c r="G516" s="37">
        <v>20</v>
      </c>
      <c r="H516" s="37">
        <v>21</v>
      </c>
      <c r="I516" s="37" t="s">
        <v>8</v>
      </c>
      <c r="J516" s="37" t="s">
        <v>7</v>
      </c>
      <c r="K516" s="62">
        <f t="shared" si="7"/>
        <v>0.52500000000000002</v>
      </c>
    </row>
    <row r="517" spans="1:11" hidden="1" x14ac:dyDescent="0.35">
      <c r="A517" s="33">
        <v>20025561</v>
      </c>
      <c r="B517" s="36" t="s">
        <v>427</v>
      </c>
      <c r="C517" s="37" t="s">
        <v>86</v>
      </c>
      <c r="D517" s="38"/>
      <c r="E517" s="38" t="s">
        <v>68</v>
      </c>
      <c r="F517" s="37">
        <v>6</v>
      </c>
      <c r="G517" s="37">
        <v>8</v>
      </c>
      <c r="H517" s="37">
        <v>13</v>
      </c>
      <c r="I517" s="37" t="s">
        <v>8</v>
      </c>
      <c r="J517" s="37" t="s">
        <v>7</v>
      </c>
      <c r="K517" s="62">
        <f t="shared" si="7"/>
        <v>0.9285714285714286</v>
      </c>
    </row>
    <row r="518" spans="1:11" hidden="1" x14ac:dyDescent="0.35">
      <c r="A518" s="33">
        <v>20025566</v>
      </c>
      <c r="B518" s="36" t="s">
        <v>428</v>
      </c>
      <c r="C518" s="37" t="s">
        <v>86</v>
      </c>
      <c r="D518" s="38"/>
      <c r="E518" s="38" t="s">
        <v>68</v>
      </c>
      <c r="F518" s="37">
        <v>100</v>
      </c>
      <c r="G518" s="37">
        <v>200</v>
      </c>
      <c r="H518" s="37">
        <v>199</v>
      </c>
      <c r="I518" s="37" t="s">
        <v>8</v>
      </c>
      <c r="J518" s="37" t="s">
        <v>7</v>
      </c>
      <c r="K518" s="62">
        <f t="shared" si="7"/>
        <v>0.66333333333333333</v>
      </c>
    </row>
    <row r="519" spans="1:11" hidden="1" x14ac:dyDescent="0.35">
      <c r="A519" s="33">
        <v>20025587</v>
      </c>
      <c r="B519" s="36" t="s">
        <v>429</v>
      </c>
      <c r="C519" s="37" t="s">
        <v>86</v>
      </c>
      <c r="D519" s="38"/>
      <c r="E519" s="38" t="s">
        <v>68</v>
      </c>
      <c r="F519" s="37">
        <v>8</v>
      </c>
      <c r="G519" s="37">
        <v>6</v>
      </c>
      <c r="H519" s="37">
        <v>12</v>
      </c>
      <c r="I519" s="37" t="s">
        <v>8</v>
      </c>
      <c r="J519" s="37" t="s">
        <v>7</v>
      </c>
      <c r="K519" s="62">
        <f t="shared" si="7"/>
        <v>0.8571428571428571</v>
      </c>
    </row>
    <row r="520" spans="1:11" hidden="1" x14ac:dyDescent="0.35">
      <c r="A520" s="33">
        <v>20025677</v>
      </c>
      <c r="B520" s="36" t="s">
        <v>430</v>
      </c>
      <c r="C520" s="37" t="s">
        <v>86</v>
      </c>
      <c r="D520" s="38"/>
      <c r="E520" s="38" t="s">
        <v>68</v>
      </c>
      <c r="F520" s="37">
        <v>2</v>
      </c>
      <c r="G520" s="37">
        <v>3</v>
      </c>
      <c r="H520" s="37">
        <v>5</v>
      </c>
      <c r="I520" s="37" t="s">
        <v>8</v>
      </c>
      <c r="J520" s="37" t="s">
        <v>7</v>
      </c>
      <c r="K520" s="62">
        <f t="shared" si="7"/>
        <v>1</v>
      </c>
    </row>
    <row r="521" spans="1:11" hidden="1" x14ac:dyDescent="0.35">
      <c r="A521" s="33">
        <v>20025678</v>
      </c>
      <c r="B521" s="36" t="s">
        <v>431</v>
      </c>
      <c r="C521" s="37" t="s">
        <v>86</v>
      </c>
      <c r="D521" s="38"/>
      <c r="E521" s="38" t="s">
        <v>68</v>
      </c>
      <c r="F521" s="37">
        <v>6</v>
      </c>
      <c r="G521" s="37">
        <v>12</v>
      </c>
      <c r="H521" s="37">
        <v>12</v>
      </c>
      <c r="I521" s="37" t="s">
        <v>8</v>
      </c>
      <c r="J521" s="37" t="s">
        <v>7</v>
      </c>
      <c r="K521" s="62">
        <f t="shared" ref="K521:K584" si="8">H521/(F521+G521)</f>
        <v>0.66666666666666663</v>
      </c>
    </row>
    <row r="522" spans="1:11" hidden="1" x14ac:dyDescent="0.35">
      <c r="A522" s="33">
        <v>20025729</v>
      </c>
      <c r="B522" s="36" t="s">
        <v>432</v>
      </c>
      <c r="C522" s="37" t="s">
        <v>86</v>
      </c>
      <c r="D522" s="38"/>
      <c r="E522" s="38" t="s">
        <v>68</v>
      </c>
      <c r="F522" s="37">
        <v>10</v>
      </c>
      <c r="G522" s="37">
        <v>10</v>
      </c>
      <c r="H522" s="37">
        <v>10</v>
      </c>
      <c r="I522" s="37" t="s">
        <v>8</v>
      </c>
      <c r="J522" s="37" t="s">
        <v>7</v>
      </c>
      <c r="K522" s="62">
        <f t="shared" si="8"/>
        <v>0.5</v>
      </c>
    </row>
    <row r="523" spans="1:11" hidden="1" x14ac:dyDescent="0.35">
      <c r="A523" s="33">
        <v>20025731</v>
      </c>
      <c r="B523" s="36" t="s">
        <v>433</v>
      </c>
      <c r="C523" s="37" t="s">
        <v>86</v>
      </c>
      <c r="D523" s="38"/>
      <c r="E523" s="38" t="s">
        <v>68</v>
      </c>
      <c r="F523" s="37">
        <v>5</v>
      </c>
      <c r="G523" s="37">
        <v>5</v>
      </c>
      <c r="H523" s="37">
        <v>5</v>
      </c>
      <c r="I523" s="37" t="s">
        <v>8</v>
      </c>
      <c r="J523" s="37" t="s">
        <v>7</v>
      </c>
      <c r="K523" s="62">
        <f t="shared" si="8"/>
        <v>0.5</v>
      </c>
    </row>
    <row r="524" spans="1:11" x14ac:dyDescent="0.35">
      <c r="A524" s="33">
        <v>20025732</v>
      </c>
      <c r="B524" s="36" t="s">
        <v>434</v>
      </c>
      <c r="C524" s="37" t="s">
        <v>86</v>
      </c>
      <c r="D524" s="38"/>
      <c r="E524" s="38" t="s">
        <v>68</v>
      </c>
      <c r="F524" s="37">
        <v>1</v>
      </c>
      <c r="G524" s="37">
        <v>1</v>
      </c>
      <c r="H524" s="37">
        <v>10</v>
      </c>
      <c r="I524" s="37" t="s">
        <v>8</v>
      </c>
      <c r="J524" s="37" t="s">
        <v>14</v>
      </c>
      <c r="K524" s="62">
        <f t="shared" si="8"/>
        <v>5</v>
      </c>
    </row>
    <row r="525" spans="1:11" hidden="1" x14ac:dyDescent="0.35">
      <c r="A525" s="33">
        <v>20025733</v>
      </c>
      <c r="B525" s="36" t="s">
        <v>435</v>
      </c>
      <c r="C525" s="37" t="s">
        <v>86</v>
      </c>
      <c r="D525" s="38"/>
      <c r="E525" s="38" t="s">
        <v>68</v>
      </c>
      <c r="F525" s="37">
        <v>5</v>
      </c>
      <c r="G525" s="37">
        <v>5</v>
      </c>
      <c r="H525" s="37">
        <v>7</v>
      </c>
      <c r="I525" s="37" t="s">
        <v>8</v>
      </c>
      <c r="J525" s="37" t="s">
        <v>7</v>
      </c>
      <c r="K525" s="62">
        <f t="shared" si="8"/>
        <v>0.7</v>
      </c>
    </row>
    <row r="526" spans="1:11" hidden="1" x14ac:dyDescent="0.35">
      <c r="A526" s="33">
        <v>20025734</v>
      </c>
      <c r="B526" s="36" t="s">
        <v>436</v>
      </c>
      <c r="C526" s="37" t="s">
        <v>86</v>
      </c>
      <c r="D526" s="38"/>
      <c r="E526" s="38" t="s">
        <v>68</v>
      </c>
      <c r="F526" s="37">
        <v>20</v>
      </c>
      <c r="G526" s="37">
        <v>30</v>
      </c>
      <c r="H526" s="37">
        <v>55</v>
      </c>
      <c r="I526" s="37" t="s">
        <v>8</v>
      </c>
      <c r="J526" s="37" t="s">
        <v>14</v>
      </c>
      <c r="K526" s="62">
        <f t="shared" si="8"/>
        <v>1.1000000000000001</v>
      </c>
    </row>
    <row r="527" spans="1:11" hidden="1" x14ac:dyDescent="0.35">
      <c r="A527" s="33">
        <v>20025736</v>
      </c>
      <c r="B527" s="36" t="s">
        <v>437</v>
      </c>
      <c r="C527" s="37" t="s">
        <v>86</v>
      </c>
      <c r="D527" s="38"/>
      <c r="E527" s="38" t="s">
        <v>68</v>
      </c>
      <c r="F527" s="37">
        <v>1</v>
      </c>
      <c r="G527" s="37">
        <v>1</v>
      </c>
      <c r="H527" s="37">
        <v>7</v>
      </c>
      <c r="I527" s="37" t="s">
        <v>8</v>
      </c>
      <c r="J527" s="37" t="s">
        <v>14</v>
      </c>
      <c r="K527" s="62">
        <f t="shared" si="8"/>
        <v>3.5</v>
      </c>
    </row>
    <row r="528" spans="1:11" hidden="1" x14ac:dyDescent="0.35">
      <c r="A528" s="33">
        <v>20025747</v>
      </c>
      <c r="B528" s="36" t="s">
        <v>438</v>
      </c>
      <c r="C528" s="37" t="s">
        <v>86</v>
      </c>
      <c r="D528" s="38"/>
      <c r="E528" s="38" t="s">
        <v>68</v>
      </c>
      <c r="F528" s="37">
        <v>1</v>
      </c>
      <c r="G528" s="37">
        <v>1</v>
      </c>
      <c r="H528" s="37">
        <v>8</v>
      </c>
      <c r="I528" s="37" t="s">
        <v>8</v>
      </c>
      <c r="J528" s="37" t="s">
        <v>14</v>
      </c>
      <c r="K528" s="62">
        <f t="shared" si="8"/>
        <v>4</v>
      </c>
    </row>
    <row r="529" spans="1:11" hidden="1" x14ac:dyDescent="0.35">
      <c r="A529" s="33">
        <v>20025795</v>
      </c>
      <c r="B529" s="36" t="s">
        <v>439</v>
      </c>
      <c r="C529" s="37" t="s">
        <v>86</v>
      </c>
      <c r="D529" s="38"/>
      <c r="E529" s="38" t="s">
        <v>68</v>
      </c>
      <c r="F529" s="37">
        <v>5</v>
      </c>
      <c r="G529" s="37">
        <v>9</v>
      </c>
      <c r="H529" s="37">
        <v>14</v>
      </c>
      <c r="I529" s="37" t="s">
        <v>8</v>
      </c>
      <c r="J529" s="37" t="s">
        <v>7</v>
      </c>
      <c r="K529" s="62">
        <f t="shared" si="8"/>
        <v>1</v>
      </c>
    </row>
    <row r="530" spans="1:11" hidden="1" x14ac:dyDescent="0.35">
      <c r="A530" s="33">
        <v>20025796</v>
      </c>
      <c r="B530" s="36" t="s">
        <v>1060</v>
      </c>
      <c r="C530" s="37" t="s">
        <v>86</v>
      </c>
      <c r="D530" s="38"/>
      <c r="E530" s="38" t="s">
        <v>68</v>
      </c>
      <c r="F530" s="37">
        <v>5</v>
      </c>
      <c r="G530" s="37">
        <v>5</v>
      </c>
      <c r="H530" s="37">
        <v>8</v>
      </c>
      <c r="I530" s="37" t="s">
        <v>8</v>
      </c>
      <c r="J530" s="37" t="s">
        <v>7</v>
      </c>
      <c r="K530" s="62">
        <f t="shared" si="8"/>
        <v>0.8</v>
      </c>
    </row>
    <row r="531" spans="1:11" hidden="1" x14ac:dyDescent="0.35">
      <c r="A531" s="33">
        <v>20025799</v>
      </c>
      <c r="B531" s="36" t="s">
        <v>440</v>
      </c>
      <c r="C531" s="37" t="s">
        <v>86</v>
      </c>
      <c r="D531" s="38"/>
      <c r="E531" s="38" t="s">
        <v>68</v>
      </c>
      <c r="F531" s="37">
        <v>20</v>
      </c>
      <c r="G531" s="37">
        <v>30</v>
      </c>
      <c r="H531" s="37">
        <v>48</v>
      </c>
      <c r="I531" s="37" t="s">
        <v>8</v>
      </c>
      <c r="J531" s="37" t="s">
        <v>9</v>
      </c>
      <c r="K531" s="62">
        <f t="shared" si="8"/>
        <v>0.96</v>
      </c>
    </row>
    <row r="532" spans="1:11" hidden="1" x14ac:dyDescent="0.35">
      <c r="A532" s="33">
        <v>20025815</v>
      </c>
      <c r="B532" s="36" t="s">
        <v>441</v>
      </c>
      <c r="C532" s="37" t="s">
        <v>86</v>
      </c>
      <c r="D532" s="38"/>
      <c r="E532" s="38" t="s">
        <v>68</v>
      </c>
      <c r="F532" s="37">
        <v>2</v>
      </c>
      <c r="G532" s="37">
        <v>4</v>
      </c>
      <c r="H532" s="37">
        <v>5</v>
      </c>
      <c r="I532" s="37" t="s">
        <v>8</v>
      </c>
      <c r="J532" s="37" t="s">
        <v>7</v>
      </c>
      <c r="K532" s="62">
        <f t="shared" si="8"/>
        <v>0.83333333333333337</v>
      </c>
    </row>
    <row r="533" spans="1:11" hidden="1" x14ac:dyDescent="0.35">
      <c r="A533" s="33">
        <v>20025842</v>
      </c>
      <c r="B533" s="36" t="s">
        <v>1274</v>
      </c>
      <c r="C533" s="37" t="s">
        <v>86</v>
      </c>
      <c r="D533" s="38"/>
      <c r="E533" s="38" t="s">
        <v>68</v>
      </c>
      <c r="F533" s="37">
        <v>17</v>
      </c>
      <c r="G533" s="37">
        <v>27</v>
      </c>
      <c r="H533" s="37">
        <v>55</v>
      </c>
      <c r="I533" s="37" t="s">
        <v>8</v>
      </c>
      <c r="J533" s="37" t="s">
        <v>14</v>
      </c>
      <c r="K533" s="62">
        <f t="shared" si="8"/>
        <v>1.25</v>
      </c>
    </row>
    <row r="534" spans="1:11" hidden="1" x14ac:dyDescent="0.35">
      <c r="A534" s="33">
        <v>20025867</v>
      </c>
      <c r="B534" s="36" t="s">
        <v>442</v>
      </c>
      <c r="C534" s="37" t="s">
        <v>86</v>
      </c>
      <c r="D534" s="38"/>
      <c r="E534" s="38" t="s">
        <v>68</v>
      </c>
      <c r="F534" s="37">
        <v>90</v>
      </c>
      <c r="G534" s="37">
        <v>108</v>
      </c>
      <c r="H534" s="37">
        <v>126</v>
      </c>
      <c r="I534" s="37" t="s">
        <v>24</v>
      </c>
      <c r="J534" s="37" t="s">
        <v>9</v>
      </c>
      <c r="K534" s="62">
        <f t="shared" si="8"/>
        <v>0.63636363636363635</v>
      </c>
    </row>
    <row r="535" spans="1:11" hidden="1" x14ac:dyDescent="0.35">
      <c r="A535" s="33">
        <v>20025912</v>
      </c>
      <c r="B535" s="36" t="s">
        <v>443</v>
      </c>
      <c r="C535" s="37" t="s">
        <v>86</v>
      </c>
      <c r="D535" s="38"/>
      <c r="E535" s="38" t="s">
        <v>68</v>
      </c>
      <c r="F535" s="37">
        <v>5</v>
      </c>
      <c r="G535" s="37">
        <v>8</v>
      </c>
      <c r="H535" s="37">
        <v>6</v>
      </c>
      <c r="I535" s="37" t="s">
        <v>8</v>
      </c>
      <c r="J535" s="37" t="s">
        <v>7</v>
      </c>
      <c r="K535" s="62">
        <f t="shared" si="8"/>
        <v>0.46153846153846156</v>
      </c>
    </row>
    <row r="536" spans="1:11" hidden="1" x14ac:dyDescent="0.35">
      <c r="A536" s="33">
        <v>20025916</v>
      </c>
      <c r="B536" s="36" t="s">
        <v>444</v>
      </c>
      <c r="C536" s="37" t="s">
        <v>86</v>
      </c>
      <c r="D536" s="38"/>
      <c r="E536" s="38" t="s">
        <v>68</v>
      </c>
      <c r="F536" s="37">
        <v>3</v>
      </c>
      <c r="G536" s="37">
        <v>3</v>
      </c>
      <c r="H536" s="37">
        <v>0</v>
      </c>
      <c r="I536" s="37" t="s">
        <v>8</v>
      </c>
      <c r="J536" s="37" t="s">
        <v>13</v>
      </c>
      <c r="K536" s="62">
        <f t="shared" si="8"/>
        <v>0</v>
      </c>
    </row>
    <row r="537" spans="1:11" hidden="1" x14ac:dyDescent="0.35">
      <c r="A537" s="33">
        <v>20025973</v>
      </c>
      <c r="B537" s="36" t="s">
        <v>445</v>
      </c>
      <c r="C537" s="37" t="s">
        <v>86</v>
      </c>
      <c r="D537" s="38"/>
      <c r="E537" s="38" t="s">
        <v>68</v>
      </c>
      <c r="F537" s="37">
        <v>47</v>
      </c>
      <c r="G537" s="37">
        <v>78</v>
      </c>
      <c r="H537" s="37">
        <v>73</v>
      </c>
      <c r="I537" s="37" t="s">
        <v>8</v>
      </c>
      <c r="J537" s="37" t="s">
        <v>7</v>
      </c>
      <c r="K537" s="62">
        <f t="shared" si="8"/>
        <v>0.58399999999999996</v>
      </c>
    </row>
    <row r="538" spans="1:11" hidden="1" x14ac:dyDescent="0.35">
      <c r="A538" s="33">
        <v>20025975</v>
      </c>
      <c r="B538" s="36" t="s">
        <v>446</v>
      </c>
      <c r="C538" s="37" t="s">
        <v>86</v>
      </c>
      <c r="D538" s="38"/>
      <c r="E538" s="38" t="s">
        <v>68</v>
      </c>
      <c r="F538" s="37">
        <v>20</v>
      </c>
      <c r="G538" s="37">
        <v>20</v>
      </c>
      <c r="H538" s="37">
        <v>20</v>
      </c>
      <c r="I538" s="37" t="s">
        <v>8</v>
      </c>
      <c r="J538" s="37" t="s">
        <v>7</v>
      </c>
      <c r="K538" s="62">
        <f t="shared" si="8"/>
        <v>0.5</v>
      </c>
    </row>
    <row r="539" spans="1:11" hidden="1" x14ac:dyDescent="0.35">
      <c r="A539" s="33">
        <v>20026017</v>
      </c>
      <c r="B539" s="36" t="s">
        <v>1251</v>
      </c>
      <c r="C539" s="37" t="s">
        <v>86</v>
      </c>
      <c r="D539" s="38"/>
      <c r="E539" s="38" t="s">
        <v>68</v>
      </c>
      <c r="F539" s="37">
        <v>2</v>
      </c>
      <c r="G539" s="37">
        <v>2</v>
      </c>
      <c r="H539" s="37">
        <v>2</v>
      </c>
      <c r="I539" s="37" t="s">
        <v>8</v>
      </c>
      <c r="J539" s="37" t="s">
        <v>7</v>
      </c>
      <c r="K539" s="62">
        <f t="shared" si="8"/>
        <v>0.5</v>
      </c>
    </row>
    <row r="540" spans="1:11" hidden="1" x14ac:dyDescent="0.35">
      <c r="A540" s="33">
        <v>20026030</v>
      </c>
      <c r="B540" s="36" t="s">
        <v>1551</v>
      </c>
      <c r="C540" s="37" t="s">
        <v>86</v>
      </c>
      <c r="D540" s="38"/>
      <c r="E540" s="38" t="s">
        <v>68</v>
      </c>
      <c r="F540" s="37">
        <v>3</v>
      </c>
      <c r="G540" s="37">
        <v>2</v>
      </c>
      <c r="H540" s="37">
        <v>10</v>
      </c>
      <c r="I540" s="37" t="s">
        <v>8</v>
      </c>
      <c r="J540" s="37" t="s">
        <v>14</v>
      </c>
      <c r="K540" s="62">
        <f t="shared" si="8"/>
        <v>2</v>
      </c>
    </row>
    <row r="541" spans="1:11" hidden="1" x14ac:dyDescent="0.35">
      <c r="A541" s="33">
        <v>20026037</v>
      </c>
      <c r="B541" s="36" t="s">
        <v>447</v>
      </c>
      <c r="C541" s="37" t="s">
        <v>86</v>
      </c>
      <c r="D541" s="38"/>
      <c r="E541" s="38" t="s">
        <v>68</v>
      </c>
      <c r="F541" s="37">
        <v>2</v>
      </c>
      <c r="G541" s="37">
        <v>3</v>
      </c>
      <c r="H541" s="37">
        <v>5</v>
      </c>
      <c r="I541" s="37" t="s">
        <v>8</v>
      </c>
      <c r="J541" s="37" t="s">
        <v>7</v>
      </c>
      <c r="K541" s="62">
        <f t="shared" si="8"/>
        <v>1</v>
      </c>
    </row>
    <row r="542" spans="1:11" hidden="1" x14ac:dyDescent="0.35">
      <c r="A542" s="33">
        <v>20026038</v>
      </c>
      <c r="B542" s="36" t="s">
        <v>448</v>
      </c>
      <c r="C542" s="37" t="s">
        <v>86</v>
      </c>
      <c r="D542" s="38"/>
      <c r="E542" s="38" t="s">
        <v>68</v>
      </c>
      <c r="F542" s="37">
        <v>3</v>
      </c>
      <c r="G542" s="37">
        <v>4</v>
      </c>
      <c r="H542" s="37">
        <v>3</v>
      </c>
      <c r="I542" s="37" t="s">
        <v>8</v>
      </c>
      <c r="J542" s="37" t="s">
        <v>7</v>
      </c>
      <c r="K542" s="62">
        <f t="shared" si="8"/>
        <v>0.42857142857142855</v>
      </c>
    </row>
    <row r="543" spans="1:11" hidden="1" x14ac:dyDescent="0.35">
      <c r="A543" s="33">
        <v>20026040</v>
      </c>
      <c r="B543" s="36" t="s">
        <v>449</v>
      </c>
      <c r="C543" s="37" t="s">
        <v>86</v>
      </c>
      <c r="D543" s="38"/>
      <c r="E543" s="38" t="s">
        <v>68</v>
      </c>
      <c r="F543" s="37">
        <v>2</v>
      </c>
      <c r="G543" s="37">
        <v>2</v>
      </c>
      <c r="H543" s="37">
        <v>3</v>
      </c>
      <c r="I543" s="37" t="s">
        <v>8</v>
      </c>
      <c r="J543" s="37" t="s">
        <v>14</v>
      </c>
      <c r="K543" s="62">
        <f t="shared" si="8"/>
        <v>0.75</v>
      </c>
    </row>
    <row r="544" spans="1:11" hidden="1" x14ac:dyDescent="0.35">
      <c r="A544" s="33">
        <v>20026046</v>
      </c>
      <c r="B544" s="36" t="s">
        <v>450</v>
      </c>
      <c r="C544" s="37" t="s">
        <v>86</v>
      </c>
      <c r="D544" s="38"/>
      <c r="E544" s="38" t="s">
        <v>68</v>
      </c>
      <c r="F544" s="37">
        <v>1</v>
      </c>
      <c r="G544" s="37">
        <v>1</v>
      </c>
      <c r="H544" s="37">
        <v>6</v>
      </c>
      <c r="I544" s="37" t="s">
        <v>8</v>
      </c>
      <c r="J544" s="37" t="s">
        <v>14</v>
      </c>
      <c r="K544" s="62">
        <f t="shared" si="8"/>
        <v>3</v>
      </c>
    </row>
    <row r="545" spans="1:11" hidden="1" x14ac:dyDescent="0.35">
      <c r="A545" s="33">
        <v>20026108</v>
      </c>
      <c r="B545" s="36" t="s">
        <v>451</v>
      </c>
      <c r="C545" s="37" t="s">
        <v>86</v>
      </c>
      <c r="D545" s="38"/>
      <c r="E545" s="38" t="s">
        <v>68</v>
      </c>
      <c r="F545" s="37">
        <v>1</v>
      </c>
      <c r="G545" s="37">
        <v>1</v>
      </c>
      <c r="H545" s="37">
        <v>3</v>
      </c>
      <c r="I545" s="37" t="s">
        <v>8</v>
      </c>
      <c r="J545" s="37" t="s">
        <v>14</v>
      </c>
      <c r="K545" s="62">
        <f t="shared" si="8"/>
        <v>1.5</v>
      </c>
    </row>
    <row r="546" spans="1:11" hidden="1" x14ac:dyDescent="0.35">
      <c r="A546" s="33">
        <v>20026114</v>
      </c>
      <c r="B546" s="36" t="s">
        <v>452</v>
      </c>
      <c r="C546" s="37" t="s">
        <v>86</v>
      </c>
      <c r="D546" s="38"/>
      <c r="E546" s="38" t="s">
        <v>68</v>
      </c>
      <c r="F546" s="37">
        <v>5</v>
      </c>
      <c r="G546" s="37">
        <v>8</v>
      </c>
      <c r="H546" s="37">
        <v>8</v>
      </c>
      <c r="I546" s="37" t="s">
        <v>8</v>
      </c>
      <c r="J546" s="37" t="s">
        <v>7</v>
      </c>
      <c r="K546" s="62">
        <f t="shared" si="8"/>
        <v>0.61538461538461542</v>
      </c>
    </row>
    <row r="547" spans="1:11" hidden="1" x14ac:dyDescent="0.35">
      <c r="A547" s="33">
        <v>20026187</v>
      </c>
      <c r="B547" s="36" t="s">
        <v>453</v>
      </c>
      <c r="C547" s="37" t="s">
        <v>86</v>
      </c>
      <c r="D547" s="38"/>
      <c r="E547" s="38" t="s">
        <v>68</v>
      </c>
      <c r="F547" s="37">
        <v>3</v>
      </c>
      <c r="G547" s="37">
        <v>4</v>
      </c>
      <c r="H547" s="37">
        <v>18</v>
      </c>
      <c r="I547" s="37" t="s">
        <v>8</v>
      </c>
      <c r="J547" s="37" t="s">
        <v>14</v>
      </c>
      <c r="K547" s="62">
        <f t="shared" si="8"/>
        <v>2.5714285714285716</v>
      </c>
    </row>
    <row r="548" spans="1:11" hidden="1" x14ac:dyDescent="0.35">
      <c r="A548" s="33">
        <v>20026188</v>
      </c>
      <c r="B548" s="36" t="s">
        <v>454</v>
      </c>
      <c r="C548" s="37" t="s">
        <v>86</v>
      </c>
      <c r="D548" s="38"/>
      <c r="E548" s="38" t="s">
        <v>68</v>
      </c>
      <c r="F548" s="37">
        <v>363</v>
      </c>
      <c r="G548" s="37">
        <v>663</v>
      </c>
      <c r="H548" s="37">
        <v>568</v>
      </c>
      <c r="I548" s="37" t="s">
        <v>8</v>
      </c>
      <c r="J548" s="37" t="s">
        <v>7</v>
      </c>
      <c r="K548" s="62">
        <f t="shared" si="8"/>
        <v>0.5536062378167641</v>
      </c>
    </row>
    <row r="549" spans="1:11" hidden="1" x14ac:dyDescent="0.35">
      <c r="A549" s="33">
        <v>20026192</v>
      </c>
      <c r="B549" s="36" t="s">
        <v>455</v>
      </c>
      <c r="C549" s="37" t="s">
        <v>86</v>
      </c>
      <c r="D549" s="38"/>
      <c r="E549" s="38" t="s">
        <v>68</v>
      </c>
      <c r="F549" s="37">
        <v>600</v>
      </c>
      <c r="G549" s="37">
        <v>1000</v>
      </c>
      <c r="H549" s="37">
        <v>1000</v>
      </c>
      <c r="I549" s="37" t="s">
        <v>8</v>
      </c>
      <c r="J549" s="37" t="s">
        <v>9</v>
      </c>
      <c r="K549" s="62">
        <f t="shared" si="8"/>
        <v>0.625</v>
      </c>
    </row>
    <row r="550" spans="1:11" hidden="1" x14ac:dyDescent="0.35">
      <c r="A550" s="33">
        <v>20026193</v>
      </c>
      <c r="B550" s="36" t="s">
        <v>456</v>
      </c>
      <c r="C550" s="37" t="s">
        <v>86</v>
      </c>
      <c r="D550" s="38"/>
      <c r="E550" s="38" t="s">
        <v>68</v>
      </c>
      <c r="F550" s="37">
        <v>1200</v>
      </c>
      <c r="G550" s="37">
        <v>2000</v>
      </c>
      <c r="H550" s="37">
        <v>1500</v>
      </c>
      <c r="I550" s="37" t="s">
        <v>8</v>
      </c>
      <c r="J550" s="37" t="s">
        <v>7</v>
      </c>
      <c r="K550" s="62">
        <f t="shared" si="8"/>
        <v>0.46875</v>
      </c>
    </row>
    <row r="551" spans="1:11" hidden="1" x14ac:dyDescent="0.35">
      <c r="A551" s="33">
        <v>20026194</v>
      </c>
      <c r="B551" s="36" t="s">
        <v>457</v>
      </c>
      <c r="C551" s="37" t="s">
        <v>86</v>
      </c>
      <c r="D551" s="38"/>
      <c r="E551" s="38" t="s">
        <v>68</v>
      </c>
      <c r="F551" s="37">
        <v>1000</v>
      </c>
      <c r="G551" s="37">
        <v>1600</v>
      </c>
      <c r="H551" s="37">
        <v>2200</v>
      </c>
      <c r="I551" s="37" t="s">
        <v>8</v>
      </c>
      <c r="J551" s="37" t="s">
        <v>14</v>
      </c>
      <c r="K551" s="62">
        <f t="shared" si="8"/>
        <v>0.84615384615384615</v>
      </c>
    </row>
    <row r="552" spans="1:11" hidden="1" x14ac:dyDescent="0.35">
      <c r="A552" s="33">
        <v>20026200</v>
      </c>
      <c r="B552" s="36" t="s">
        <v>458</v>
      </c>
      <c r="C552" s="37" t="s">
        <v>86</v>
      </c>
      <c r="D552" s="38"/>
      <c r="E552" s="38" t="s">
        <v>68</v>
      </c>
      <c r="F552" s="37">
        <v>10</v>
      </c>
      <c r="G552" s="37">
        <v>10</v>
      </c>
      <c r="H552" s="37">
        <v>30</v>
      </c>
      <c r="I552" s="37" t="s">
        <v>8</v>
      </c>
      <c r="J552" s="37" t="s">
        <v>14</v>
      </c>
      <c r="K552" s="62">
        <f t="shared" si="8"/>
        <v>1.5</v>
      </c>
    </row>
    <row r="553" spans="1:11" hidden="1" x14ac:dyDescent="0.35">
      <c r="A553" s="33">
        <v>20026202</v>
      </c>
      <c r="B553" s="36" t="s">
        <v>1213</v>
      </c>
      <c r="C553" s="37" t="s">
        <v>86</v>
      </c>
      <c r="D553" s="38"/>
      <c r="E553" s="38" t="s">
        <v>102</v>
      </c>
      <c r="F553" s="37">
        <v>25000</v>
      </c>
      <c r="G553" s="37">
        <v>20000</v>
      </c>
      <c r="H553" s="37">
        <v>31000</v>
      </c>
      <c r="I553" s="37" t="s">
        <v>10</v>
      </c>
      <c r="J553" s="37" t="s">
        <v>7</v>
      </c>
      <c r="K553" s="62">
        <f t="shared" si="8"/>
        <v>0.68888888888888888</v>
      </c>
    </row>
    <row r="554" spans="1:11" hidden="1" x14ac:dyDescent="0.35">
      <c r="A554" s="33">
        <v>20026346</v>
      </c>
      <c r="B554" s="36" t="s">
        <v>459</v>
      </c>
      <c r="C554" s="37" t="s">
        <v>86</v>
      </c>
      <c r="D554" s="38"/>
      <c r="E554" s="38" t="s">
        <v>68</v>
      </c>
      <c r="F554" s="37">
        <v>6</v>
      </c>
      <c r="G554" s="37">
        <v>10</v>
      </c>
      <c r="H554" s="37">
        <v>6</v>
      </c>
      <c r="I554" s="37" t="s">
        <v>8</v>
      </c>
      <c r="J554" s="37" t="s">
        <v>7</v>
      </c>
      <c r="K554" s="62">
        <f t="shared" si="8"/>
        <v>0.375</v>
      </c>
    </row>
    <row r="555" spans="1:11" hidden="1" x14ac:dyDescent="0.35">
      <c r="A555" s="33">
        <v>20026364</v>
      </c>
      <c r="B555" s="36" t="s">
        <v>460</v>
      </c>
      <c r="C555" s="37" t="s">
        <v>86</v>
      </c>
      <c r="D555" s="38"/>
      <c r="E555" s="38" t="s">
        <v>68</v>
      </c>
      <c r="F555" s="37">
        <v>2</v>
      </c>
      <c r="G555" s="37">
        <v>2</v>
      </c>
      <c r="H555" s="37">
        <v>1</v>
      </c>
      <c r="I555" s="37" t="s">
        <v>8</v>
      </c>
      <c r="J555" s="37" t="s">
        <v>9</v>
      </c>
      <c r="K555" s="62">
        <f t="shared" si="8"/>
        <v>0.25</v>
      </c>
    </row>
    <row r="556" spans="1:11" hidden="1" x14ac:dyDescent="0.35">
      <c r="A556" s="33">
        <v>20026390</v>
      </c>
      <c r="B556" s="36" t="s">
        <v>1552</v>
      </c>
      <c r="C556" s="37" t="s">
        <v>86</v>
      </c>
      <c r="D556" s="38"/>
      <c r="E556" s="38" t="s">
        <v>68</v>
      </c>
      <c r="F556" s="37">
        <v>200</v>
      </c>
      <c r="G556" s="37">
        <v>100</v>
      </c>
      <c r="H556" s="37">
        <v>200</v>
      </c>
      <c r="I556" s="37" t="s">
        <v>25</v>
      </c>
      <c r="J556" s="37" t="s">
        <v>7</v>
      </c>
      <c r="K556" s="62">
        <f t="shared" si="8"/>
        <v>0.66666666666666663</v>
      </c>
    </row>
    <row r="557" spans="1:11" hidden="1" x14ac:dyDescent="0.35">
      <c r="A557" s="33">
        <v>20026392</v>
      </c>
      <c r="B557" s="36" t="s">
        <v>461</v>
      </c>
      <c r="C557" s="37" t="s">
        <v>86</v>
      </c>
      <c r="D557" s="38"/>
      <c r="E557" s="38" t="s">
        <v>68</v>
      </c>
      <c r="F557" s="37">
        <v>2</v>
      </c>
      <c r="G557" s="37">
        <v>2</v>
      </c>
      <c r="H557" s="37">
        <v>3</v>
      </c>
      <c r="I557" s="37" t="s">
        <v>8</v>
      </c>
      <c r="J557" s="37" t="s">
        <v>7</v>
      </c>
      <c r="K557" s="62">
        <f t="shared" si="8"/>
        <v>0.75</v>
      </c>
    </row>
    <row r="558" spans="1:11" hidden="1" x14ac:dyDescent="0.35">
      <c r="A558" s="33">
        <v>20026431</v>
      </c>
      <c r="B558" s="36" t="s">
        <v>58</v>
      </c>
      <c r="C558" s="37" t="s">
        <v>86</v>
      </c>
      <c r="D558" s="38"/>
      <c r="E558" s="38" t="s">
        <v>68</v>
      </c>
      <c r="F558" s="37">
        <v>1</v>
      </c>
      <c r="G558" s="37">
        <v>1</v>
      </c>
      <c r="H558" s="37">
        <v>7</v>
      </c>
      <c r="I558" s="37" t="s">
        <v>8</v>
      </c>
      <c r="J558" s="37" t="s">
        <v>14</v>
      </c>
      <c r="K558" s="62">
        <f t="shared" si="8"/>
        <v>3.5</v>
      </c>
    </row>
    <row r="559" spans="1:11" hidden="1" x14ac:dyDescent="0.35">
      <c r="A559" s="33">
        <v>20026432</v>
      </c>
      <c r="B559" s="36" t="s">
        <v>462</v>
      </c>
      <c r="C559" s="37" t="s">
        <v>86</v>
      </c>
      <c r="D559" s="38"/>
      <c r="E559" s="38" t="s">
        <v>68</v>
      </c>
      <c r="F559" s="37">
        <v>1</v>
      </c>
      <c r="G559" s="37">
        <v>1</v>
      </c>
      <c r="H559" s="37">
        <v>9</v>
      </c>
      <c r="I559" s="37" t="s">
        <v>8</v>
      </c>
      <c r="J559" s="37" t="s">
        <v>14</v>
      </c>
      <c r="K559" s="62">
        <f t="shared" si="8"/>
        <v>4.5</v>
      </c>
    </row>
    <row r="560" spans="1:11" hidden="1" x14ac:dyDescent="0.35">
      <c r="A560" s="33">
        <v>20026433</v>
      </c>
      <c r="B560" s="36" t="s">
        <v>463</v>
      </c>
      <c r="C560" s="37" t="s">
        <v>86</v>
      </c>
      <c r="D560" s="38"/>
      <c r="E560" s="38" t="s">
        <v>68</v>
      </c>
      <c r="F560" s="37">
        <v>1</v>
      </c>
      <c r="G560" s="37">
        <v>1</v>
      </c>
      <c r="H560" s="37">
        <v>1</v>
      </c>
      <c r="I560" s="37" t="s">
        <v>8</v>
      </c>
      <c r="J560" s="37" t="s">
        <v>7</v>
      </c>
      <c r="K560" s="62">
        <f t="shared" si="8"/>
        <v>0.5</v>
      </c>
    </row>
    <row r="561" spans="1:11" hidden="1" x14ac:dyDescent="0.35">
      <c r="A561" s="33">
        <v>20026501</v>
      </c>
      <c r="B561" s="36" t="s">
        <v>464</v>
      </c>
      <c r="C561" s="37" t="s">
        <v>86</v>
      </c>
      <c r="D561" s="38"/>
      <c r="E561" s="38" t="s">
        <v>68</v>
      </c>
      <c r="F561" s="37">
        <v>2</v>
      </c>
      <c r="G561" s="37">
        <v>2</v>
      </c>
      <c r="H561" s="37">
        <v>2</v>
      </c>
      <c r="I561" s="37" t="s">
        <v>8</v>
      </c>
      <c r="J561" s="37" t="s">
        <v>7</v>
      </c>
      <c r="K561" s="62">
        <f t="shared" si="8"/>
        <v>0.5</v>
      </c>
    </row>
    <row r="562" spans="1:11" hidden="1" x14ac:dyDescent="0.35">
      <c r="A562" s="33">
        <v>20026502</v>
      </c>
      <c r="B562" s="36" t="s">
        <v>1390</v>
      </c>
      <c r="C562" s="37" t="s">
        <v>86</v>
      </c>
      <c r="D562" s="38"/>
      <c r="E562" s="38" t="s">
        <v>68</v>
      </c>
      <c r="F562" s="37">
        <v>3</v>
      </c>
      <c r="G562" s="37">
        <v>3</v>
      </c>
      <c r="H562" s="37">
        <v>4</v>
      </c>
      <c r="I562" s="37" t="s">
        <v>8</v>
      </c>
      <c r="J562" s="37" t="s">
        <v>7</v>
      </c>
      <c r="K562" s="62">
        <f t="shared" si="8"/>
        <v>0.66666666666666663</v>
      </c>
    </row>
    <row r="563" spans="1:11" hidden="1" x14ac:dyDescent="0.35">
      <c r="A563" s="33">
        <v>20026503</v>
      </c>
      <c r="B563" s="36" t="s">
        <v>465</v>
      </c>
      <c r="C563" s="37" t="s">
        <v>86</v>
      </c>
      <c r="D563" s="38"/>
      <c r="E563" s="38" t="s">
        <v>68</v>
      </c>
      <c r="F563" s="37">
        <v>2</v>
      </c>
      <c r="G563" s="37">
        <v>2</v>
      </c>
      <c r="H563" s="37">
        <v>2</v>
      </c>
      <c r="I563" s="37" t="s">
        <v>8</v>
      </c>
      <c r="J563" s="37" t="s">
        <v>7</v>
      </c>
      <c r="K563" s="62">
        <f t="shared" si="8"/>
        <v>0.5</v>
      </c>
    </row>
    <row r="564" spans="1:11" hidden="1" x14ac:dyDescent="0.35">
      <c r="A564" s="33">
        <v>20026504</v>
      </c>
      <c r="B564" s="36" t="s">
        <v>1391</v>
      </c>
      <c r="C564" s="37" t="s">
        <v>86</v>
      </c>
      <c r="D564" s="38"/>
      <c r="E564" s="38" t="s">
        <v>68</v>
      </c>
      <c r="F564" s="37">
        <v>3</v>
      </c>
      <c r="G564" s="37">
        <v>3</v>
      </c>
      <c r="H564" s="37">
        <v>3</v>
      </c>
      <c r="I564" s="37" t="s">
        <v>8</v>
      </c>
      <c r="J564" s="37" t="s">
        <v>7</v>
      </c>
      <c r="K564" s="62">
        <f t="shared" si="8"/>
        <v>0.5</v>
      </c>
    </row>
    <row r="565" spans="1:11" hidden="1" x14ac:dyDescent="0.35">
      <c r="A565" s="33">
        <v>20026506</v>
      </c>
      <c r="B565" s="36" t="s">
        <v>1392</v>
      </c>
      <c r="C565" s="37" t="s">
        <v>86</v>
      </c>
      <c r="D565" s="38"/>
      <c r="E565" s="38" t="s">
        <v>68</v>
      </c>
      <c r="F565" s="37">
        <v>3</v>
      </c>
      <c r="G565" s="37">
        <v>3</v>
      </c>
      <c r="H565" s="37">
        <v>5</v>
      </c>
      <c r="I565" s="37" t="s">
        <v>8</v>
      </c>
      <c r="J565" s="37" t="s">
        <v>7</v>
      </c>
      <c r="K565" s="62">
        <f t="shared" si="8"/>
        <v>0.83333333333333337</v>
      </c>
    </row>
    <row r="566" spans="1:11" hidden="1" x14ac:dyDescent="0.35">
      <c r="A566" s="33">
        <v>20026517</v>
      </c>
      <c r="B566" s="36" t="s">
        <v>1393</v>
      </c>
      <c r="C566" s="37" t="s">
        <v>86</v>
      </c>
      <c r="D566" s="38"/>
      <c r="E566" s="38" t="s">
        <v>68</v>
      </c>
      <c r="F566" s="37">
        <v>3</v>
      </c>
      <c r="G566" s="37">
        <v>3</v>
      </c>
      <c r="H566" s="37">
        <v>3</v>
      </c>
      <c r="I566" s="37" t="s">
        <v>8</v>
      </c>
      <c r="J566" s="37" t="s">
        <v>7</v>
      </c>
      <c r="K566" s="62">
        <f t="shared" si="8"/>
        <v>0.5</v>
      </c>
    </row>
    <row r="567" spans="1:11" hidden="1" x14ac:dyDescent="0.35">
      <c r="A567" s="33">
        <v>20026518</v>
      </c>
      <c r="B567" s="36" t="s">
        <v>1394</v>
      </c>
      <c r="C567" s="37" t="s">
        <v>86</v>
      </c>
      <c r="D567" s="38"/>
      <c r="E567" s="38" t="s">
        <v>68</v>
      </c>
      <c r="F567" s="37">
        <v>3</v>
      </c>
      <c r="G567" s="37">
        <v>3</v>
      </c>
      <c r="H567" s="37">
        <v>3</v>
      </c>
      <c r="I567" s="37" t="s">
        <v>8</v>
      </c>
      <c r="J567" s="37" t="s">
        <v>7</v>
      </c>
      <c r="K567" s="62">
        <f t="shared" si="8"/>
        <v>0.5</v>
      </c>
    </row>
    <row r="568" spans="1:11" hidden="1" x14ac:dyDescent="0.35">
      <c r="A568" s="33">
        <v>20026520</v>
      </c>
      <c r="B568" s="36" t="s">
        <v>466</v>
      </c>
      <c r="C568" s="37" t="s">
        <v>86</v>
      </c>
      <c r="D568" s="38"/>
      <c r="E568" s="38" t="s">
        <v>68</v>
      </c>
      <c r="F568" s="37">
        <v>12</v>
      </c>
      <c r="G568" s="37">
        <v>12</v>
      </c>
      <c r="H568" s="37">
        <v>11</v>
      </c>
      <c r="I568" s="37" t="s">
        <v>8</v>
      </c>
      <c r="J568" s="37" t="s">
        <v>7</v>
      </c>
      <c r="K568" s="62">
        <f t="shared" si="8"/>
        <v>0.45833333333333331</v>
      </c>
    </row>
    <row r="569" spans="1:11" hidden="1" x14ac:dyDescent="0.35">
      <c r="A569" s="33">
        <v>20026525</v>
      </c>
      <c r="B569" s="36" t="s">
        <v>467</v>
      </c>
      <c r="C569" s="37" t="s">
        <v>86</v>
      </c>
      <c r="D569" s="38"/>
      <c r="E569" s="38" t="s">
        <v>68</v>
      </c>
      <c r="F569" s="37">
        <v>2</v>
      </c>
      <c r="G569" s="37">
        <v>2</v>
      </c>
      <c r="H569" s="37">
        <v>2</v>
      </c>
      <c r="I569" s="37" t="s">
        <v>8</v>
      </c>
      <c r="J569" s="37" t="s">
        <v>7</v>
      </c>
      <c r="K569" s="62">
        <f t="shared" si="8"/>
        <v>0.5</v>
      </c>
    </row>
    <row r="570" spans="1:11" hidden="1" x14ac:dyDescent="0.35">
      <c r="A570" s="33">
        <v>20026587</v>
      </c>
      <c r="B570" s="36" t="s">
        <v>468</v>
      </c>
      <c r="C570" s="37" t="s">
        <v>86</v>
      </c>
      <c r="D570" s="38"/>
      <c r="E570" s="38" t="s">
        <v>68</v>
      </c>
      <c r="F570" s="37">
        <v>10</v>
      </c>
      <c r="G570" s="37">
        <v>10</v>
      </c>
      <c r="H570" s="37">
        <v>0</v>
      </c>
      <c r="I570" s="37" t="s">
        <v>8</v>
      </c>
      <c r="J570" s="37" t="s">
        <v>13</v>
      </c>
      <c r="K570" s="62">
        <f t="shared" si="8"/>
        <v>0</v>
      </c>
    </row>
    <row r="571" spans="1:11" hidden="1" x14ac:dyDescent="0.35">
      <c r="A571" s="33">
        <v>20026590</v>
      </c>
      <c r="B571" s="36" t="s">
        <v>469</v>
      </c>
      <c r="C571" s="37" t="s">
        <v>86</v>
      </c>
      <c r="D571" s="38"/>
      <c r="E571" s="38" t="s">
        <v>68</v>
      </c>
      <c r="F571" s="37">
        <v>1</v>
      </c>
      <c r="G571" s="37">
        <v>1</v>
      </c>
      <c r="H571" s="37">
        <v>5</v>
      </c>
      <c r="I571" s="37" t="s">
        <v>8</v>
      </c>
      <c r="J571" s="37" t="s">
        <v>14</v>
      </c>
      <c r="K571" s="62">
        <f t="shared" si="8"/>
        <v>2.5</v>
      </c>
    </row>
    <row r="572" spans="1:11" hidden="1" x14ac:dyDescent="0.35">
      <c r="A572" s="33">
        <v>20026591</v>
      </c>
      <c r="B572" s="36" t="s">
        <v>470</v>
      </c>
      <c r="C572" s="37" t="s">
        <v>86</v>
      </c>
      <c r="D572" s="38"/>
      <c r="E572" s="38" t="s">
        <v>68</v>
      </c>
      <c r="F572" s="37">
        <v>4</v>
      </c>
      <c r="G572" s="37">
        <v>7</v>
      </c>
      <c r="H572" s="37">
        <v>5</v>
      </c>
      <c r="I572" s="37" t="s">
        <v>8</v>
      </c>
      <c r="J572" s="37" t="s">
        <v>7</v>
      </c>
      <c r="K572" s="62">
        <f t="shared" si="8"/>
        <v>0.45454545454545453</v>
      </c>
    </row>
    <row r="573" spans="1:11" hidden="1" x14ac:dyDescent="0.35">
      <c r="A573" s="33">
        <v>20026663</v>
      </c>
      <c r="B573" s="36" t="s">
        <v>471</v>
      </c>
      <c r="C573" s="37" t="s">
        <v>86</v>
      </c>
      <c r="D573" s="38"/>
      <c r="E573" s="38" t="s">
        <v>68</v>
      </c>
      <c r="F573" s="37">
        <v>141</v>
      </c>
      <c r="G573" s="37">
        <v>250</v>
      </c>
      <c r="H573" s="37">
        <v>175</v>
      </c>
      <c r="I573" s="37" t="s">
        <v>24</v>
      </c>
      <c r="J573" s="37" t="s">
        <v>7</v>
      </c>
      <c r="K573" s="62">
        <f t="shared" si="8"/>
        <v>0.4475703324808184</v>
      </c>
    </row>
    <row r="574" spans="1:11" hidden="1" x14ac:dyDescent="0.35">
      <c r="A574" s="33">
        <v>20026691</v>
      </c>
      <c r="B574" s="36" t="s">
        <v>472</v>
      </c>
      <c r="C574" s="37" t="s">
        <v>86</v>
      </c>
      <c r="D574" s="38"/>
      <c r="E574" s="38" t="s">
        <v>68</v>
      </c>
      <c r="F574" s="37">
        <v>2</v>
      </c>
      <c r="G574" s="37">
        <v>2</v>
      </c>
      <c r="H574" s="37">
        <v>3</v>
      </c>
      <c r="I574" s="37" t="s">
        <v>8</v>
      </c>
      <c r="J574" s="37" t="s">
        <v>7</v>
      </c>
      <c r="K574" s="62">
        <f t="shared" si="8"/>
        <v>0.75</v>
      </c>
    </row>
    <row r="575" spans="1:11" hidden="1" x14ac:dyDescent="0.35">
      <c r="A575" s="33">
        <v>20026699</v>
      </c>
      <c r="B575" s="36" t="s">
        <v>473</v>
      </c>
      <c r="C575" s="37" t="s">
        <v>86</v>
      </c>
      <c r="D575" s="38"/>
      <c r="E575" s="38" t="s">
        <v>68</v>
      </c>
      <c r="F575" s="37">
        <v>1</v>
      </c>
      <c r="G575" s="37">
        <v>1</v>
      </c>
      <c r="H575" s="37">
        <v>4</v>
      </c>
      <c r="I575" s="37" t="s">
        <v>8</v>
      </c>
      <c r="J575" s="37" t="s">
        <v>14</v>
      </c>
      <c r="K575" s="62">
        <f t="shared" si="8"/>
        <v>2</v>
      </c>
    </row>
    <row r="576" spans="1:11" hidden="1" x14ac:dyDescent="0.35">
      <c r="A576" s="33">
        <v>20026700</v>
      </c>
      <c r="B576" s="36" t="s">
        <v>474</v>
      </c>
      <c r="C576" s="37" t="s">
        <v>86</v>
      </c>
      <c r="D576" s="38"/>
      <c r="E576" s="38" t="s">
        <v>68</v>
      </c>
      <c r="F576" s="37">
        <v>1</v>
      </c>
      <c r="G576" s="37">
        <v>1</v>
      </c>
      <c r="H576" s="37">
        <v>1</v>
      </c>
      <c r="I576" s="37" t="s">
        <v>8</v>
      </c>
      <c r="J576" s="37" t="s">
        <v>7</v>
      </c>
      <c r="K576" s="62">
        <f t="shared" si="8"/>
        <v>0.5</v>
      </c>
    </row>
    <row r="577" spans="1:11" hidden="1" x14ac:dyDescent="0.35">
      <c r="A577" s="33">
        <v>20026815</v>
      </c>
      <c r="B577" s="36" t="s">
        <v>475</v>
      </c>
      <c r="C577" s="37" t="s">
        <v>86</v>
      </c>
      <c r="D577" s="38"/>
      <c r="E577" s="38" t="s">
        <v>68</v>
      </c>
      <c r="F577" s="37">
        <v>1</v>
      </c>
      <c r="G577" s="37">
        <v>1</v>
      </c>
      <c r="H577" s="37">
        <v>5</v>
      </c>
      <c r="I577" s="37" t="s">
        <v>8</v>
      </c>
      <c r="J577" s="37" t="s">
        <v>14</v>
      </c>
      <c r="K577" s="62">
        <f t="shared" si="8"/>
        <v>2.5</v>
      </c>
    </row>
    <row r="578" spans="1:11" hidden="1" x14ac:dyDescent="0.35">
      <c r="A578" s="33">
        <v>20026818</v>
      </c>
      <c r="B578" s="36" t="s">
        <v>476</v>
      </c>
      <c r="C578" s="37" t="s">
        <v>86</v>
      </c>
      <c r="D578" s="38"/>
      <c r="E578" s="38" t="s">
        <v>68</v>
      </c>
      <c r="F578" s="37">
        <v>10</v>
      </c>
      <c r="G578" s="37">
        <v>40</v>
      </c>
      <c r="H578" s="37">
        <v>10</v>
      </c>
      <c r="I578" s="37" t="s">
        <v>8</v>
      </c>
      <c r="J578" s="37" t="s">
        <v>7</v>
      </c>
      <c r="K578" s="62">
        <f t="shared" si="8"/>
        <v>0.2</v>
      </c>
    </row>
    <row r="579" spans="1:11" hidden="1" x14ac:dyDescent="0.35">
      <c r="A579" s="33">
        <v>20026847</v>
      </c>
      <c r="B579" s="36" t="s">
        <v>477</v>
      </c>
      <c r="C579" s="37" t="s">
        <v>86</v>
      </c>
      <c r="D579" s="38"/>
      <c r="E579" s="38" t="s">
        <v>68</v>
      </c>
      <c r="F579" s="37">
        <v>2</v>
      </c>
      <c r="G579" s="37">
        <v>2</v>
      </c>
      <c r="H579" s="37">
        <v>10</v>
      </c>
      <c r="I579" s="37" t="s">
        <v>8</v>
      </c>
      <c r="J579" s="37" t="s">
        <v>14</v>
      </c>
      <c r="K579" s="62">
        <f t="shared" si="8"/>
        <v>2.5</v>
      </c>
    </row>
    <row r="580" spans="1:11" hidden="1" x14ac:dyDescent="0.35">
      <c r="A580" s="33">
        <v>20026892</v>
      </c>
      <c r="B580" s="36" t="s">
        <v>1529</v>
      </c>
      <c r="C580" s="37" t="s">
        <v>86</v>
      </c>
      <c r="D580" s="38"/>
      <c r="E580" s="38" t="s">
        <v>68</v>
      </c>
      <c r="F580" s="37">
        <v>5</v>
      </c>
      <c r="G580" s="37">
        <v>5</v>
      </c>
      <c r="H580" s="37">
        <v>23</v>
      </c>
      <c r="I580" s="37" t="s">
        <v>8</v>
      </c>
      <c r="J580" s="37" t="s">
        <v>14</v>
      </c>
      <c r="K580" s="62">
        <f t="shared" si="8"/>
        <v>2.2999999999999998</v>
      </c>
    </row>
    <row r="581" spans="1:11" hidden="1" x14ac:dyDescent="0.35">
      <c r="A581" s="33">
        <v>20026910</v>
      </c>
      <c r="B581" s="36" t="s">
        <v>478</v>
      </c>
      <c r="C581" s="37" t="s">
        <v>86</v>
      </c>
      <c r="D581" s="38"/>
      <c r="E581" s="38" t="s">
        <v>68</v>
      </c>
      <c r="F581" s="37">
        <v>3</v>
      </c>
      <c r="G581" s="37">
        <v>2</v>
      </c>
      <c r="H581" s="37">
        <v>4</v>
      </c>
      <c r="I581" s="37" t="s">
        <v>8</v>
      </c>
      <c r="J581" s="37" t="s">
        <v>7</v>
      </c>
      <c r="K581" s="62">
        <f t="shared" si="8"/>
        <v>0.8</v>
      </c>
    </row>
    <row r="582" spans="1:11" x14ac:dyDescent="0.35">
      <c r="A582" s="33">
        <v>20026914</v>
      </c>
      <c r="B582" s="36" t="s">
        <v>479</v>
      </c>
      <c r="C582" s="37" t="s">
        <v>86</v>
      </c>
      <c r="D582" s="38"/>
      <c r="E582" s="38" t="s">
        <v>68</v>
      </c>
      <c r="F582" s="37">
        <v>1</v>
      </c>
      <c r="G582" s="37">
        <v>1</v>
      </c>
      <c r="H582" s="37">
        <v>14</v>
      </c>
      <c r="I582" s="37" t="s">
        <v>8</v>
      </c>
      <c r="J582" s="37" t="s">
        <v>14</v>
      </c>
      <c r="K582" s="62">
        <f t="shared" si="8"/>
        <v>7</v>
      </c>
    </row>
    <row r="583" spans="1:11" hidden="1" x14ac:dyDescent="0.35">
      <c r="A583" s="33">
        <v>20026977</v>
      </c>
      <c r="B583" s="36" t="s">
        <v>480</v>
      </c>
      <c r="C583" s="37" t="s">
        <v>86</v>
      </c>
      <c r="D583" s="38"/>
      <c r="E583" s="38" t="s">
        <v>68</v>
      </c>
      <c r="F583" s="37">
        <v>7</v>
      </c>
      <c r="G583" s="37">
        <v>11</v>
      </c>
      <c r="H583" s="37">
        <v>55</v>
      </c>
      <c r="I583" s="37" t="s">
        <v>8</v>
      </c>
      <c r="J583" s="37" t="s">
        <v>14</v>
      </c>
      <c r="K583" s="62">
        <f t="shared" si="8"/>
        <v>3.0555555555555554</v>
      </c>
    </row>
    <row r="584" spans="1:11" x14ac:dyDescent="0.35">
      <c r="A584" s="33">
        <v>20026980</v>
      </c>
      <c r="B584" s="36" t="s">
        <v>481</v>
      </c>
      <c r="C584" s="37" t="s">
        <v>86</v>
      </c>
      <c r="D584" s="38"/>
      <c r="E584" s="38" t="s">
        <v>68</v>
      </c>
      <c r="F584" s="37">
        <v>7</v>
      </c>
      <c r="G584" s="37">
        <v>11</v>
      </c>
      <c r="H584" s="37">
        <v>117</v>
      </c>
      <c r="I584" s="37" t="s">
        <v>8</v>
      </c>
      <c r="J584" s="37" t="s">
        <v>14</v>
      </c>
      <c r="K584" s="62">
        <f t="shared" si="8"/>
        <v>6.5</v>
      </c>
    </row>
    <row r="585" spans="1:11" x14ac:dyDescent="0.35">
      <c r="A585" s="33">
        <v>20026981</v>
      </c>
      <c r="B585" s="36" t="s">
        <v>482</v>
      </c>
      <c r="C585" s="37" t="s">
        <v>86</v>
      </c>
      <c r="D585" s="38"/>
      <c r="E585" s="38" t="s">
        <v>68</v>
      </c>
      <c r="F585" s="37">
        <v>2</v>
      </c>
      <c r="G585" s="37">
        <v>2</v>
      </c>
      <c r="H585" s="37">
        <v>153</v>
      </c>
      <c r="I585" s="37" t="s">
        <v>8</v>
      </c>
      <c r="J585" s="37" t="s">
        <v>14</v>
      </c>
      <c r="K585" s="62">
        <f t="shared" ref="K585:K648" si="9">H585/(F585+G585)</f>
        <v>38.25</v>
      </c>
    </row>
    <row r="586" spans="1:11" hidden="1" x14ac:dyDescent="0.35">
      <c r="A586" s="33">
        <v>20026982</v>
      </c>
      <c r="B586" s="36" t="s">
        <v>483</v>
      </c>
      <c r="C586" s="37" t="s">
        <v>86</v>
      </c>
      <c r="D586" s="38"/>
      <c r="E586" s="38" t="s">
        <v>68</v>
      </c>
      <c r="F586" s="37">
        <v>7</v>
      </c>
      <c r="G586" s="37">
        <v>11</v>
      </c>
      <c r="H586" s="37">
        <v>73</v>
      </c>
      <c r="I586" s="37" t="s">
        <v>8</v>
      </c>
      <c r="J586" s="37" t="s">
        <v>14</v>
      </c>
      <c r="K586" s="62">
        <f t="shared" si="9"/>
        <v>4.0555555555555554</v>
      </c>
    </row>
    <row r="587" spans="1:11" hidden="1" x14ac:dyDescent="0.35">
      <c r="A587" s="33">
        <v>20027011</v>
      </c>
      <c r="B587" s="36" t="s">
        <v>1482</v>
      </c>
      <c r="C587" s="37" t="s">
        <v>86</v>
      </c>
      <c r="D587" s="38"/>
      <c r="E587" s="38" t="s">
        <v>68</v>
      </c>
      <c r="F587" s="37">
        <v>2</v>
      </c>
      <c r="G587" s="37">
        <v>1</v>
      </c>
      <c r="H587" s="37">
        <v>2</v>
      </c>
      <c r="I587" s="37" t="s">
        <v>8</v>
      </c>
      <c r="J587" s="37" t="s">
        <v>7</v>
      </c>
      <c r="K587" s="62">
        <f t="shared" si="9"/>
        <v>0.66666666666666663</v>
      </c>
    </row>
    <row r="588" spans="1:11" hidden="1" x14ac:dyDescent="0.35">
      <c r="A588" s="33">
        <v>20027254</v>
      </c>
      <c r="B588" s="36" t="s">
        <v>484</v>
      </c>
      <c r="C588" s="37" t="s">
        <v>86</v>
      </c>
      <c r="D588" s="38"/>
      <c r="E588" s="38" t="s">
        <v>68</v>
      </c>
      <c r="F588" s="37">
        <v>20</v>
      </c>
      <c r="G588" s="37">
        <v>20</v>
      </c>
      <c r="H588" s="37">
        <v>9</v>
      </c>
      <c r="I588" s="37" t="s">
        <v>8</v>
      </c>
      <c r="J588" s="37" t="s">
        <v>9</v>
      </c>
      <c r="K588" s="62">
        <f t="shared" si="9"/>
        <v>0.22500000000000001</v>
      </c>
    </row>
    <row r="589" spans="1:11" x14ac:dyDescent="0.35">
      <c r="A589" s="33">
        <v>20027267</v>
      </c>
      <c r="B589" s="36" t="s">
        <v>485</v>
      </c>
      <c r="C589" s="37" t="s">
        <v>86</v>
      </c>
      <c r="D589" s="38"/>
      <c r="E589" s="38" t="s">
        <v>68</v>
      </c>
      <c r="F589" s="37">
        <v>2</v>
      </c>
      <c r="G589" s="37">
        <v>2</v>
      </c>
      <c r="H589" s="37">
        <v>56</v>
      </c>
      <c r="I589" s="37" t="s">
        <v>8</v>
      </c>
      <c r="J589" s="37" t="s">
        <v>14</v>
      </c>
      <c r="K589" s="62">
        <f t="shared" si="9"/>
        <v>14</v>
      </c>
    </row>
    <row r="590" spans="1:11" x14ac:dyDescent="0.35">
      <c r="A590" s="33">
        <v>20027268</v>
      </c>
      <c r="B590" s="36" t="s">
        <v>486</v>
      </c>
      <c r="C590" s="37" t="s">
        <v>86</v>
      </c>
      <c r="D590" s="38"/>
      <c r="E590" s="38" t="s">
        <v>68</v>
      </c>
      <c r="F590" s="37">
        <v>2</v>
      </c>
      <c r="G590" s="37">
        <v>2</v>
      </c>
      <c r="H590" s="37">
        <v>73</v>
      </c>
      <c r="I590" s="37" t="s">
        <v>8</v>
      </c>
      <c r="J590" s="37" t="s">
        <v>14</v>
      </c>
      <c r="K590" s="62">
        <f t="shared" si="9"/>
        <v>18.25</v>
      </c>
    </row>
    <row r="591" spans="1:11" x14ac:dyDescent="0.35">
      <c r="A591" s="33">
        <v>20027269</v>
      </c>
      <c r="B591" s="36" t="s">
        <v>487</v>
      </c>
      <c r="C591" s="37" t="s">
        <v>86</v>
      </c>
      <c r="D591" s="38"/>
      <c r="E591" s="38" t="s">
        <v>68</v>
      </c>
      <c r="F591" s="37">
        <v>2</v>
      </c>
      <c r="G591" s="37">
        <v>2</v>
      </c>
      <c r="H591" s="37">
        <v>113</v>
      </c>
      <c r="I591" s="37" t="s">
        <v>8</v>
      </c>
      <c r="J591" s="37" t="s">
        <v>14</v>
      </c>
      <c r="K591" s="62">
        <f t="shared" si="9"/>
        <v>28.25</v>
      </c>
    </row>
    <row r="592" spans="1:11" x14ac:dyDescent="0.35">
      <c r="A592" s="33">
        <v>20027270</v>
      </c>
      <c r="B592" s="36" t="s">
        <v>488</v>
      </c>
      <c r="C592" s="37" t="s">
        <v>86</v>
      </c>
      <c r="D592" s="38"/>
      <c r="E592" s="38" t="s">
        <v>68</v>
      </c>
      <c r="F592" s="37">
        <v>2</v>
      </c>
      <c r="G592" s="37">
        <v>2</v>
      </c>
      <c r="H592" s="37">
        <v>61</v>
      </c>
      <c r="I592" s="37" t="s">
        <v>8</v>
      </c>
      <c r="J592" s="37" t="s">
        <v>14</v>
      </c>
      <c r="K592" s="62">
        <f t="shared" si="9"/>
        <v>15.25</v>
      </c>
    </row>
    <row r="593" spans="1:11" x14ac:dyDescent="0.35">
      <c r="A593" s="33">
        <v>20027271</v>
      </c>
      <c r="B593" s="36" t="s">
        <v>489</v>
      </c>
      <c r="C593" s="37" t="s">
        <v>86</v>
      </c>
      <c r="D593" s="38"/>
      <c r="E593" s="38" t="s">
        <v>68</v>
      </c>
      <c r="F593" s="37">
        <v>2</v>
      </c>
      <c r="G593" s="37">
        <v>2</v>
      </c>
      <c r="H593" s="37">
        <v>69</v>
      </c>
      <c r="I593" s="37" t="s">
        <v>8</v>
      </c>
      <c r="J593" s="37" t="s">
        <v>14</v>
      </c>
      <c r="K593" s="62">
        <f t="shared" si="9"/>
        <v>17.25</v>
      </c>
    </row>
    <row r="594" spans="1:11" x14ac:dyDescent="0.35">
      <c r="A594" s="33">
        <v>20027272</v>
      </c>
      <c r="B594" s="36" t="s">
        <v>490</v>
      </c>
      <c r="C594" s="37" t="s">
        <v>86</v>
      </c>
      <c r="D594" s="38"/>
      <c r="E594" s="38" t="s">
        <v>68</v>
      </c>
      <c r="F594" s="37">
        <v>2</v>
      </c>
      <c r="G594" s="37">
        <v>2</v>
      </c>
      <c r="H594" s="37">
        <v>75</v>
      </c>
      <c r="I594" s="37" t="s">
        <v>8</v>
      </c>
      <c r="J594" s="37" t="s">
        <v>14</v>
      </c>
      <c r="K594" s="62">
        <f t="shared" si="9"/>
        <v>18.75</v>
      </c>
    </row>
    <row r="595" spans="1:11" hidden="1" x14ac:dyDescent="0.35">
      <c r="A595" s="33">
        <v>20027286</v>
      </c>
      <c r="B595" s="36" t="s">
        <v>1474</v>
      </c>
      <c r="C595" s="37" t="s">
        <v>86</v>
      </c>
      <c r="D595" s="38"/>
      <c r="E595" s="38" t="s">
        <v>68</v>
      </c>
      <c r="F595" s="37">
        <v>2</v>
      </c>
      <c r="G595" s="37">
        <v>2</v>
      </c>
      <c r="H595" s="37">
        <v>2</v>
      </c>
      <c r="I595" s="37" t="s">
        <v>8</v>
      </c>
      <c r="J595" s="37" t="s">
        <v>7</v>
      </c>
      <c r="K595" s="62">
        <f t="shared" si="9"/>
        <v>0.5</v>
      </c>
    </row>
    <row r="596" spans="1:11" hidden="1" x14ac:dyDescent="0.35">
      <c r="A596" s="33">
        <v>20027297</v>
      </c>
      <c r="B596" s="36" t="s">
        <v>1426</v>
      </c>
      <c r="C596" s="37" t="s">
        <v>86</v>
      </c>
      <c r="D596" s="38"/>
      <c r="E596" s="38" t="s">
        <v>68</v>
      </c>
      <c r="F596" s="37">
        <v>2</v>
      </c>
      <c r="G596" s="37">
        <v>3</v>
      </c>
      <c r="H596" s="37">
        <v>6</v>
      </c>
      <c r="I596" s="37" t="s">
        <v>8</v>
      </c>
      <c r="J596" s="37" t="s">
        <v>14</v>
      </c>
      <c r="K596" s="62">
        <f t="shared" si="9"/>
        <v>1.2</v>
      </c>
    </row>
    <row r="597" spans="1:11" x14ac:dyDescent="0.35">
      <c r="A597" s="33">
        <v>20027355</v>
      </c>
      <c r="B597" s="36" t="s">
        <v>491</v>
      </c>
      <c r="C597" s="37" t="s">
        <v>86</v>
      </c>
      <c r="D597" s="38"/>
      <c r="E597" s="38" t="s">
        <v>68</v>
      </c>
      <c r="F597" s="37">
        <v>1</v>
      </c>
      <c r="G597" s="37">
        <v>1</v>
      </c>
      <c r="H597" s="37">
        <v>12</v>
      </c>
      <c r="I597" s="37" t="s">
        <v>25</v>
      </c>
      <c r="J597" s="37" t="s">
        <v>14</v>
      </c>
      <c r="K597" s="62">
        <f t="shared" si="9"/>
        <v>6</v>
      </c>
    </row>
    <row r="598" spans="1:11" hidden="1" x14ac:dyDescent="0.35">
      <c r="A598" s="33">
        <v>20027356</v>
      </c>
      <c r="B598" s="36" t="s">
        <v>1451</v>
      </c>
      <c r="C598" s="37" t="s">
        <v>86</v>
      </c>
      <c r="D598" s="38"/>
      <c r="E598" s="38" t="s">
        <v>68</v>
      </c>
      <c r="F598" s="37">
        <v>2</v>
      </c>
      <c r="G598" s="37">
        <v>2</v>
      </c>
      <c r="H598" s="37">
        <v>3</v>
      </c>
      <c r="I598" s="37" t="s">
        <v>8</v>
      </c>
      <c r="J598" s="37" t="s">
        <v>7</v>
      </c>
      <c r="K598" s="62">
        <f t="shared" si="9"/>
        <v>0.75</v>
      </c>
    </row>
    <row r="599" spans="1:11" x14ac:dyDescent="0.35">
      <c r="A599" s="33">
        <v>20027357</v>
      </c>
      <c r="B599" s="36" t="s">
        <v>492</v>
      </c>
      <c r="C599" s="37" t="s">
        <v>86</v>
      </c>
      <c r="D599" s="38"/>
      <c r="E599" s="38" t="s">
        <v>68</v>
      </c>
      <c r="F599" s="37">
        <v>3</v>
      </c>
      <c r="G599" s="37">
        <v>4</v>
      </c>
      <c r="H599" s="37">
        <v>278</v>
      </c>
      <c r="I599" s="37" t="s">
        <v>8</v>
      </c>
      <c r="J599" s="37" t="s">
        <v>14</v>
      </c>
      <c r="K599" s="62">
        <f t="shared" si="9"/>
        <v>39.714285714285715</v>
      </c>
    </row>
    <row r="600" spans="1:11" hidden="1" x14ac:dyDescent="0.35">
      <c r="A600" s="33">
        <v>20027378</v>
      </c>
      <c r="B600" s="36" t="s">
        <v>493</v>
      </c>
      <c r="C600" s="37" t="s">
        <v>86</v>
      </c>
      <c r="D600" s="38"/>
      <c r="E600" s="38" t="s">
        <v>68</v>
      </c>
      <c r="F600" s="37">
        <v>2</v>
      </c>
      <c r="G600" s="37">
        <v>2</v>
      </c>
      <c r="H600" s="37">
        <v>12</v>
      </c>
      <c r="I600" s="37" t="s">
        <v>8</v>
      </c>
      <c r="J600" s="37" t="s">
        <v>14</v>
      </c>
      <c r="K600" s="62">
        <f t="shared" si="9"/>
        <v>3</v>
      </c>
    </row>
    <row r="601" spans="1:11" hidden="1" x14ac:dyDescent="0.35">
      <c r="A601" s="33">
        <v>20027456</v>
      </c>
      <c r="B601" s="36" t="s">
        <v>494</v>
      </c>
      <c r="C601" s="37" t="s">
        <v>86</v>
      </c>
      <c r="D601" s="38"/>
      <c r="E601" s="38" t="s">
        <v>68</v>
      </c>
      <c r="F601" s="37">
        <v>2</v>
      </c>
      <c r="G601" s="37">
        <v>3</v>
      </c>
      <c r="H601" s="37">
        <v>3</v>
      </c>
      <c r="I601" s="37" t="s">
        <v>8</v>
      </c>
      <c r="J601" s="37" t="s">
        <v>7</v>
      </c>
      <c r="K601" s="62">
        <f t="shared" si="9"/>
        <v>0.6</v>
      </c>
    </row>
    <row r="602" spans="1:11" hidden="1" x14ac:dyDescent="0.35">
      <c r="A602" s="33">
        <v>20027476</v>
      </c>
      <c r="B602" s="36" t="s">
        <v>495</v>
      </c>
      <c r="C602" s="37" t="s">
        <v>86</v>
      </c>
      <c r="D602" s="38"/>
      <c r="E602" s="38" t="s">
        <v>68</v>
      </c>
      <c r="F602" s="37">
        <v>10</v>
      </c>
      <c r="G602" s="37">
        <v>20</v>
      </c>
      <c r="H602" s="37">
        <v>22</v>
      </c>
      <c r="I602" s="37" t="s">
        <v>8</v>
      </c>
      <c r="J602" s="37" t="s">
        <v>14</v>
      </c>
      <c r="K602" s="62">
        <f t="shared" si="9"/>
        <v>0.73333333333333328</v>
      </c>
    </row>
    <row r="603" spans="1:11" hidden="1" x14ac:dyDescent="0.35">
      <c r="A603" s="33">
        <v>20027483</v>
      </c>
      <c r="B603" s="36" t="s">
        <v>496</v>
      </c>
      <c r="C603" s="37" t="s">
        <v>86</v>
      </c>
      <c r="D603" s="38"/>
      <c r="E603" s="38" t="s">
        <v>68</v>
      </c>
      <c r="F603" s="37">
        <v>2</v>
      </c>
      <c r="G603" s="37">
        <v>3</v>
      </c>
      <c r="H603" s="37">
        <v>3</v>
      </c>
      <c r="I603" s="37" t="s">
        <v>25</v>
      </c>
      <c r="J603" s="37" t="s">
        <v>7</v>
      </c>
      <c r="K603" s="62">
        <f t="shared" si="9"/>
        <v>0.6</v>
      </c>
    </row>
    <row r="604" spans="1:11" x14ac:dyDescent="0.35">
      <c r="A604" s="33">
        <v>20027524</v>
      </c>
      <c r="B604" s="36" t="s">
        <v>497</v>
      </c>
      <c r="C604" s="37" t="s">
        <v>86</v>
      </c>
      <c r="D604" s="38"/>
      <c r="E604" s="38" t="s">
        <v>68</v>
      </c>
      <c r="F604" s="37">
        <v>13</v>
      </c>
      <c r="G604" s="37">
        <v>21</v>
      </c>
      <c r="H604" s="37">
        <v>299</v>
      </c>
      <c r="I604" s="37" t="s">
        <v>8</v>
      </c>
      <c r="J604" s="37" t="s">
        <v>14</v>
      </c>
      <c r="K604" s="62">
        <f t="shared" si="9"/>
        <v>8.7941176470588243</v>
      </c>
    </row>
    <row r="605" spans="1:11" hidden="1" x14ac:dyDescent="0.35">
      <c r="A605" s="33">
        <v>20027532</v>
      </c>
      <c r="B605" s="36" t="s">
        <v>498</v>
      </c>
      <c r="C605" s="37" t="s">
        <v>86</v>
      </c>
      <c r="D605" s="38"/>
      <c r="E605" s="38" t="s">
        <v>68</v>
      </c>
      <c r="F605" s="37">
        <v>1</v>
      </c>
      <c r="G605" s="37">
        <v>1</v>
      </c>
      <c r="H605" s="37">
        <v>2</v>
      </c>
      <c r="I605" s="37" t="s">
        <v>8</v>
      </c>
      <c r="J605" s="37" t="s">
        <v>7</v>
      </c>
      <c r="K605" s="62">
        <f t="shared" si="9"/>
        <v>1</v>
      </c>
    </row>
    <row r="606" spans="1:11" hidden="1" x14ac:dyDescent="0.35">
      <c r="A606" s="33">
        <v>20027534</v>
      </c>
      <c r="B606" s="36" t="s">
        <v>499</v>
      </c>
      <c r="C606" s="37" t="s">
        <v>86</v>
      </c>
      <c r="D606" s="38"/>
      <c r="E606" s="38" t="s">
        <v>68</v>
      </c>
      <c r="F606" s="37">
        <v>1</v>
      </c>
      <c r="G606" s="37">
        <v>1</v>
      </c>
      <c r="H606" s="37">
        <v>1</v>
      </c>
      <c r="I606" s="37" t="s">
        <v>8</v>
      </c>
      <c r="J606" s="37" t="s">
        <v>7</v>
      </c>
      <c r="K606" s="62">
        <f t="shared" si="9"/>
        <v>0.5</v>
      </c>
    </row>
    <row r="607" spans="1:11" hidden="1" x14ac:dyDescent="0.35">
      <c r="A607" s="33">
        <v>20027541</v>
      </c>
      <c r="B607" s="36" t="s">
        <v>500</v>
      </c>
      <c r="C607" s="37" t="s">
        <v>86</v>
      </c>
      <c r="D607" s="38"/>
      <c r="E607" s="38" t="s">
        <v>68</v>
      </c>
      <c r="F607" s="37">
        <v>8</v>
      </c>
      <c r="G607" s="37">
        <v>6</v>
      </c>
      <c r="H607" s="37">
        <v>8</v>
      </c>
      <c r="I607" s="37" t="s">
        <v>8</v>
      </c>
      <c r="J607" s="37" t="s">
        <v>7</v>
      </c>
      <c r="K607" s="62">
        <f t="shared" si="9"/>
        <v>0.5714285714285714</v>
      </c>
    </row>
    <row r="608" spans="1:11" x14ac:dyDescent="0.35">
      <c r="A608" s="33">
        <v>20027542</v>
      </c>
      <c r="B608" s="36" t="s">
        <v>501</v>
      </c>
      <c r="C608" s="37" t="s">
        <v>86</v>
      </c>
      <c r="D608" s="38"/>
      <c r="E608" s="38" t="s">
        <v>68</v>
      </c>
      <c r="F608" s="37">
        <v>1</v>
      </c>
      <c r="G608" s="37">
        <v>1</v>
      </c>
      <c r="H608" s="37">
        <v>41</v>
      </c>
      <c r="I608" s="37" t="s">
        <v>8</v>
      </c>
      <c r="J608" s="37" t="s">
        <v>14</v>
      </c>
      <c r="K608" s="62">
        <f t="shared" si="9"/>
        <v>20.5</v>
      </c>
    </row>
    <row r="609" spans="1:11" x14ac:dyDescent="0.35">
      <c r="A609" s="33">
        <v>20027543</v>
      </c>
      <c r="B609" s="36" t="s">
        <v>502</v>
      </c>
      <c r="C609" s="37" t="s">
        <v>86</v>
      </c>
      <c r="D609" s="38"/>
      <c r="E609" s="38" t="s">
        <v>68</v>
      </c>
      <c r="F609" s="37">
        <v>2</v>
      </c>
      <c r="G609" s="37">
        <v>2</v>
      </c>
      <c r="H609" s="37">
        <v>98</v>
      </c>
      <c r="I609" s="37" t="s">
        <v>8</v>
      </c>
      <c r="J609" s="37" t="s">
        <v>14</v>
      </c>
      <c r="K609" s="62">
        <f t="shared" si="9"/>
        <v>24.5</v>
      </c>
    </row>
    <row r="610" spans="1:11" hidden="1" x14ac:dyDescent="0.35">
      <c r="A610" s="33">
        <v>20027634</v>
      </c>
      <c r="B610" s="36" t="s">
        <v>1475</v>
      </c>
      <c r="C610" s="37" t="s">
        <v>86</v>
      </c>
      <c r="D610" s="38"/>
      <c r="E610" s="38" t="s">
        <v>68</v>
      </c>
      <c r="F610" s="37">
        <v>2</v>
      </c>
      <c r="G610" s="37">
        <v>2</v>
      </c>
      <c r="H610" s="37">
        <v>2</v>
      </c>
      <c r="I610" s="37" t="s">
        <v>21</v>
      </c>
      <c r="J610" s="37" t="s">
        <v>7</v>
      </c>
      <c r="K610" s="62">
        <f t="shared" si="9"/>
        <v>0.5</v>
      </c>
    </row>
    <row r="611" spans="1:11" hidden="1" x14ac:dyDescent="0.35">
      <c r="A611" s="33">
        <v>20027851</v>
      </c>
      <c r="B611" s="36" t="s">
        <v>503</v>
      </c>
      <c r="C611" s="37" t="s">
        <v>86</v>
      </c>
      <c r="D611" s="38"/>
      <c r="E611" s="38" t="s">
        <v>68</v>
      </c>
      <c r="F611" s="37">
        <v>17</v>
      </c>
      <c r="G611" s="37">
        <v>30</v>
      </c>
      <c r="H611" s="37">
        <v>56</v>
      </c>
      <c r="I611" s="37" t="s">
        <v>23</v>
      </c>
      <c r="J611" s="37" t="s">
        <v>14</v>
      </c>
      <c r="K611" s="62">
        <f t="shared" si="9"/>
        <v>1.1914893617021276</v>
      </c>
    </row>
    <row r="612" spans="1:11" hidden="1" x14ac:dyDescent="0.35">
      <c r="A612" s="33">
        <v>20027853</v>
      </c>
      <c r="B612" s="36" t="s">
        <v>504</v>
      </c>
      <c r="C612" s="37" t="s">
        <v>86</v>
      </c>
      <c r="D612" s="38"/>
      <c r="E612" s="38" t="s">
        <v>68</v>
      </c>
      <c r="F612" s="37">
        <v>230</v>
      </c>
      <c r="G612" s="37">
        <v>400</v>
      </c>
      <c r="H612" s="37">
        <v>574</v>
      </c>
      <c r="I612" s="37" t="s">
        <v>23</v>
      </c>
      <c r="J612" s="37" t="s">
        <v>7</v>
      </c>
      <c r="K612" s="62">
        <f t="shared" si="9"/>
        <v>0.91111111111111109</v>
      </c>
    </row>
    <row r="613" spans="1:11" x14ac:dyDescent="0.35">
      <c r="A613" s="33">
        <v>20027854</v>
      </c>
      <c r="B613" s="36" t="s">
        <v>505</v>
      </c>
      <c r="C613" s="37" t="s">
        <v>86</v>
      </c>
      <c r="D613" s="38"/>
      <c r="E613" s="38" t="s">
        <v>68</v>
      </c>
      <c r="F613" s="37">
        <v>8</v>
      </c>
      <c r="G613" s="37">
        <v>13</v>
      </c>
      <c r="H613" s="37">
        <v>180</v>
      </c>
      <c r="I613" s="37" t="s">
        <v>23</v>
      </c>
      <c r="J613" s="37" t="s">
        <v>14</v>
      </c>
      <c r="K613" s="62">
        <f t="shared" si="9"/>
        <v>8.5714285714285712</v>
      </c>
    </row>
    <row r="614" spans="1:11" x14ac:dyDescent="0.35">
      <c r="A614" s="33">
        <v>20028146</v>
      </c>
      <c r="B614" s="36" t="s">
        <v>506</v>
      </c>
      <c r="C614" s="37" t="s">
        <v>86</v>
      </c>
      <c r="D614" s="38"/>
      <c r="E614" s="38" t="s">
        <v>68</v>
      </c>
      <c r="F614" s="37">
        <v>1</v>
      </c>
      <c r="G614" s="37">
        <v>1</v>
      </c>
      <c r="H614" s="37">
        <v>10</v>
      </c>
      <c r="I614" s="37" t="s">
        <v>8</v>
      </c>
      <c r="J614" s="37" t="s">
        <v>14</v>
      </c>
      <c r="K614" s="62">
        <f t="shared" si="9"/>
        <v>5</v>
      </c>
    </row>
    <row r="615" spans="1:11" hidden="1" x14ac:dyDescent="0.35">
      <c r="A615" s="33">
        <v>20028189</v>
      </c>
      <c r="B615" s="36" t="s">
        <v>507</v>
      </c>
      <c r="C615" s="37" t="s">
        <v>86</v>
      </c>
      <c r="D615" s="38"/>
      <c r="E615" s="38" t="s">
        <v>68</v>
      </c>
      <c r="F615" s="37">
        <v>2</v>
      </c>
      <c r="G615" s="37">
        <v>3</v>
      </c>
      <c r="H615" s="37">
        <v>2</v>
      </c>
      <c r="I615" s="37" t="s">
        <v>8</v>
      </c>
      <c r="J615" s="37" t="s">
        <v>7</v>
      </c>
      <c r="K615" s="62">
        <f t="shared" si="9"/>
        <v>0.4</v>
      </c>
    </row>
    <row r="616" spans="1:11" hidden="1" x14ac:dyDescent="0.35">
      <c r="A616" s="33">
        <v>20028190</v>
      </c>
      <c r="B616" s="36" t="s">
        <v>508</v>
      </c>
      <c r="C616" s="37" t="s">
        <v>86</v>
      </c>
      <c r="D616" s="38"/>
      <c r="E616" s="38" t="s">
        <v>68</v>
      </c>
      <c r="F616" s="37">
        <v>1</v>
      </c>
      <c r="G616" s="37">
        <v>1</v>
      </c>
      <c r="H616" s="37">
        <v>6</v>
      </c>
      <c r="I616" s="37" t="s">
        <v>8</v>
      </c>
      <c r="J616" s="37" t="s">
        <v>14</v>
      </c>
      <c r="K616" s="62">
        <f t="shared" si="9"/>
        <v>3</v>
      </c>
    </row>
    <row r="617" spans="1:11" hidden="1" x14ac:dyDescent="0.35">
      <c r="A617" s="33">
        <v>20028193</v>
      </c>
      <c r="B617" s="36" t="s">
        <v>509</v>
      </c>
      <c r="C617" s="37" t="s">
        <v>86</v>
      </c>
      <c r="D617" s="38"/>
      <c r="E617" s="38" t="s">
        <v>68</v>
      </c>
      <c r="F617" s="37">
        <v>1</v>
      </c>
      <c r="G617" s="37">
        <v>1</v>
      </c>
      <c r="H617" s="37">
        <v>3</v>
      </c>
      <c r="I617" s="37" t="s">
        <v>8</v>
      </c>
      <c r="J617" s="37" t="s">
        <v>14</v>
      </c>
      <c r="K617" s="62">
        <f t="shared" si="9"/>
        <v>1.5</v>
      </c>
    </row>
    <row r="618" spans="1:11" hidden="1" x14ac:dyDescent="0.35">
      <c r="A618" s="33">
        <v>20028226</v>
      </c>
      <c r="B618" s="36" t="s">
        <v>510</v>
      </c>
      <c r="C618" s="37" t="s">
        <v>86</v>
      </c>
      <c r="D618" s="38"/>
      <c r="E618" s="38" t="s">
        <v>68</v>
      </c>
      <c r="F618" s="37">
        <v>2</v>
      </c>
      <c r="G618" s="37">
        <v>3</v>
      </c>
      <c r="H618" s="37">
        <v>12</v>
      </c>
      <c r="I618" s="37" t="s">
        <v>8</v>
      </c>
      <c r="J618" s="37" t="s">
        <v>14</v>
      </c>
      <c r="K618" s="62">
        <f t="shared" si="9"/>
        <v>2.4</v>
      </c>
    </row>
    <row r="619" spans="1:11" hidden="1" x14ac:dyDescent="0.35">
      <c r="A619" s="33">
        <v>20028734</v>
      </c>
      <c r="B619" s="36" t="s">
        <v>1476</v>
      </c>
      <c r="C619" s="37" t="s">
        <v>86</v>
      </c>
      <c r="D619" s="38"/>
      <c r="E619" s="38" t="s">
        <v>68</v>
      </c>
      <c r="F619" s="37">
        <v>2</v>
      </c>
      <c r="G619" s="37">
        <v>2</v>
      </c>
      <c r="H619" s="37">
        <v>2</v>
      </c>
      <c r="I619" s="37" t="s">
        <v>8</v>
      </c>
      <c r="J619" s="37" t="s">
        <v>7</v>
      </c>
      <c r="K619" s="62">
        <f t="shared" si="9"/>
        <v>0.5</v>
      </c>
    </row>
    <row r="620" spans="1:11" hidden="1" x14ac:dyDescent="0.35">
      <c r="A620" s="33">
        <v>20028767</v>
      </c>
      <c r="B620" s="36" t="s">
        <v>511</v>
      </c>
      <c r="C620" s="37" t="s">
        <v>86</v>
      </c>
      <c r="D620" s="38"/>
      <c r="E620" s="38" t="s">
        <v>68</v>
      </c>
      <c r="F620" s="37">
        <v>4</v>
      </c>
      <c r="G620" s="37">
        <v>8</v>
      </c>
      <c r="H620" s="37">
        <v>7</v>
      </c>
      <c r="I620" s="37" t="s">
        <v>8</v>
      </c>
      <c r="J620" s="37" t="s">
        <v>7</v>
      </c>
      <c r="K620" s="62">
        <f t="shared" si="9"/>
        <v>0.58333333333333337</v>
      </c>
    </row>
    <row r="621" spans="1:11" hidden="1" x14ac:dyDescent="0.35">
      <c r="A621" s="33">
        <v>20028768</v>
      </c>
      <c r="B621" s="36" t="s">
        <v>512</v>
      </c>
      <c r="C621" s="37" t="s">
        <v>86</v>
      </c>
      <c r="D621" s="38"/>
      <c r="E621" s="38" t="s">
        <v>68</v>
      </c>
      <c r="F621" s="37">
        <v>4</v>
      </c>
      <c r="G621" s="37">
        <v>8</v>
      </c>
      <c r="H621" s="37">
        <v>8</v>
      </c>
      <c r="I621" s="37" t="s">
        <v>8</v>
      </c>
      <c r="J621" s="37" t="s">
        <v>7</v>
      </c>
      <c r="K621" s="62">
        <f t="shared" si="9"/>
        <v>0.66666666666666663</v>
      </c>
    </row>
    <row r="622" spans="1:11" hidden="1" x14ac:dyDescent="0.35">
      <c r="A622" s="33">
        <v>20040973</v>
      </c>
      <c r="B622" s="36" t="s">
        <v>513</v>
      </c>
      <c r="C622" s="37" t="s">
        <v>86</v>
      </c>
      <c r="D622" s="38"/>
      <c r="E622" s="38" t="s">
        <v>68</v>
      </c>
      <c r="F622" s="37">
        <v>24</v>
      </c>
      <c r="G622" s="37">
        <v>24</v>
      </c>
      <c r="H622" s="37">
        <v>28</v>
      </c>
      <c r="I622" s="37" t="s">
        <v>8</v>
      </c>
      <c r="J622" s="37" t="s">
        <v>7</v>
      </c>
      <c r="K622" s="62">
        <f t="shared" si="9"/>
        <v>0.58333333333333337</v>
      </c>
    </row>
    <row r="623" spans="1:11" hidden="1" x14ac:dyDescent="0.35">
      <c r="A623" s="33">
        <v>20041001</v>
      </c>
      <c r="B623" s="36" t="s">
        <v>514</v>
      </c>
      <c r="C623" s="37" t="s">
        <v>86</v>
      </c>
      <c r="D623" s="38"/>
      <c r="E623" s="38" t="s">
        <v>68</v>
      </c>
      <c r="F623" s="37">
        <v>12</v>
      </c>
      <c r="G623" s="37">
        <v>24</v>
      </c>
      <c r="H623" s="37">
        <v>29</v>
      </c>
      <c r="I623" s="37" t="s">
        <v>8</v>
      </c>
      <c r="J623" s="37" t="s">
        <v>7</v>
      </c>
      <c r="K623" s="62">
        <f t="shared" si="9"/>
        <v>0.80555555555555558</v>
      </c>
    </row>
    <row r="624" spans="1:11" hidden="1" x14ac:dyDescent="0.35">
      <c r="A624" s="33">
        <v>20041002</v>
      </c>
      <c r="B624" s="36" t="s">
        <v>515</v>
      </c>
      <c r="C624" s="37" t="s">
        <v>86</v>
      </c>
      <c r="D624" s="38"/>
      <c r="E624" s="38" t="s">
        <v>68</v>
      </c>
      <c r="F624" s="37">
        <v>12</v>
      </c>
      <c r="G624" s="37">
        <v>36</v>
      </c>
      <c r="H624" s="37">
        <v>38</v>
      </c>
      <c r="I624" s="37" t="s">
        <v>8</v>
      </c>
      <c r="J624" s="37" t="s">
        <v>7</v>
      </c>
      <c r="K624" s="62">
        <f t="shared" si="9"/>
        <v>0.79166666666666663</v>
      </c>
    </row>
    <row r="625" spans="1:11" x14ac:dyDescent="0.35">
      <c r="A625" s="33">
        <v>20041003</v>
      </c>
      <c r="B625" s="36" t="s">
        <v>516</v>
      </c>
      <c r="C625" s="37" t="s">
        <v>86</v>
      </c>
      <c r="D625" s="38"/>
      <c r="E625" s="38" t="s">
        <v>68</v>
      </c>
      <c r="F625" s="37">
        <v>11</v>
      </c>
      <c r="G625" s="37">
        <v>12</v>
      </c>
      <c r="H625" s="37">
        <v>164</v>
      </c>
      <c r="I625" s="37" t="s">
        <v>8</v>
      </c>
      <c r="J625" s="37" t="s">
        <v>14</v>
      </c>
      <c r="K625" s="62">
        <f t="shared" si="9"/>
        <v>7.1304347826086953</v>
      </c>
    </row>
    <row r="626" spans="1:11" hidden="1" x14ac:dyDescent="0.35">
      <c r="A626" s="33">
        <v>20041014</v>
      </c>
      <c r="B626" s="36" t="s">
        <v>73</v>
      </c>
      <c r="C626" s="37" t="s">
        <v>86</v>
      </c>
      <c r="D626" s="38"/>
      <c r="E626" s="38" t="s">
        <v>68</v>
      </c>
      <c r="F626" s="37">
        <v>600</v>
      </c>
      <c r="G626" s="37">
        <v>400</v>
      </c>
      <c r="H626" s="37">
        <v>648</v>
      </c>
      <c r="I626" s="37" t="s">
        <v>8</v>
      </c>
      <c r="J626" s="37" t="s">
        <v>7</v>
      </c>
      <c r="K626" s="62">
        <f t="shared" si="9"/>
        <v>0.64800000000000002</v>
      </c>
    </row>
    <row r="627" spans="1:11" hidden="1" x14ac:dyDescent="0.35">
      <c r="A627" s="33">
        <v>20041015</v>
      </c>
      <c r="B627" s="36" t="s">
        <v>517</v>
      </c>
      <c r="C627" s="37" t="s">
        <v>86</v>
      </c>
      <c r="D627" s="38"/>
      <c r="E627" s="38" t="s">
        <v>68</v>
      </c>
      <c r="F627" s="37">
        <v>600</v>
      </c>
      <c r="G627" s="37">
        <v>400</v>
      </c>
      <c r="H627" s="37">
        <v>1319</v>
      </c>
      <c r="I627" s="37" t="s">
        <v>8</v>
      </c>
      <c r="J627" s="37" t="s">
        <v>14</v>
      </c>
      <c r="K627" s="62">
        <f t="shared" si="9"/>
        <v>1.319</v>
      </c>
    </row>
    <row r="628" spans="1:11" hidden="1" x14ac:dyDescent="0.35">
      <c r="A628" s="33">
        <v>20046227</v>
      </c>
      <c r="B628" s="36" t="s">
        <v>1206</v>
      </c>
      <c r="C628" s="37" t="s">
        <v>86</v>
      </c>
      <c r="D628" s="38"/>
      <c r="E628" s="38" t="s">
        <v>68</v>
      </c>
      <c r="F628" s="37">
        <v>100</v>
      </c>
      <c r="G628" s="37">
        <v>150</v>
      </c>
      <c r="H628" s="37">
        <v>174</v>
      </c>
      <c r="I628" s="37" t="s">
        <v>8</v>
      </c>
      <c r="J628" s="37" t="s">
        <v>7</v>
      </c>
      <c r="K628" s="62">
        <f t="shared" si="9"/>
        <v>0.69599999999999995</v>
      </c>
    </row>
    <row r="629" spans="1:11" hidden="1" x14ac:dyDescent="0.35">
      <c r="A629" s="33">
        <v>20046228</v>
      </c>
      <c r="B629" s="36" t="s">
        <v>1207</v>
      </c>
      <c r="C629" s="37" t="s">
        <v>86</v>
      </c>
      <c r="D629" s="38"/>
      <c r="E629" s="38" t="s">
        <v>68</v>
      </c>
      <c r="F629" s="37">
        <v>70</v>
      </c>
      <c r="G629" s="37">
        <v>200</v>
      </c>
      <c r="H629" s="37">
        <v>23</v>
      </c>
      <c r="I629" s="37" t="s">
        <v>8</v>
      </c>
      <c r="J629" s="37" t="s">
        <v>9</v>
      </c>
      <c r="K629" s="62">
        <f t="shared" si="9"/>
        <v>8.5185185185185183E-2</v>
      </c>
    </row>
    <row r="630" spans="1:11" hidden="1" x14ac:dyDescent="0.35">
      <c r="A630" s="33">
        <v>20046229</v>
      </c>
      <c r="B630" s="36" t="s">
        <v>1208</v>
      </c>
      <c r="C630" s="37" t="s">
        <v>86</v>
      </c>
      <c r="D630" s="38"/>
      <c r="E630" s="38" t="s">
        <v>68</v>
      </c>
      <c r="F630" s="37">
        <v>70</v>
      </c>
      <c r="G630" s="37">
        <v>100</v>
      </c>
      <c r="H630" s="37">
        <v>82</v>
      </c>
      <c r="I630" s="37" t="s">
        <v>8</v>
      </c>
      <c r="J630" s="37" t="s">
        <v>7</v>
      </c>
      <c r="K630" s="62">
        <f t="shared" si="9"/>
        <v>0.4823529411764706</v>
      </c>
    </row>
    <row r="631" spans="1:11" hidden="1" x14ac:dyDescent="0.35">
      <c r="A631" s="33">
        <v>20046230</v>
      </c>
      <c r="B631" s="36" t="s">
        <v>1209</v>
      </c>
      <c r="C631" s="37" t="s">
        <v>86</v>
      </c>
      <c r="D631" s="38"/>
      <c r="E631" s="38" t="s">
        <v>68</v>
      </c>
      <c r="F631" s="37">
        <v>70</v>
      </c>
      <c r="G631" s="37">
        <v>70</v>
      </c>
      <c r="H631" s="37">
        <v>87</v>
      </c>
      <c r="I631" s="37" t="s">
        <v>8</v>
      </c>
      <c r="J631" s="37" t="s">
        <v>7</v>
      </c>
      <c r="K631" s="62">
        <f t="shared" si="9"/>
        <v>0.62142857142857144</v>
      </c>
    </row>
    <row r="632" spans="1:11" hidden="1" x14ac:dyDescent="0.35">
      <c r="A632" s="33">
        <v>20047000</v>
      </c>
      <c r="B632" s="36" t="s">
        <v>518</v>
      </c>
      <c r="C632" s="37" t="s">
        <v>86</v>
      </c>
      <c r="D632" s="38"/>
      <c r="E632" s="38" t="s">
        <v>68</v>
      </c>
      <c r="F632" s="37">
        <v>1000</v>
      </c>
      <c r="G632" s="37">
        <v>1500</v>
      </c>
      <c r="H632" s="37">
        <v>3494</v>
      </c>
      <c r="I632" s="37" t="s">
        <v>8</v>
      </c>
      <c r="J632" s="37" t="s">
        <v>14</v>
      </c>
      <c r="K632" s="62">
        <f t="shared" si="9"/>
        <v>1.3976</v>
      </c>
    </row>
    <row r="633" spans="1:11" hidden="1" x14ac:dyDescent="0.35">
      <c r="A633" s="33">
        <v>20048691</v>
      </c>
      <c r="B633" s="36" t="s">
        <v>519</v>
      </c>
      <c r="C633" s="37" t="s">
        <v>86</v>
      </c>
      <c r="D633" s="38"/>
      <c r="E633" s="38" t="s">
        <v>68</v>
      </c>
      <c r="F633" s="37">
        <v>72</v>
      </c>
      <c r="G633" s="37">
        <v>120</v>
      </c>
      <c r="H633" s="37">
        <v>168</v>
      </c>
      <c r="I633" s="37" t="s">
        <v>10</v>
      </c>
      <c r="J633" s="37" t="s">
        <v>7</v>
      </c>
      <c r="K633" s="62">
        <f t="shared" si="9"/>
        <v>0.875</v>
      </c>
    </row>
    <row r="634" spans="1:11" hidden="1" x14ac:dyDescent="0.35">
      <c r="A634" s="33">
        <v>20050351</v>
      </c>
      <c r="B634" s="36" t="s">
        <v>1109</v>
      </c>
      <c r="C634" s="37" t="s">
        <v>86</v>
      </c>
      <c r="D634" s="38"/>
      <c r="E634" s="38" t="s">
        <v>68</v>
      </c>
      <c r="F634" s="37">
        <v>35</v>
      </c>
      <c r="G634" s="37">
        <v>100</v>
      </c>
      <c r="H634" s="37">
        <v>75</v>
      </c>
      <c r="I634" s="37" t="s">
        <v>8</v>
      </c>
      <c r="J634" s="37" t="s">
        <v>7</v>
      </c>
      <c r="K634" s="62">
        <f t="shared" si="9"/>
        <v>0.55555555555555558</v>
      </c>
    </row>
    <row r="635" spans="1:11" hidden="1" x14ac:dyDescent="0.35">
      <c r="A635" s="33">
        <v>20050353</v>
      </c>
      <c r="B635" s="36" t="s">
        <v>1403</v>
      </c>
      <c r="C635" s="37" t="s">
        <v>86</v>
      </c>
      <c r="D635" s="38"/>
      <c r="E635" s="38" t="s">
        <v>68</v>
      </c>
      <c r="F635" s="37">
        <v>6</v>
      </c>
      <c r="G635" s="37">
        <v>10</v>
      </c>
      <c r="H635" s="37">
        <v>0</v>
      </c>
      <c r="I635" s="37" t="s">
        <v>781</v>
      </c>
      <c r="J635" s="37" t="s">
        <v>9</v>
      </c>
      <c r="K635" s="62">
        <f t="shared" si="9"/>
        <v>0</v>
      </c>
    </row>
    <row r="636" spans="1:11" hidden="1" x14ac:dyDescent="0.35">
      <c r="A636" s="33">
        <v>20050354</v>
      </c>
      <c r="B636" s="36" t="s">
        <v>1404</v>
      </c>
      <c r="C636" s="37" t="s">
        <v>86</v>
      </c>
      <c r="D636" s="38"/>
      <c r="E636" s="38" t="s">
        <v>68</v>
      </c>
      <c r="F636" s="37">
        <v>6</v>
      </c>
      <c r="G636" s="37">
        <v>10</v>
      </c>
      <c r="H636" s="37">
        <v>0</v>
      </c>
      <c r="I636" s="37" t="s">
        <v>781</v>
      </c>
      <c r="J636" s="37" t="s">
        <v>9</v>
      </c>
      <c r="K636" s="62">
        <f t="shared" si="9"/>
        <v>0</v>
      </c>
    </row>
    <row r="637" spans="1:11" hidden="1" x14ac:dyDescent="0.35">
      <c r="A637" s="33">
        <v>20050387</v>
      </c>
      <c r="B637" s="36" t="s">
        <v>792</v>
      </c>
      <c r="C637" s="37" t="s">
        <v>86</v>
      </c>
      <c r="D637" s="38"/>
      <c r="E637" s="38" t="s">
        <v>68</v>
      </c>
      <c r="F637" s="37">
        <v>15</v>
      </c>
      <c r="G637" s="37">
        <v>32</v>
      </c>
      <c r="H637" s="37">
        <v>17</v>
      </c>
      <c r="I637" s="37" t="s">
        <v>8</v>
      </c>
      <c r="J637" s="37" t="s">
        <v>7</v>
      </c>
      <c r="K637" s="62">
        <f t="shared" si="9"/>
        <v>0.36170212765957449</v>
      </c>
    </row>
    <row r="638" spans="1:11" hidden="1" x14ac:dyDescent="0.35">
      <c r="A638" s="33">
        <v>20050460</v>
      </c>
      <c r="B638" s="36" t="s">
        <v>1438</v>
      </c>
      <c r="C638" s="37" t="s">
        <v>86</v>
      </c>
      <c r="D638" s="38"/>
      <c r="E638" s="38" t="s">
        <v>68</v>
      </c>
      <c r="F638" s="37">
        <v>6</v>
      </c>
      <c r="G638" s="37">
        <v>10</v>
      </c>
      <c r="H638" s="37">
        <v>13</v>
      </c>
      <c r="I638" s="37" t="s">
        <v>8</v>
      </c>
      <c r="J638" s="37" t="s">
        <v>7</v>
      </c>
      <c r="K638" s="62">
        <f t="shared" si="9"/>
        <v>0.8125</v>
      </c>
    </row>
    <row r="639" spans="1:11" hidden="1" x14ac:dyDescent="0.35">
      <c r="A639" s="33">
        <v>20058961</v>
      </c>
      <c r="B639" s="36" t="s">
        <v>1224</v>
      </c>
      <c r="C639" s="37" t="s">
        <v>86</v>
      </c>
      <c r="D639" s="38"/>
      <c r="E639" s="38" t="s">
        <v>68</v>
      </c>
      <c r="F639" s="37">
        <v>100</v>
      </c>
      <c r="G639" s="37">
        <v>200</v>
      </c>
      <c r="H639" s="37">
        <v>120</v>
      </c>
      <c r="I639" s="37" t="s">
        <v>21</v>
      </c>
      <c r="J639" s="37" t="s">
        <v>7</v>
      </c>
      <c r="K639" s="62">
        <f t="shared" si="9"/>
        <v>0.4</v>
      </c>
    </row>
    <row r="640" spans="1:11" x14ac:dyDescent="0.35">
      <c r="A640" s="33">
        <v>20059165</v>
      </c>
      <c r="B640" s="36" t="s">
        <v>1265</v>
      </c>
      <c r="C640" s="37" t="s">
        <v>86</v>
      </c>
      <c r="D640" s="38"/>
      <c r="E640" s="38" t="s">
        <v>68</v>
      </c>
      <c r="F640" s="37">
        <v>5</v>
      </c>
      <c r="G640" s="37">
        <v>10</v>
      </c>
      <c r="H640" s="37">
        <v>81</v>
      </c>
      <c r="I640" s="37" t="s">
        <v>8</v>
      </c>
      <c r="J640" s="37" t="s">
        <v>14</v>
      </c>
      <c r="K640" s="62">
        <f t="shared" si="9"/>
        <v>5.4</v>
      </c>
    </row>
    <row r="641" spans="1:11" x14ac:dyDescent="0.35">
      <c r="A641" s="33">
        <v>20059166</v>
      </c>
      <c r="B641" s="36" t="s">
        <v>1266</v>
      </c>
      <c r="C641" s="37" t="s">
        <v>86</v>
      </c>
      <c r="D641" s="38"/>
      <c r="E641" s="38" t="s">
        <v>68</v>
      </c>
      <c r="F641" s="37">
        <v>5</v>
      </c>
      <c r="G641" s="37">
        <v>10</v>
      </c>
      <c r="H641" s="37">
        <v>90</v>
      </c>
      <c r="I641" s="37" t="s">
        <v>8</v>
      </c>
      <c r="J641" s="37" t="s">
        <v>14</v>
      </c>
      <c r="K641" s="62">
        <f t="shared" si="9"/>
        <v>6</v>
      </c>
    </row>
    <row r="642" spans="1:11" hidden="1" x14ac:dyDescent="0.35">
      <c r="A642" s="33">
        <v>20060483</v>
      </c>
      <c r="B642" s="36" t="s">
        <v>1477</v>
      </c>
      <c r="C642" s="37" t="s">
        <v>86</v>
      </c>
      <c r="D642" s="38"/>
      <c r="E642" s="38" t="s">
        <v>68</v>
      </c>
      <c r="F642" s="37">
        <v>2</v>
      </c>
      <c r="G642" s="37">
        <v>2</v>
      </c>
      <c r="H642" s="37">
        <v>2</v>
      </c>
      <c r="I642" s="37" t="s">
        <v>21</v>
      </c>
      <c r="J642" s="37" t="s">
        <v>7</v>
      </c>
      <c r="K642" s="62">
        <f t="shared" si="9"/>
        <v>0.5</v>
      </c>
    </row>
    <row r="643" spans="1:11" hidden="1" x14ac:dyDescent="0.35">
      <c r="A643" s="33">
        <v>20062125</v>
      </c>
      <c r="B643" s="36" t="s">
        <v>1332</v>
      </c>
      <c r="C643" s="37" t="s">
        <v>86</v>
      </c>
      <c r="D643" s="38"/>
      <c r="E643" s="38" t="s">
        <v>68</v>
      </c>
      <c r="F643" s="37">
        <v>20000</v>
      </c>
      <c r="G643" s="37">
        <v>30000</v>
      </c>
      <c r="H643" s="37">
        <v>33000</v>
      </c>
      <c r="I643" s="37" t="s">
        <v>10</v>
      </c>
      <c r="J643" s="37" t="s">
        <v>7</v>
      </c>
      <c r="K643" s="62">
        <f t="shared" si="9"/>
        <v>0.66</v>
      </c>
    </row>
    <row r="644" spans="1:11" hidden="1" x14ac:dyDescent="0.35">
      <c r="A644" s="33">
        <v>20062126</v>
      </c>
      <c r="B644" s="36" t="s">
        <v>1286</v>
      </c>
      <c r="C644" s="37" t="s">
        <v>86</v>
      </c>
      <c r="D644" s="38"/>
      <c r="E644" s="38" t="s">
        <v>68</v>
      </c>
      <c r="F644" s="37">
        <v>2</v>
      </c>
      <c r="G644" s="37">
        <v>4</v>
      </c>
      <c r="H644" s="37">
        <v>4</v>
      </c>
      <c r="I644" s="37" t="s">
        <v>8</v>
      </c>
      <c r="J644" s="37" t="s">
        <v>7</v>
      </c>
      <c r="K644" s="62">
        <f t="shared" si="9"/>
        <v>0.66666666666666663</v>
      </c>
    </row>
    <row r="645" spans="1:11" hidden="1" x14ac:dyDescent="0.35">
      <c r="A645" s="33">
        <v>20064476</v>
      </c>
      <c r="B645" s="36" t="s">
        <v>1478</v>
      </c>
      <c r="C645" s="37" t="s">
        <v>86</v>
      </c>
      <c r="D645" s="38"/>
      <c r="E645" s="38" t="s">
        <v>68</v>
      </c>
      <c r="F645" s="37">
        <v>10</v>
      </c>
      <c r="G645" s="37">
        <v>10</v>
      </c>
      <c r="H645" s="37">
        <v>8</v>
      </c>
      <c r="I645" s="37" t="s">
        <v>8</v>
      </c>
      <c r="J645" s="37" t="s">
        <v>7</v>
      </c>
      <c r="K645" s="62">
        <f t="shared" si="9"/>
        <v>0.4</v>
      </c>
    </row>
    <row r="646" spans="1:11" hidden="1" x14ac:dyDescent="0.35">
      <c r="A646" s="33">
        <v>20069666</v>
      </c>
      <c r="B646" s="36" t="s">
        <v>1502</v>
      </c>
      <c r="C646" s="37" t="s">
        <v>86</v>
      </c>
      <c r="D646" s="38"/>
      <c r="E646" s="38" t="s">
        <v>68</v>
      </c>
      <c r="F646" s="37">
        <v>4</v>
      </c>
      <c r="G646" s="37">
        <v>4</v>
      </c>
      <c r="H646" s="37">
        <v>8</v>
      </c>
      <c r="I646" s="37" t="s">
        <v>8</v>
      </c>
      <c r="J646" s="37" t="s">
        <v>7</v>
      </c>
      <c r="K646" s="62">
        <f t="shared" si="9"/>
        <v>1</v>
      </c>
    </row>
    <row r="647" spans="1:11" hidden="1" x14ac:dyDescent="0.35">
      <c r="A647" s="33">
        <v>20069977</v>
      </c>
      <c r="B647" s="36" t="s">
        <v>1429</v>
      </c>
      <c r="C647" s="37" t="s">
        <v>86</v>
      </c>
      <c r="D647" s="38"/>
      <c r="E647" s="38" t="s">
        <v>68</v>
      </c>
      <c r="F647" s="37">
        <v>20</v>
      </c>
      <c r="G647" s="37">
        <v>60</v>
      </c>
      <c r="H647" s="37">
        <v>38</v>
      </c>
      <c r="I647" s="37" t="s">
        <v>8</v>
      </c>
      <c r="J647" s="37" t="s">
        <v>7</v>
      </c>
      <c r="K647" s="62">
        <f t="shared" si="9"/>
        <v>0.47499999999999998</v>
      </c>
    </row>
    <row r="648" spans="1:11" hidden="1" x14ac:dyDescent="0.35">
      <c r="A648" s="33">
        <v>20070347</v>
      </c>
      <c r="B648" s="36" t="s">
        <v>1443</v>
      </c>
      <c r="C648" s="37" t="s">
        <v>86</v>
      </c>
      <c r="D648" s="38"/>
      <c r="E648" s="38" t="s">
        <v>68</v>
      </c>
      <c r="F648" s="37">
        <v>250</v>
      </c>
      <c r="G648" s="37">
        <v>400</v>
      </c>
      <c r="H648" s="37">
        <v>267</v>
      </c>
      <c r="I648" s="37" t="s">
        <v>8</v>
      </c>
      <c r="J648" s="37" t="s">
        <v>7</v>
      </c>
      <c r="K648" s="62">
        <f t="shared" si="9"/>
        <v>0.41076923076923078</v>
      </c>
    </row>
    <row r="649" spans="1:11" hidden="1" x14ac:dyDescent="0.35">
      <c r="A649" s="33">
        <v>20070759</v>
      </c>
      <c r="B649" s="36" t="s">
        <v>1398</v>
      </c>
      <c r="C649" s="37" t="s">
        <v>86</v>
      </c>
      <c r="D649" s="38"/>
      <c r="E649" s="38" t="s">
        <v>68</v>
      </c>
      <c r="F649" s="37">
        <v>10</v>
      </c>
      <c r="G649" s="37">
        <v>20</v>
      </c>
      <c r="H649" s="37">
        <v>28</v>
      </c>
      <c r="I649" s="37" t="s">
        <v>8</v>
      </c>
      <c r="J649" s="37" t="s">
        <v>7</v>
      </c>
      <c r="K649" s="62">
        <f t="shared" ref="K649:K712" si="10">H649/(F649+G649)</f>
        <v>0.93333333333333335</v>
      </c>
    </row>
    <row r="650" spans="1:11" hidden="1" x14ac:dyDescent="0.35">
      <c r="A650" s="33">
        <v>20070881</v>
      </c>
      <c r="B650" s="36" t="s">
        <v>1397</v>
      </c>
      <c r="C650" s="37" t="s">
        <v>86</v>
      </c>
      <c r="D650" s="38"/>
      <c r="E650" s="38" t="s">
        <v>68</v>
      </c>
      <c r="F650" s="37">
        <v>4</v>
      </c>
      <c r="G650" s="37">
        <v>2</v>
      </c>
      <c r="H650" s="37">
        <v>5</v>
      </c>
      <c r="I650" s="37" t="s">
        <v>8</v>
      </c>
      <c r="J650" s="37" t="s">
        <v>7</v>
      </c>
      <c r="K650" s="62">
        <f t="shared" si="10"/>
        <v>0.83333333333333337</v>
      </c>
    </row>
    <row r="651" spans="1:11" hidden="1" x14ac:dyDescent="0.35">
      <c r="A651" s="33">
        <v>20070888</v>
      </c>
      <c r="B651" s="36" t="s">
        <v>1424</v>
      </c>
      <c r="C651" s="37" t="s">
        <v>86</v>
      </c>
      <c r="D651" s="38"/>
      <c r="E651" s="38" t="s">
        <v>68</v>
      </c>
      <c r="F651" s="37">
        <v>10</v>
      </c>
      <c r="G651" s="37">
        <v>10</v>
      </c>
      <c r="H651" s="37">
        <v>0</v>
      </c>
      <c r="I651" s="37" t="s">
        <v>8</v>
      </c>
      <c r="J651" s="37" t="s">
        <v>13</v>
      </c>
      <c r="K651" s="62">
        <f t="shared" si="10"/>
        <v>0</v>
      </c>
    </row>
    <row r="652" spans="1:11" hidden="1" x14ac:dyDescent="0.35">
      <c r="A652" s="33">
        <v>20073205</v>
      </c>
      <c r="B652" s="36" t="s">
        <v>1479</v>
      </c>
      <c r="C652" s="37" t="s">
        <v>86</v>
      </c>
      <c r="D652" s="38"/>
      <c r="E652" s="38" t="s">
        <v>68</v>
      </c>
      <c r="F652" s="37">
        <v>2</v>
      </c>
      <c r="G652" s="37">
        <v>2</v>
      </c>
      <c r="H652" s="37">
        <v>4</v>
      </c>
      <c r="I652" s="37" t="s">
        <v>8</v>
      </c>
      <c r="J652" s="37" t="s">
        <v>7</v>
      </c>
      <c r="K652" s="62">
        <f t="shared" si="10"/>
        <v>1</v>
      </c>
    </row>
    <row r="653" spans="1:11" hidden="1" x14ac:dyDescent="0.35">
      <c r="A653" s="33">
        <v>20076418</v>
      </c>
      <c r="B653" s="36" t="s">
        <v>1511</v>
      </c>
      <c r="C653" s="37" t="s">
        <v>86</v>
      </c>
      <c r="D653" s="38"/>
      <c r="E653" s="38" t="s">
        <v>68</v>
      </c>
      <c r="F653" s="37">
        <v>10</v>
      </c>
      <c r="G653" s="37">
        <v>10</v>
      </c>
      <c r="H653" s="37">
        <v>10</v>
      </c>
      <c r="I653" s="37" t="s">
        <v>21</v>
      </c>
      <c r="J653" s="37" t="s">
        <v>7</v>
      </c>
      <c r="K653" s="62">
        <f t="shared" si="10"/>
        <v>0.5</v>
      </c>
    </row>
    <row r="654" spans="1:11" hidden="1" x14ac:dyDescent="0.35">
      <c r="A654" s="33">
        <v>20078273</v>
      </c>
      <c r="B654" s="36" t="s">
        <v>1555</v>
      </c>
      <c r="C654" s="37" t="s">
        <v>86</v>
      </c>
      <c r="D654" s="38"/>
      <c r="E654" s="38" t="s">
        <v>68</v>
      </c>
      <c r="F654" s="37">
        <v>30</v>
      </c>
      <c r="G654" s="37">
        <v>50</v>
      </c>
      <c r="H654" s="37">
        <v>18</v>
      </c>
      <c r="I654" s="37" t="s">
        <v>23</v>
      </c>
      <c r="J654" s="37" t="s">
        <v>7</v>
      </c>
      <c r="K654" s="62">
        <f t="shared" si="10"/>
        <v>0.22500000000000001</v>
      </c>
    </row>
    <row r="655" spans="1:11" hidden="1" x14ac:dyDescent="0.35">
      <c r="A655" s="33">
        <v>30005406</v>
      </c>
      <c r="B655" s="36" t="s">
        <v>793</v>
      </c>
      <c r="C655" s="37" t="s">
        <v>86</v>
      </c>
      <c r="D655" s="38"/>
      <c r="E655" s="38" t="s">
        <v>102</v>
      </c>
      <c r="F655" s="37">
        <v>1</v>
      </c>
      <c r="G655" s="37">
        <v>2</v>
      </c>
      <c r="H655" s="37">
        <v>2</v>
      </c>
      <c r="I655" s="37" t="s">
        <v>10</v>
      </c>
      <c r="J655" s="37" t="s">
        <v>7</v>
      </c>
      <c r="K655" s="62">
        <f t="shared" si="10"/>
        <v>0.66666666666666663</v>
      </c>
    </row>
    <row r="656" spans="1:11" hidden="1" x14ac:dyDescent="0.35">
      <c r="A656" s="33">
        <v>30005783</v>
      </c>
      <c r="B656" s="36" t="s">
        <v>520</v>
      </c>
      <c r="C656" s="37" t="s">
        <v>86</v>
      </c>
      <c r="D656" s="38"/>
      <c r="E656" s="38" t="s">
        <v>68</v>
      </c>
      <c r="F656" s="37">
        <v>60</v>
      </c>
      <c r="G656" s="37">
        <v>40</v>
      </c>
      <c r="H656" s="37">
        <v>132</v>
      </c>
      <c r="I656" s="37" t="s">
        <v>8</v>
      </c>
      <c r="J656" s="37" t="s">
        <v>14</v>
      </c>
      <c r="K656" s="62">
        <f t="shared" si="10"/>
        <v>1.32</v>
      </c>
    </row>
    <row r="657" spans="1:11" hidden="1" x14ac:dyDescent="0.35">
      <c r="A657" s="33">
        <v>30006055</v>
      </c>
      <c r="B657" s="36" t="s">
        <v>1110</v>
      </c>
      <c r="C657" s="37" t="s">
        <v>86</v>
      </c>
      <c r="D657" s="38"/>
      <c r="E657" s="38" t="s">
        <v>68</v>
      </c>
      <c r="F657" s="37">
        <v>72</v>
      </c>
      <c r="G657" s="37">
        <v>72</v>
      </c>
      <c r="H657" s="37">
        <v>144</v>
      </c>
      <c r="I657" s="37" t="s">
        <v>25</v>
      </c>
      <c r="J657" s="37" t="s">
        <v>9</v>
      </c>
      <c r="K657" s="62">
        <f t="shared" si="10"/>
        <v>1</v>
      </c>
    </row>
    <row r="658" spans="1:11" hidden="1" x14ac:dyDescent="0.35">
      <c r="A658" s="33">
        <v>30006066</v>
      </c>
      <c r="B658" s="36" t="s">
        <v>1439</v>
      </c>
      <c r="C658" s="37" t="s">
        <v>86</v>
      </c>
      <c r="D658" s="38"/>
      <c r="E658" s="38" t="s">
        <v>68</v>
      </c>
      <c r="F658" s="37">
        <v>100</v>
      </c>
      <c r="G658" s="37">
        <v>200</v>
      </c>
      <c r="H658" s="37">
        <v>280</v>
      </c>
      <c r="I658" s="37" t="s">
        <v>24</v>
      </c>
      <c r="J658" s="37" t="s">
        <v>7</v>
      </c>
      <c r="K658" s="62">
        <f t="shared" si="10"/>
        <v>0.93333333333333335</v>
      </c>
    </row>
    <row r="659" spans="1:11" hidden="1" x14ac:dyDescent="0.35">
      <c r="A659" s="33">
        <v>30006079</v>
      </c>
      <c r="B659" s="36" t="s">
        <v>1495</v>
      </c>
      <c r="C659" s="37" t="s">
        <v>86</v>
      </c>
      <c r="D659" s="38"/>
      <c r="E659" s="38" t="s">
        <v>68</v>
      </c>
      <c r="F659" s="37">
        <v>4</v>
      </c>
      <c r="G659" s="37">
        <v>2</v>
      </c>
      <c r="H659" s="37">
        <v>4</v>
      </c>
      <c r="I659" s="37" t="s">
        <v>8</v>
      </c>
      <c r="J659" s="37" t="s">
        <v>7</v>
      </c>
      <c r="K659" s="62">
        <f t="shared" si="10"/>
        <v>0.66666666666666663</v>
      </c>
    </row>
    <row r="660" spans="1:11" hidden="1" x14ac:dyDescent="0.35">
      <c r="A660" s="33">
        <v>30006476</v>
      </c>
      <c r="B660" s="36" t="s">
        <v>521</v>
      </c>
      <c r="C660" s="37" t="s">
        <v>86</v>
      </c>
      <c r="D660" s="38"/>
      <c r="E660" s="38" t="s">
        <v>68</v>
      </c>
      <c r="F660" s="37">
        <v>8</v>
      </c>
      <c r="G660" s="37">
        <v>10</v>
      </c>
      <c r="H660" s="37">
        <v>50</v>
      </c>
      <c r="I660" s="37" t="s">
        <v>8</v>
      </c>
      <c r="J660" s="37" t="s">
        <v>14</v>
      </c>
      <c r="K660" s="62">
        <f t="shared" si="10"/>
        <v>2.7777777777777777</v>
      </c>
    </row>
    <row r="661" spans="1:11" hidden="1" x14ac:dyDescent="0.35">
      <c r="A661" s="33">
        <v>30006477</v>
      </c>
      <c r="B661" s="36" t="s">
        <v>522</v>
      </c>
      <c r="C661" s="37" t="s">
        <v>86</v>
      </c>
      <c r="D661" s="38"/>
      <c r="E661" s="38" t="s">
        <v>68</v>
      </c>
      <c r="F661" s="37">
        <v>7</v>
      </c>
      <c r="G661" s="37">
        <v>10</v>
      </c>
      <c r="H661" s="37">
        <v>22</v>
      </c>
      <c r="I661" s="37" t="s">
        <v>8</v>
      </c>
      <c r="J661" s="37" t="s">
        <v>14</v>
      </c>
      <c r="K661" s="62">
        <f t="shared" si="10"/>
        <v>1.2941176470588236</v>
      </c>
    </row>
    <row r="662" spans="1:11" hidden="1" x14ac:dyDescent="0.35">
      <c r="A662" s="33">
        <v>30006494</v>
      </c>
      <c r="B662" s="36" t="s">
        <v>523</v>
      </c>
      <c r="C662" s="37" t="s">
        <v>86</v>
      </c>
      <c r="D662" s="38"/>
      <c r="E662" s="38" t="s">
        <v>68</v>
      </c>
      <c r="F662" s="37">
        <v>12</v>
      </c>
      <c r="G662" s="37">
        <v>10</v>
      </c>
      <c r="H662" s="37">
        <v>28</v>
      </c>
      <c r="I662" s="37" t="s">
        <v>8</v>
      </c>
      <c r="J662" s="37" t="s">
        <v>14</v>
      </c>
      <c r="K662" s="62">
        <f t="shared" si="10"/>
        <v>1.2727272727272727</v>
      </c>
    </row>
    <row r="663" spans="1:11" hidden="1" x14ac:dyDescent="0.35">
      <c r="A663" s="33">
        <v>30006495</v>
      </c>
      <c r="B663" s="36" t="s">
        <v>524</v>
      </c>
      <c r="C663" s="37" t="s">
        <v>86</v>
      </c>
      <c r="D663" s="38"/>
      <c r="E663" s="38" t="s">
        <v>68</v>
      </c>
      <c r="F663" s="37">
        <v>12</v>
      </c>
      <c r="G663" s="37">
        <v>10</v>
      </c>
      <c r="H663" s="37">
        <v>28</v>
      </c>
      <c r="I663" s="37" t="s">
        <v>8</v>
      </c>
      <c r="J663" s="37" t="s">
        <v>14</v>
      </c>
      <c r="K663" s="62">
        <f t="shared" si="10"/>
        <v>1.2727272727272727</v>
      </c>
    </row>
    <row r="664" spans="1:11" hidden="1" x14ac:dyDescent="0.35">
      <c r="A664" s="33">
        <v>30006496</v>
      </c>
      <c r="B664" s="36" t="s">
        <v>1402</v>
      </c>
      <c r="C664" s="37" t="s">
        <v>86</v>
      </c>
      <c r="D664" s="38"/>
      <c r="E664" s="38" t="s">
        <v>102</v>
      </c>
      <c r="F664" s="37">
        <v>3</v>
      </c>
      <c r="G664" s="37">
        <v>6</v>
      </c>
      <c r="H664" s="37">
        <v>2</v>
      </c>
      <c r="I664" s="37" t="s">
        <v>8</v>
      </c>
      <c r="J664" s="37" t="s">
        <v>9</v>
      </c>
      <c r="K664" s="62">
        <f t="shared" si="10"/>
        <v>0.22222222222222221</v>
      </c>
    </row>
    <row r="665" spans="1:11" hidden="1" x14ac:dyDescent="0.35">
      <c r="A665" s="33">
        <v>30006497</v>
      </c>
      <c r="B665" s="36" t="s">
        <v>525</v>
      </c>
      <c r="C665" s="37" t="s">
        <v>86</v>
      </c>
      <c r="D665" s="38"/>
      <c r="E665" s="38" t="s">
        <v>68</v>
      </c>
      <c r="F665" s="37">
        <v>12</v>
      </c>
      <c r="G665" s="37">
        <v>10</v>
      </c>
      <c r="H665" s="37">
        <v>6</v>
      </c>
      <c r="I665" s="37" t="s">
        <v>8</v>
      </c>
      <c r="J665" s="37" t="s">
        <v>9</v>
      </c>
      <c r="K665" s="62">
        <f t="shared" si="10"/>
        <v>0.27272727272727271</v>
      </c>
    </row>
    <row r="666" spans="1:11" hidden="1" x14ac:dyDescent="0.35">
      <c r="A666" s="33">
        <v>30006537</v>
      </c>
      <c r="B666" s="36" t="s">
        <v>1305</v>
      </c>
      <c r="C666" s="37" t="s">
        <v>86</v>
      </c>
      <c r="D666" s="38"/>
      <c r="E666" s="38" t="s">
        <v>68</v>
      </c>
      <c r="F666" s="37">
        <v>4</v>
      </c>
      <c r="G666" s="37">
        <v>8</v>
      </c>
      <c r="H666" s="37">
        <v>7</v>
      </c>
      <c r="I666" s="37" t="s">
        <v>8</v>
      </c>
      <c r="J666" s="37" t="s">
        <v>7</v>
      </c>
      <c r="K666" s="62">
        <f t="shared" si="10"/>
        <v>0.58333333333333337</v>
      </c>
    </row>
    <row r="667" spans="1:11" hidden="1" x14ac:dyDescent="0.35">
      <c r="A667" s="33">
        <v>30006538</v>
      </c>
      <c r="B667" s="36" t="s">
        <v>526</v>
      </c>
      <c r="C667" s="37" t="s">
        <v>86</v>
      </c>
      <c r="D667" s="38"/>
      <c r="E667" s="38" t="s">
        <v>68</v>
      </c>
      <c r="F667" s="37">
        <v>6</v>
      </c>
      <c r="G667" s="37">
        <v>6</v>
      </c>
      <c r="H667" s="37">
        <v>8</v>
      </c>
      <c r="I667" s="37" t="s">
        <v>8</v>
      </c>
      <c r="J667" s="37" t="s">
        <v>7</v>
      </c>
      <c r="K667" s="62">
        <f t="shared" si="10"/>
        <v>0.66666666666666663</v>
      </c>
    </row>
    <row r="668" spans="1:11" hidden="1" x14ac:dyDescent="0.35">
      <c r="A668" s="33">
        <v>30006583</v>
      </c>
      <c r="B668" s="36" t="s">
        <v>1261</v>
      </c>
      <c r="C668" s="37" t="s">
        <v>86</v>
      </c>
      <c r="D668" s="38"/>
      <c r="E668" s="38" t="s">
        <v>68</v>
      </c>
      <c r="F668" s="37">
        <v>21</v>
      </c>
      <c r="G668" s="37">
        <v>40</v>
      </c>
      <c r="H668" s="37">
        <v>37</v>
      </c>
      <c r="I668" s="37" t="s">
        <v>8</v>
      </c>
      <c r="J668" s="37" t="s">
        <v>7</v>
      </c>
      <c r="K668" s="62">
        <f t="shared" si="10"/>
        <v>0.60655737704918034</v>
      </c>
    </row>
    <row r="669" spans="1:11" hidden="1" x14ac:dyDescent="0.35">
      <c r="A669" s="33">
        <v>30006604</v>
      </c>
      <c r="B669" s="36" t="s">
        <v>1114</v>
      </c>
      <c r="C669" s="37" t="s">
        <v>86</v>
      </c>
      <c r="D669" s="38" t="s">
        <v>1225</v>
      </c>
      <c r="E669" s="38" t="s">
        <v>102</v>
      </c>
      <c r="F669" s="37">
        <v>217</v>
      </c>
      <c r="G669" s="37">
        <v>216</v>
      </c>
      <c r="H669" s="37">
        <v>228</v>
      </c>
      <c r="I669" s="37" t="s">
        <v>8</v>
      </c>
      <c r="J669" s="37" t="s">
        <v>7</v>
      </c>
      <c r="K669" s="62">
        <f t="shared" si="10"/>
        <v>0.52655889145496537</v>
      </c>
    </row>
    <row r="670" spans="1:11" hidden="1" x14ac:dyDescent="0.35">
      <c r="A670" s="33">
        <v>30006605</v>
      </c>
      <c r="B670" s="36" t="s">
        <v>1115</v>
      </c>
      <c r="C670" s="37" t="s">
        <v>86</v>
      </c>
      <c r="D670" s="38"/>
      <c r="E670" s="38" t="s">
        <v>102</v>
      </c>
      <c r="F670" s="37">
        <v>17</v>
      </c>
      <c r="G670" s="37">
        <v>16</v>
      </c>
      <c r="H670" s="37">
        <v>117</v>
      </c>
      <c r="I670" s="37" t="s">
        <v>8</v>
      </c>
      <c r="J670" s="37" t="s">
        <v>14</v>
      </c>
      <c r="K670" s="62">
        <f t="shared" si="10"/>
        <v>3.5454545454545454</v>
      </c>
    </row>
    <row r="671" spans="1:11" hidden="1" x14ac:dyDescent="0.35">
      <c r="A671" s="33">
        <v>30006607</v>
      </c>
      <c r="B671" s="36" t="s">
        <v>1116</v>
      </c>
      <c r="C671" s="37" t="s">
        <v>86</v>
      </c>
      <c r="D671" s="38" t="s">
        <v>1225</v>
      </c>
      <c r="E671" s="38" t="s">
        <v>102</v>
      </c>
      <c r="F671" s="37">
        <v>3</v>
      </c>
      <c r="G671" s="37">
        <v>2</v>
      </c>
      <c r="H671" s="37">
        <v>10</v>
      </c>
      <c r="I671" s="37" t="s">
        <v>8</v>
      </c>
      <c r="J671" s="37" t="s">
        <v>14</v>
      </c>
      <c r="K671" s="62">
        <f t="shared" si="10"/>
        <v>2</v>
      </c>
    </row>
    <row r="672" spans="1:11" hidden="1" x14ac:dyDescent="0.35">
      <c r="A672" s="33">
        <v>30006608</v>
      </c>
      <c r="B672" s="36" t="s">
        <v>1518</v>
      </c>
      <c r="C672" s="37" t="s">
        <v>86</v>
      </c>
      <c r="D672" s="38"/>
      <c r="E672" s="38" t="s">
        <v>68</v>
      </c>
      <c r="F672" s="37">
        <v>5</v>
      </c>
      <c r="G672" s="37">
        <v>3</v>
      </c>
      <c r="H672" s="37">
        <v>15</v>
      </c>
      <c r="I672" s="37" t="s">
        <v>8</v>
      </c>
      <c r="J672" s="37" t="s">
        <v>13</v>
      </c>
      <c r="K672" s="62">
        <f t="shared" si="10"/>
        <v>1.875</v>
      </c>
    </row>
    <row r="673" spans="1:11" hidden="1" x14ac:dyDescent="0.35">
      <c r="A673" s="33">
        <v>30006610</v>
      </c>
      <c r="B673" s="36" t="s">
        <v>1117</v>
      </c>
      <c r="C673" s="37" t="s">
        <v>86</v>
      </c>
      <c r="D673" s="38"/>
      <c r="E673" s="38" t="s">
        <v>102</v>
      </c>
      <c r="F673" s="37">
        <v>26</v>
      </c>
      <c r="G673" s="37">
        <v>25</v>
      </c>
      <c r="H673" s="37">
        <v>64</v>
      </c>
      <c r="I673" s="37" t="s">
        <v>8</v>
      </c>
      <c r="J673" s="37" t="s">
        <v>14</v>
      </c>
      <c r="K673" s="62">
        <f t="shared" si="10"/>
        <v>1.2549019607843137</v>
      </c>
    </row>
    <row r="674" spans="1:11" hidden="1" x14ac:dyDescent="0.35">
      <c r="A674" s="33">
        <v>30006612</v>
      </c>
      <c r="B674" s="36" t="s">
        <v>1118</v>
      </c>
      <c r="C674" s="37" t="s">
        <v>86</v>
      </c>
      <c r="D674" s="38"/>
      <c r="E674" s="38" t="s">
        <v>102</v>
      </c>
      <c r="F674" s="37">
        <v>3</v>
      </c>
      <c r="G674" s="37">
        <v>2</v>
      </c>
      <c r="H674" s="37">
        <v>3</v>
      </c>
      <c r="I674" s="37" t="s">
        <v>8</v>
      </c>
      <c r="J674" s="37" t="s">
        <v>7</v>
      </c>
      <c r="K674" s="62">
        <f t="shared" si="10"/>
        <v>0.6</v>
      </c>
    </row>
    <row r="675" spans="1:11" hidden="1" x14ac:dyDescent="0.35">
      <c r="A675" s="33">
        <v>30006616</v>
      </c>
      <c r="B675" s="36" t="s">
        <v>1119</v>
      </c>
      <c r="C675" s="37" t="s">
        <v>86</v>
      </c>
      <c r="D675" s="38"/>
      <c r="E675" s="38" t="s">
        <v>102</v>
      </c>
      <c r="F675" s="37">
        <v>9</v>
      </c>
      <c r="G675" s="37">
        <v>8</v>
      </c>
      <c r="H675" s="37">
        <v>25</v>
      </c>
      <c r="I675" s="37" t="s">
        <v>8</v>
      </c>
      <c r="J675" s="37" t="s">
        <v>14</v>
      </c>
      <c r="K675" s="62">
        <f t="shared" si="10"/>
        <v>1.4705882352941178</v>
      </c>
    </row>
    <row r="676" spans="1:11" hidden="1" x14ac:dyDescent="0.35">
      <c r="A676" s="33">
        <v>30006617</v>
      </c>
      <c r="B676" s="36" t="s">
        <v>1120</v>
      </c>
      <c r="C676" s="37" t="s">
        <v>86</v>
      </c>
      <c r="D676" s="38" t="s">
        <v>1225</v>
      </c>
      <c r="E676" s="38" t="s">
        <v>102</v>
      </c>
      <c r="F676" s="37">
        <v>21</v>
      </c>
      <c r="G676" s="37">
        <v>20</v>
      </c>
      <c r="H676" s="37">
        <v>36</v>
      </c>
      <c r="I676" s="37" t="s">
        <v>8</v>
      </c>
      <c r="J676" s="37" t="s">
        <v>7</v>
      </c>
      <c r="K676" s="62">
        <f t="shared" si="10"/>
        <v>0.87804878048780488</v>
      </c>
    </row>
    <row r="677" spans="1:11" hidden="1" x14ac:dyDescent="0.35">
      <c r="A677" s="33">
        <v>30006619</v>
      </c>
      <c r="B677" s="36" t="s">
        <v>1121</v>
      </c>
      <c r="C677" s="37" t="s">
        <v>86</v>
      </c>
      <c r="D677" s="38"/>
      <c r="E677" s="38" t="s">
        <v>102</v>
      </c>
      <c r="F677" s="37">
        <v>61</v>
      </c>
      <c r="G677" s="37">
        <v>60</v>
      </c>
      <c r="H677" s="37">
        <v>278</v>
      </c>
      <c r="I677" s="37" t="s">
        <v>8</v>
      </c>
      <c r="J677" s="37" t="s">
        <v>14</v>
      </c>
      <c r="K677" s="62">
        <f t="shared" si="10"/>
        <v>2.2975206611570247</v>
      </c>
    </row>
    <row r="678" spans="1:11" hidden="1" x14ac:dyDescent="0.35">
      <c r="A678" s="33">
        <v>30006621</v>
      </c>
      <c r="B678" s="36" t="s">
        <v>1122</v>
      </c>
      <c r="C678" s="37" t="s">
        <v>86</v>
      </c>
      <c r="D678" s="38" t="s">
        <v>1225</v>
      </c>
      <c r="E678" s="38" t="s">
        <v>102</v>
      </c>
      <c r="F678" s="37">
        <v>2</v>
      </c>
      <c r="G678" s="37">
        <v>2</v>
      </c>
      <c r="H678" s="37">
        <v>2</v>
      </c>
      <c r="I678" s="37" t="s">
        <v>8</v>
      </c>
      <c r="J678" s="37" t="s">
        <v>7</v>
      </c>
      <c r="K678" s="62">
        <f t="shared" si="10"/>
        <v>0.5</v>
      </c>
    </row>
    <row r="679" spans="1:11" hidden="1" x14ac:dyDescent="0.35">
      <c r="A679" s="33">
        <v>30006623</v>
      </c>
      <c r="B679" s="36" t="s">
        <v>527</v>
      </c>
      <c r="C679" s="37" t="s">
        <v>86</v>
      </c>
      <c r="D679" s="38" t="s">
        <v>1225</v>
      </c>
      <c r="E679" s="38" t="s">
        <v>102</v>
      </c>
      <c r="F679" s="37">
        <v>120</v>
      </c>
      <c r="G679" s="37">
        <v>300</v>
      </c>
      <c r="H679" s="37">
        <v>414</v>
      </c>
      <c r="I679" s="37" t="s">
        <v>8</v>
      </c>
      <c r="J679" s="37" t="s">
        <v>7</v>
      </c>
      <c r="K679" s="62">
        <f t="shared" si="10"/>
        <v>0.98571428571428577</v>
      </c>
    </row>
    <row r="680" spans="1:11" hidden="1" x14ac:dyDescent="0.35">
      <c r="A680" s="33">
        <v>30006630</v>
      </c>
      <c r="B680" s="36" t="s">
        <v>1123</v>
      </c>
      <c r="C680" s="37" t="s">
        <v>86</v>
      </c>
      <c r="D680" s="38"/>
      <c r="E680" s="38" t="s">
        <v>102</v>
      </c>
      <c r="F680" s="37">
        <v>9</v>
      </c>
      <c r="G680" s="37">
        <v>8</v>
      </c>
      <c r="H680" s="37">
        <v>17</v>
      </c>
      <c r="I680" s="37" t="s">
        <v>8</v>
      </c>
      <c r="J680" s="37" t="s">
        <v>7</v>
      </c>
      <c r="K680" s="62">
        <f t="shared" si="10"/>
        <v>1</v>
      </c>
    </row>
    <row r="681" spans="1:11" hidden="1" x14ac:dyDescent="0.35">
      <c r="A681" s="33">
        <v>30006632</v>
      </c>
      <c r="B681" s="36" t="s">
        <v>1124</v>
      </c>
      <c r="C681" s="37" t="s">
        <v>86</v>
      </c>
      <c r="D681" s="38" t="s">
        <v>1225</v>
      </c>
      <c r="E681" s="38" t="s">
        <v>102</v>
      </c>
      <c r="F681" s="37">
        <v>3</v>
      </c>
      <c r="G681" s="37">
        <v>2</v>
      </c>
      <c r="H681" s="37">
        <v>3</v>
      </c>
      <c r="I681" s="37" t="s">
        <v>8</v>
      </c>
      <c r="J681" s="37" t="s">
        <v>7</v>
      </c>
      <c r="K681" s="62">
        <f t="shared" si="10"/>
        <v>0.6</v>
      </c>
    </row>
    <row r="682" spans="1:11" hidden="1" x14ac:dyDescent="0.35">
      <c r="A682" s="33">
        <v>30006634</v>
      </c>
      <c r="B682" s="36" t="s">
        <v>1125</v>
      </c>
      <c r="C682" s="37" t="s">
        <v>86</v>
      </c>
      <c r="D682" s="38"/>
      <c r="E682" s="38" t="s">
        <v>102</v>
      </c>
      <c r="F682" s="37">
        <v>3</v>
      </c>
      <c r="G682" s="37">
        <v>2</v>
      </c>
      <c r="H682" s="37">
        <v>4</v>
      </c>
      <c r="I682" s="37" t="s">
        <v>8</v>
      </c>
      <c r="J682" s="37" t="s">
        <v>7</v>
      </c>
      <c r="K682" s="62">
        <f t="shared" si="10"/>
        <v>0.8</v>
      </c>
    </row>
    <row r="683" spans="1:11" x14ac:dyDescent="0.35">
      <c r="A683" s="33">
        <v>30006637</v>
      </c>
      <c r="B683" s="36" t="s">
        <v>1126</v>
      </c>
      <c r="C683" s="37" t="s">
        <v>86</v>
      </c>
      <c r="D683" s="38"/>
      <c r="E683" s="38" t="s">
        <v>102</v>
      </c>
      <c r="F683" s="37">
        <v>5</v>
      </c>
      <c r="G683" s="37">
        <v>9</v>
      </c>
      <c r="H683" s="37">
        <v>493</v>
      </c>
      <c r="I683" s="37" t="s">
        <v>8</v>
      </c>
      <c r="J683" s="37" t="s">
        <v>14</v>
      </c>
      <c r="K683" s="62">
        <f t="shared" si="10"/>
        <v>35.214285714285715</v>
      </c>
    </row>
    <row r="684" spans="1:11" hidden="1" x14ac:dyDescent="0.35">
      <c r="A684" s="33">
        <v>30006710</v>
      </c>
      <c r="B684" s="36" t="s">
        <v>1127</v>
      </c>
      <c r="C684" s="37" t="s">
        <v>86</v>
      </c>
      <c r="D684" s="38"/>
      <c r="E684" s="38" t="s">
        <v>102</v>
      </c>
      <c r="F684" s="37">
        <v>7</v>
      </c>
      <c r="G684" s="37">
        <v>6</v>
      </c>
      <c r="H684" s="37">
        <v>17</v>
      </c>
      <c r="I684" s="37" t="s">
        <v>8</v>
      </c>
      <c r="J684" s="37" t="s">
        <v>14</v>
      </c>
      <c r="K684" s="62">
        <f t="shared" si="10"/>
        <v>1.3076923076923077</v>
      </c>
    </row>
    <row r="685" spans="1:11" hidden="1" x14ac:dyDescent="0.35">
      <c r="A685" s="33">
        <v>30006711</v>
      </c>
      <c r="B685" s="36" t="s">
        <v>1128</v>
      </c>
      <c r="C685" s="37" t="s">
        <v>86</v>
      </c>
      <c r="D685" s="38"/>
      <c r="E685" s="38" t="s">
        <v>102</v>
      </c>
      <c r="F685" s="37">
        <v>5</v>
      </c>
      <c r="G685" s="37">
        <v>4</v>
      </c>
      <c r="H685" s="37">
        <v>18</v>
      </c>
      <c r="I685" s="37" t="s">
        <v>8</v>
      </c>
      <c r="J685" s="37" t="s">
        <v>14</v>
      </c>
      <c r="K685" s="62">
        <f t="shared" si="10"/>
        <v>2</v>
      </c>
    </row>
    <row r="686" spans="1:11" hidden="1" x14ac:dyDescent="0.35">
      <c r="A686" s="33">
        <v>30006712</v>
      </c>
      <c r="B686" s="36" t="s">
        <v>1129</v>
      </c>
      <c r="C686" s="37" t="s">
        <v>86</v>
      </c>
      <c r="D686" s="38"/>
      <c r="E686" s="38" t="s">
        <v>102</v>
      </c>
      <c r="F686" s="37">
        <v>9</v>
      </c>
      <c r="G686" s="37">
        <v>8</v>
      </c>
      <c r="H686" s="37">
        <v>32</v>
      </c>
      <c r="I686" s="37" t="s">
        <v>8</v>
      </c>
      <c r="J686" s="37" t="s">
        <v>14</v>
      </c>
      <c r="K686" s="62">
        <f t="shared" si="10"/>
        <v>1.8823529411764706</v>
      </c>
    </row>
    <row r="687" spans="1:11" hidden="1" x14ac:dyDescent="0.35">
      <c r="A687" s="33">
        <v>30006713</v>
      </c>
      <c r="B687" s="36" t="s">
        <v>1130</v>
      </c>
      <c r="C687" s="37" t="s">
        <v>86</v>
      </c>
      <c r="D687" s="38"/>
      <c r="E687" s="38" t="s">
        <v>102</v>
      </c>
      <c r="F687" s="37">
        <v>9</v>
      </c>
      <c r="G687" s="37">
        <v>8</v>
      </c>
      <c r="H687" s="37">
        <v>10</v>
      </c>
      <c r="I687" s="37" t="s">
        <v>8</v>
      </c>
      <c r="J687" s="37" t="s">
        <v>7</v>
      </c>
      <c r="K687" s="62">
        <f t="shared" si="10"/>
        <v>0.58823529411764708</v>
      </c>
    </row>
    <row r="688" spans="1:11" hidden="1" x14ac:dyDescent="0.35">
      <c r="A688" s="33">
        <v>30006715</v>
      </c>
      <c r="B688" s="36" t="s">
        <v>1432</v>
      </c>
      <c r="C688" s="37" t="s">
        <v>86</v>
      </c>
      <c r="D688" s="38" t="s">
        <v>1225</v>
      </c>
      <c r="E688" s="38" t="s">
        <v>102</v>
      </c>
      <c r="F688" s="37">
        <v>21</v>
      </c>
      <c r="G688" s="37">
        <v>20</v>
      </c>
      <c r="H688" s="37">
        <v>29</v>
      </c>
      <c r="I688" s="37" t="s">
        <v>8</v>
      </c>
      <c r="J688" s="37" t="s">
        <v>7</v>
      </c>
      <c r="K688" s="62">
        <f t="shared" si="10"/>
        <v>0.70731707317073167</v>
      </c>
    </row>
    <row r="689" spans="1:11" hidden="1" x14ac:dyDescent="0.35">
      <c r="A689" s="33">
        <v>30006716</v>
      </c>
      <c r="B689" s="36" t="s">
        <v>1132</v>
      </c>
      <c r="C689" s="37" t="s">
        <v>86</v>
      </c>
      <c r="D689" s="38"/>
      <c r="E689" s="38" t="s">
        <v>102</v>
      </c>
      <c r="F689" s="37">
        <v>17</v>
      </c>
      <c r="G689" s="37">
        <v>16</v>
      </c>
      <c r="H689" s="37">
        <v>23</v>
      </c>
      <c r="I689" s="37" t="s">
        <v>8</v>
      </c>
      <c r="J689" s="37" t="s">
        <v>7</v>
      </c>
      <c r="K689" s="62">
        <f t="shared" si="10"/>
        <v>0.69696969696969702</v>
      </c>
    </row>
    <row r="690" spans="1:11" hidden="1" x14ac:dyDescent="0.35">
      <c r="A690" s="33">
        <v>30006717</v>
      </c>
      <c r="B690" s="36" t="s">
        <v>1133</v>
      </c>
      <c r="C690" s="37" t="s">
        <v>86</v>
      </c>
      <c r="D690" s="38" t="s">
        <v>1225</v>
      </c>
      <c r="E690" s="38" t="s">
        <v>102</v>
      </c>
      <c r="F690" s="37">
        <v>21</v>
      </c>
      <c r="G690" s="37">
        <v>20</v>
      </c>
      <c r="H690" s="37">
        <v>23</v>
      </c>
      <c r="I690" s="37" t="s">
        <v>8</v>
      </c>
      <c r="J690" s="37" t="s">
        <v>7</v>
      </c>
      <c r="K690" s="62">
        <f t="shared" si="10"/>
        <v>0.56097560975609762</v>
      </c>
    </row>
    <row r="691" spans="1:11" hidden="1" x14ac:dyDescent="0.35">
      <c r="A691" s="33">
        <v>30006723</v>
      </c>
      <c r="B691" s="36" t="s">
        <v>1134</v>
      </c>
      <c r="C691" s="37" t="s">
        <v>86</v>
      </c>
      <c r="D691" s="38" t="s">
        <v>1225</v>
      </c>
      <c r="E691" s="38" t="s">
        <v>102</v>
      </c>
      <c r="F691" s="37">
        <v>2</v>
      </c>
      <c r="G691" s="37">
        <v>1</v>
      </c>
      <c r="H691" s="37">
        <v>3</v>
      </c>
      <c r="I691" s="37" t="s">
        <v>8</v>
      </c>
      <c r="J691" s="37" t="s">
        <v>7</v>
      </c>
      <c r="K691" s="62">
        <f t="shared" si="10"/>
        <v>1</v>
      </c>
    </row>
    <row r="692" spans="1:11" hidden="1" x14ac:dyDescent="0.35">
      <c r="A692" s="33">
        <v>30006724</v>
      </c>
      <c r="B692" s="36" t="s">
        <v>528</v>
      </c>
      <c r="C692" s="37" t="s">
        <v>86</v>
      </c>
      <c r="D692" s="38" t="s">
        <v>1225</v>
      </c>
      <c r="E692" s="38" t="s">
        <v>102</v>
      </c>
      <c r="F692" s="37">
        <v>21</v>
      </c>
      <c r="G692" s="37">
        <v>20</v>
      </c>
      <c r="H692" s="37">
        <v>22</v>
      </c>
      <c r="I692" s="37" t="s">
        <v>8</v>
      </c>
      <c r="J692" s="37" t="s">
        <v>7</v>
      </c>
      <c r="K692" s="62">
        <f t="shared" si="10"/>
        <v>0.53658536585365857</v>
      </c>
    </row>
    <row r="693" spans="1:11" hidden="1" x14ac:dyDescent="0.35">
      <c r="A693" s="33">
        <v>30006725</v>
      </c>
      <c r="B693" s="36" t="s">
        <v>1135</v>
      </c>
      <c r="C693" s="37" t="s">
        <v>86</v>
      </c>
      <c r="D693" s="38"/>
      <c r="E693" s="38" t="s">
        <v>102</v>
      </c>
      <c r="F693" s="37">
        <v>21</v>
      </c>
      <c r="G693" s="37">
        <v>20</v>
      </c>
      <c r="H693" s="37">
        <v>41</v>
      </c>
      <c r="I693" s="37" t="s">
        <v>8</v>
      </c>
      <c r="J693" s="37" t="s">
        <v>7</v>
      </c>
      <c r="K693" s="62">
        <f t="shared" si="10"/>
        <v>1</v>
      </c>
    </row>
    <row r="694" spans="1:11" hidden="1" x14ac:dyDescent="0.35">
      <c r="A694" s="33">
        <v>30006726</v>
      </c>
      <c r="B694" s="36" t="s">
        <v>1136</v>
      </c>
      <c r="C694" s="37" t="s">
        <v>86</v>
      </c>
      <c r="D694" s="38"/>
      <c r="E694" s="38" t="s">
        <v>102</v>
      </c>
      <c r="F694" s="37">
        <v>7</v>
      </c>
      <c r="G694" s="37">
        <v>6</v>
      </c>
      <c r="H694" s="37">
        <v>21</v>
      </c>
      <c r="I694" s="37" t="s">
        <v>8</v>
      </c>
      <c r="J694" s="37" t="s">
        <v>14</v>
      </c>
      <c r="K694" s="62">
        <f t="shared" si="10"/>
        <v>1.6153846153846154</v>
      </c>
    </row>
    <row r="695" spans="1:11" hidden="1" x14ac:dyDescent="0.35">
      <c r="A695" s="33">
        <v>30006727</v>
      </c>
      <c r="B695" s="36" t="s">
        <v>1137</v>
      </c>
      <c r="C695" s="37" t="s">
        <v>86</v>
      </c>
      <c r="D695" s="38"/>
      <c r="E695" s="38" t="s">
        <v>102</v>
      </c>
      <c r="F695" s="37">
        <v>9</v>
      </c>
      <c r="G695" s="37">
        <v>8</v>
      </c>
      <c r="H695" s="37">
        <v>29</v>
      </c>
      <c r="I695" s="37" t="s">
        <v>8</v>
      </c>
      <c r="J695" s="37" t="s">
        <v>14</v>
      </c>
      <c r="K695" s="62">
        <f t="shared" si="10"/>
        <v>1.7058823529411764</v>
      </c>
    </row>
    <row r="696" spans="1:11" hidden="1" x14ac:dyDescent="0.35">
      <c r="A696" s="33">
        <v>30006735</v>
      </c>
      <c r="B696" s="36" t="s">
        <v>1138</v>
      </c>
      <c r="C696" s="37" t="s">
        <v>86</v>
      </c>
      <c r="D696" s="38"/>
      <c r="E696" s="38" t="s">
        <v>102</v>
      </c>
      <c r="F696" s="37">
        <v>3</v>
      </c>
      <c r="G696" s="37">
        <v>2</v>
      </c>
      <c r="H696" s="37">
        <v>4</v>
      </c>
      <c r="I696" s="37" t="s">
        <v>8</v>
      </c>
      <c r="J696" s="37" t="s">
        <v>7</v>
      </c>
      <c r="K696" s="62">
        <f t="shared" si="10"/>
        <v>0.8</v>
      </c>
    </row>
    <row r="697" spans="1:11" hidden="1" x14ac:dyDescent="0.35">
      <c r="A697" s="33">
        <v>30006736</v>
      </c>
      <c r="B697" s="36" t="s">
        <v>1139</v>
      </c>
      <c r="C697" s="37" t="s">
        <v>86</v>
      </c>
      <c r="D697" s="38" t="s">
        <v>1225</v>
      </c>
      <c r="E697" s="38" t="s">
        <v>102</v>
      </c>
      <c r="F697" s="37">
        <v>7</v>
      </c>
      <c r="G697" s="37">
        <v>6</v>
      </c>
      <c r="H697" s="37">
        <v>8</v>
      </c>
      <c r="I697" s="37" t="s">
        <v>8</v>
      </c>
      <c r="J697" s="37" t="s">
        <v>7</v>
      </c>
      <c r="K697" s="62">
        <f t="shared" si="10"/>
        <v>0.61538461538461542</v>
      </c>
    </row>
    <row r="698" spans="1:11" hidden="1" x14ac:dyDescent="0.35">
      <c r="A698" s="33">
        <v>30006739</v>
      </c>
      <c r="B698" s="36" t="s">
        <v>1066</v>
      </c>
      <c r="C698" s="37" t="s">
        <v>86</v>
      </c>
      <c r="D698" s="38" t="s">
        <v>1225</v>
      </c>
      <c r="E698" s="38" t="s">
        <v>102</v>
      </c>
      <c r="F698" s="37">
        <v>3</v>
      </c>
      <c r="G698" s="37">
        <v>2</v>
      </c>
      <c r="H698" s="37">
        <v>4</v>
      </c>
      <c r="I698" s="37" t="s">
        <v>8</v>
      </c>
      <c r="J698" s="37" t="s">
        <v>7</v>
      </c>
      <c r="K698" s="62">
        <f t="shared" si="10"/>
        <v>0.8</v>
      </c>
    </row>
    <row r="699" spans="1:11" hidden="1" x14ac:dyDescent="0.35">
      <c r="A699" s="33">
        <v>30007130</v>
      </c>
      <c r="B699" s="36" t="s">
        <v>1058</v>
      </c>
      <c r="C699" s="37" t="s">
        <v>86</v>
      </c>
      <c r="D699" s="38"/>
      <c r="E699" s="38" t="s">
        <v>68</v>
      </c>
      <c r="F699" s="37">
        <v>3</v>
      </c>
      <c r="G699" s="37">
        <v>2</v>
      </c>
      <c r="H699" s="37">
        <v>9</v>
      </c>
      <c r="I699" s="37" t="s">
        <v>8</v>
      </c>
      <c r="J699" s="37" t="s">
        <v>14</v>
      </c>
      <c r="K699" s="62">
        <f t="shared" si="10"/>
        <v>1.8</v>
      </c>
    </row>
    <row r="700" spans="1:11" hidden="1" x14ac:dyDescent="0.35">
      <c r="A700" s="33">
        <v>30007152</v>
      </c>
      <c r="B700" s="36" t="s">
        <v>1141</v>
      </c>
      <c r="C700" s="37" t="s">
        <v>86</v>
      </c>
      <c r="D700" s="38" t="s">
        <v>1225</v>
      </c>
      <c r="E700" s="38" t="s">
        <v>102</v>
      </c>
      <c r="F700" s="37">
        <v>3</v>
      </c>
      <c r="G700" s="37">
        <v>2</v>
      </c>
      <c r="H700" s="37">
        <v>3</v>
      </c>
      <c r="I700" s="37" t="s">
        <v>8</v>
      </c>
      <c r="J700" s="37" t="s">
        <v>7</v>
      </c>
      <c r="K700" s="62">
        <f t="shared" si="10"/>
        <v>0.6</v>
      </c>
    </row>
    <row r="701" spans="1:11" hidden="1" x14ac:dyDescent="0.35">
      <c r="A701" s="33">
        <v>30007327</v>
      </c>
      <c r="B701" s="36" t="s">
        <v>794</v>
      </c>
      <c r="C701" s="37" t="s">
        <v>86</v>
      </c>
      <c r="D701" s="38" t="s">
        <v>1225</v>
      </c>
      <c r="E701" s="38" t="s">
        <v>102</v>
      </c>
      <c r="F701" s="37">
        <v>3</v>
      </c>
      <c r="G701" s="37">
        <v>2</v>
      </c>
      <c r="H701" s="37">
        <v>4</v>
      </c>
      <c r="I701" s="37" t="s">
        <v>8</v>
      </c>
      <c r="J701" s="37" t="s">
        <v>7</v>
      </c>
      <c r="K701" s="62">
        <f t="shared" si="10"/>
        <v>0.8</v>
      </c>
    </row>
    <row r="702" spans="1:11" hidden="1" x14ac:dyDescent="0.35">
      <c r="A702" s="33">
        <v>30007328</v>
      </c>
      <c r="B702" s="36" t="s">
        <v>795</v>
      </c>
      <c r="C702" s="37" t="s">
        <v>86</v>
      </c>
      <c r="D702" s="38" t="s">
        <v>1225</v>
      </c>
      <c r="E702" s="38" t="s">
        <v>102</v>
      </c>
      <c r="F702" s="37">
        <v>3</v>
      </c>
      <c r="G702" s="37">
        <v>2</v>
      </c>
      <c r="H702" s="37">
        <v>4</v>
      </c>
      <c r="I702" s="37" t="s">
        <v>8</v>
      </c>
      <c r="J702" s="37" t="s">
        <v>7</v>
      </c>
      <c r="K702" s="62">
        <f t="shared" si="10"/>
        <v>0.8</v>
      </c>
    </row>
    <row r="703" spans="1:11" hidden="1" x14ac:dyDescent="0.35">
      <c r="A703" s="33">
        <v>30007329</v>
      </c>
      <c r="B703" s="36" t="s">
        <v>796</v>
      </c>
      <c r="C703" s="37" t="s">
        <v>86</v>
      </c>
      <c r="D703" s="38"/>
      <c r="E703" s="38" t="s">
        <v>102</v>
      </c>
      <c r="F703" s="37">
        <v>3</v>
      </c>
      <c r="G703" s="37">
        <v>2</v>
      </c>
      <c r="H703" s="37">
        <v>3</v>
      </c>
      <c r="I703" s="37" t="s">
        <v>8</v>
      </c>
      <c r="J703" s="37" t="s">
        <v>7</v>
      </c>
      <c r="K703" s="62">
        <f t="shared" si="10"/>
        <v>0.6</v>
      </c>
    </row>
    <row r="704" spans="1:11" hidden="1" x14ac:dyDescent="0.35">
      <c r="A704" s="33">
        <v>30007330</v>
      </c>
      <c r="B704" s="36" t="s">
        <v>797</v>
      </c>
      <c r="C704" s="37" t="s">
        <v>86</v>
      </c>
      <c r="D704" s="38" t="s">
        <v>1225</v>
      </c>
      <c r="E704" s="38" t="s">
        <v>102</v>
      </c>
      <c r="F704" s="37">
        <v>3</v>
      </c>
      <c r="G704" s="37">
        <v>2</v>
      </c>
      <c r="H704" s="37">
        <v>4</v>
      </c>
      <c r="I704" s="37" t="s">
        <v>8</v>
      </c>
      <c r="J704" s="37" t="s">
        <v>7</v>
      </c>
      <c r="K704" s="62">
        <f t="shared" si="10"/>
        <v>0.8</v>
      </c>
    </row>
    <row r="705" spans="1:11" hidden="1" x14ac:dyDescent="0.35">
      <c r="A705" s="33">
        <v>30007331</v>
      </c>
      <c r="B705" s="36" t="s">
        <v>798</v>
      </c>
      <c r="C705" s="37" t="s">
        <v>86</v>
      </c>
      <c r="D705" s="38" t="s">
        <v>1225</v>
      </c>
      <c r="E705" s="38" t="s">
        <v>102</v>
      </c>
      <c r="F705" s="37">
        <v>2</v>
      </c>
      <c r="G705" s="37">
        <v>2</v>
      </c>
      <c r="H705" s="37">
        <v>3</v>
      </c>
      <c r="I705" s="37" t="s">
        <v>8</v>
      </c>
      <c r="J705" s="37" t="s">
        <v>7</v>
      </c>
      <c r="K705" s="62">
        <f t="shared" si="10"/>
        <v>0.75</v>
      </c>
    </row>
    <row r="706" spans="1:11" hidden="1" x14ac:dyDescent="0.35">
      <c r="A706" s="33">
        <v>30007332</v>
      </c>
      <c r="B706" s="36" t="s">
        <v>799</v>
      </c>
      <c r="C706" s="37" t="s">
        <v>86</v>
      </c>
      <c r="D706" s="38" t="s">
        <v>1225</v>
      </c>
      <c r="E706" s="38" t="s">
        <v>102</v>
      </c>
      <c r="F706" s="37">
        <v>2</v>
      </c>
      <c r="G706" s="37">
        <v>2</v>
      </c>
      <c r="H706" s="37">
        <v>3</v>
      </c>
      <c r="I706" s="37" t="s">
        <v>8</v>
      </c>
      <c r="J706" s="37" t="s">
        <v>7</v>
      </c>
      <c r="K706" s="62">
        <f t="shared" si="10"/>
        <v>0.75</v>
      </c>
    </row>
    <row r="707" spans="1:11" hidden="1" x14ac:dyDescent="0.35">
      <c r="A707" s="33">
        <v>30007362</v>
      </c>
      <c r="B707" s="36" t="s">
        <v>800</v>
      </c>
      <c r="C707" s="37" t="s">
        <v>86</v>
      </c>
      <c r="D707" s="38"/>
      <c r="E707" s="38" t="s">
        <v>102</v>
      </c>
      <c r="F707" s="37">
        <v>2</v>
      </c>
      <c r="G707" s="37">
        <v>2</v>
      </c>
      <c r="H707" s="37">
        <v>4</v>
      </c>
      <c r="I707" s="37" t="s">
        <v>8</v>
      </c>
      <c r="J707" s="37" t="s">
        <v>7</v>
      </c>
      <c r="K707" s="62">
        <f t="shared" si="10"/>
        <v>1</v>
      </c>
    </row>
    <row r="708" spans="1:11" hidden="1" x14ac:dyDescent="0.35">
      <c r="A708" s="33">
        <v>30007363</v>
      </c>
      <c r="B708" s="36" t="s">
        <v>801</v>
      </c>
      <c r="C708" s="37" t="s">
        <v>86</v>
      </c>
      <c r="D708" s="38" t="s">
        <v>1225</v>
      </c>
      <c r="E708" s="38" t="s">
        <v>102</v>
      </c>
      <c r="F708" s="37">
        <v>3</v>
      </c>
      <c r="G708" s="37">
        <v>2</v>
      </c>
      <c r="H708" s="37">
        <v>4</v>
      </c>
      <c r="I708" s="37" t="s">
        <v>8</v>
      </c>
      <c r="J708" s="37" t="s">
        <v>7</v>
      </c>
      <c r="K708" s="62">
        <f t="shared" si="10"/>
        <v>0.8</v>
      </c>
    </row>
    <row r="709" spans="1:11" hidden="1" x14ac:dyDescent="0.35">
      <c r="A709" s="33">
        <v>30007365</v>
      </c>
      <c r="B709" s="36" t="s">
        <v>802</v>
      </c>
      <c r="C709" s="37" t="s">
        <v>86</v>
      </c>
      <c r="D709" s="38"/>
      <c r="E709" s="38" t="s">
        <v>102</v>
      </c>
      <c r="F709" s="37">
        <v>3</v>
      </c>
      <c r="G709" s="37">
        <v>2</v>
      </c>
      <c r="H709" s="37">
        <v>4</v>
      </c>
      <c r="I709" s="37" t="s">
        <v>8</v>
      </c>
      <c r="J709" s="37" t="s">
        <v>7</v>
      </c>
      <c r="K709" s="62">
        <f t="shared" si="10"/>
        <v>0.8</v>
      </c>
    </row>
    <row r="710" spans="1:11" hidden="1" x14ac:dyDescent="0.35">
      <c r="A710" s="33">
        <v>30007367</v>
      </c>
      <c r="B710" s="36" t="s">
        <v>803</v>
      </c>
      <c r="C710" s="37" t="s">
        <v>86</v>
      </c>
      <c r="D710" s="38" t="s">
        <v>1225</v>
      </c>
      <c r="E710" s="38" t="s">
        <v>102</v>
      </c>
      <c r="F710" s="37">
        <v>3</v>
      </c>
      <c r="G710" s="37">
        <v>2</v>
      </c>
      <c r="H710" s="37">
        <v>4</v>
      </c>
      <c r="I710" s="37" t="s">
        <v>8</v>
      </c>
      <c r="J710" s="37" t="s">
        <v>7</v>
      </c>
      <c r="K710" s="62">
        <f t="shared" si="10"/>
        <v>0.8</v>
      </c>
    </row>
    <row r="711" spans="1:11" hidden="1" x14ac:dyDescent="0.35">
      <c r="A711" s="33">
        <v>30007368</v>
      </c>
      <c r="B711" s="36" t="s">
        <v>804</v>
      </c>
      <c r="C711" s="37" t="s">
        <v>86</v>
      </c>
      <c r="D711" s="38" t="s">
        <v>1225</v>
      </c>
      <c r="E711" s="38" t="s">
        <v>102</v>
      </c>
      <c r="F711" s="37">
        <v>3</v>
      </c>
      <c r="G711" s="37">
        <v>2</v>
      </c>
      <c r="H711" s="37">
        <v>4</v>
      </c>
      <c r="I711" s="37" t="s">
        <v>8</v>
      </c>
      <c r="J711" s="37" t="s">
        <v>7</v>
      </c>
      <c r="K711" s="62">
        <f t="shared" si="10"/>
        <v>0.8</v>
      </c>
    </row>
    <row r="712" spans="1:11" hidden="1" x14ac:dyDescent="0.35">
      <c r="A712" s="33">
        <v>30007369</v>
      </c>
      <c r="B712" s="36" t="s">
        <v>872</v>
      </c>
      <c r="C712" s="37" t="s">
        <v>86</v>
      </c>
      <c r="D712" s="38" t="s">
        <v>1225</v>
      </c>
      <c r="E712" s="38" t="s">
        <v>102</v>
      </c>
      <c r="F712" s="37">
        <v>3</v>
      </c>
      <c r="G712" s="37">
        <v>2</v>
      </c>
      <c r="H712" s="37">
        <v>4</v>
      </c>
      <c r="I712" s="37" t="s">
        <v>8</v>
      </c>
      <c r="J712" s="37" t="s">
        <v>7</v>
      </c>
      <c r="K712" s="62">
        <f t="shared" si="10"/>
        <v>0.8</v>
      </c>
    </row>
    <row r="713" spans="1:11" hidden="1" x14ac:dyDescent="0.35">
      <c r="A713" s="33">
        <v>30007370</v>
      </c>
      <c r="B713" s="36" t="s">
        <v>805</v>
      </c>
      <c r="C713" s="37" t="s">
        <v>86</v>
      </c>
      <c r="D713" s="38"/>
      <c r="E713" s="38" t="s">
        <v>102</v>
      </c>
      <c r="F713" s="37">
        <v>3</v>
      </c>
      <c r="G713" s="37">
        <v>2</v>
      </c>
      <c r="H713" s="37">
        <v>4</v>
      </c>
      <c r="I713" s="37" t="s">
        <v>8</v>
      </c>
      <c r="J713" s="37" t="s">
        <v>7</v>
      </c>
      <c r="K713" s="62">
        <f t="shared" ref="K713:K776" si="11">H713/(F713+G713)</f>
        <v>0.8</v>
      </c>
    </row>
    <row r="714" spans="1:11" hidden="1" x14ac:dyDescent="0.35">
      <c r="A714" s="33">
        <v>30007372</v>
      </c>
      <c r="B714" s="36" t="s">
        <v>806</v>
      </c>
      <c r="C714" s="37" t="s">
        <v>86</v>
      </c>
      <c r="D714" s="38" t="s">
        <v>1225</v>
      </c>
      <c r="E714" s="38" t="s">
        <v>102</v>
      </c>
      <c r="F714" s="37">
        <v>3</v>
      </c>
      <c r="G714" s="37">
        <v>2</v>
      </c>
      <c r="H714" s="37">
        <v>4</v>
      </c>
      <c r="I714" s="37" t="s">
        <v>8</v>
      </c>
      <c r="J714" s="37" t="s">
        <v>7</v>
      </c>
      <c r="K714" s="62">
        <f t="shared" si="11"/>
        <v>0.8</v>
      </c>
    </row>
    <row r="715" spans="1:11" hidden="1" x14ac:dyDescent="0.35">
      <c r="A715" s="33">
        <v>30007374</v>
      </c>
      <c r="B715" s="36" t="s">
        <v>807</v>
      </c>
      <c r="C715" s="37" t="s">
        <v>86</v>
      </c>
      <c r="D715" s="38" t="s">
        <v>1225</v>
      </c>
      <c r="E715" s="38" t="s">
        <v>102</v>
      </c>
      <c r="F715" s="37">
        <v>3</v>
      </c>
      <c r="G715" s="37">
        <v>2</v>
      </c>
      <c r="H715" s="37">
        <v>3</v>
      </c>
      <c r="I715" s="37" t="s">
        <v>8</v>
      </c>
      <c r="J715" s="37" t="s">
        <v>7</v>
      </c>
      <c r="K715" s="62">
        <f t="shared" si="11"/>
        <v>0.6</v>
      </c>
    </row>
    <row r="716" spans="1:11" hidden="1" x14ac:dyDescent="0.35">
      <c r="A716" s="33">
        <v>30007375</v>
      </c>
      <c r="B716" s="36" t="s">
        <v>808</v>
      </c>
      <c r="C716" s="37" t="s">
        <v>86</v>
      </c>
      <c r="D716" s="38" t="s">
        <v>1225</v>
      </c>
      <c r="E716" s="38" t="s">
        <v>102</v>
      </c>
      <c r="F716" s="37">
        <v>3</v>
      </c>
      <c r="G716" s="37">
        <v>2</v>
      </c>
      <c r="H716" s="37">
        <v>3</v>
      </c>
      <c r="I716" s="37" t="s">
        <v>8</v>
      </c>
      <c r="J716" s="37" t="s">
        <v>7</v>
      </c>
      <c r="K716" s="62">
        <f t="shared" si="11"/>
        <v>0.6</v>
      </c>
    </row>
    <row r="717" spans="1:11" hidden="1" x14ac:dyDescent="0.35">
      <c r="A717" s="33">
        <v>30007378</v>
      </c>
      <c r="B717" s="36" t="s">
        <v>809</v>
      </c>
      <c r="C717" s="37" t="s">
        <v>86</v>
      </c>
      <c r="D717" s="38" t="s">
        <v>1225</v>
      </c>
      <c r="E717" s="38" t="s">
        <v>102</v>
      </c>
      <c r="F717" s="37">
        <v>3</v>
      </c>
      <c r="G717" s="37">
        <v>2</v>
      </c>
      <c r="H717" s="37">
        <v>4</v>
      </c>
      <c r="I717" s="37" t="s">
        <v>8</v>
      </c>
      <c r="J717" s="37" t="s">
        <v>7</v>
      </c>
      <c r="K717" s="62">
        <f t="shared" si="11"/>
        <v>0.8</v>
      </c>
    </row>
    <row r="718" spans="1:11" hidden="1" x14ac:dyDescent="0.35">
      <c r="A718" s="33">
        <v>30007381</v>
      </c>
      <c r="B718" s="36" t="s">
        <v>811</v>
      </c>
      <c r="C718" s="37" t="s">
        <v>86</v>
      </c>
      <c r="D718" s="38"/>
      <c r="E718" s="38" t="s">
        <v>102</v>
      </c>
      <c r="F718" s="37">
        <v>2</v>
      </c>
      <c r="G718" s="37">
        <v>2</v>
      </c>
      <c r="H718" s="37">
        <v>3</v>
      </c>
      <c r="I718" s="37" t="s">
        <v>8</v>
      </c>
      <c r="J718" s="37" t="s">
        <v>7</v>
      </c>
      <c r="K718" s="62">
        <f t="shared" si="11"/>
        <v>0.75</v>
      </c>
    </row>
    <row r="719" spans="1:11" hidden="1" x14ac:dyDescent="0.35">
      <c r="A719" s="33">
        <v>30007382</v>
      </c>
      <c r="B719" s="36" t="s">
        <v>1067</v>
      </c>
      <c r="C719" s="37" t="s">
        <v>86</v>
      </c>
      <c r="D719" s="38"/>
      <c r="E719" s="38" t="s">
        <v>102</v>
      </c>
      <c r="F719" s="37">
        <v>5</v>
      </c>
      <c r="G719" s="37">
        <v>4</v>
      </c>
      <c r="H719" s="37">
        <v>13</v>
      </c>
      <c r="I719" s="37" t="s">
        <v>8</v>
      </c>
      <c r="J719" s="37" t="s">
        <v>14</v>
      </c>
      <c r="K719" s="62">
        <f t="shared" si="11"/>
        <v>1.4444444444444444</v>
      </c>
    </row>
    <row r="720" spans="1:11" hidden="1" x14ac:dyDescent="0.35">
      <c r="A720" s="33">
        <v>30007383</v>
      </c>
      <c r="B720" s="36" t="s">
        <v>812</v>
      </c>
      <c r="C720" s="37" t="s">
        <v>86</v>
      </c>
      <c r="D720" s="38" t="s">
        <v>1225</v>
      </c>
      <c r="E720" s="38" t="s">
        <v>102</v>
      </c>
      <c r="F720" s="37">
        <v>3</v>
      </c>
      <c r="G720" s="37">
        <v>2</v>
      </c>
      <c r="H720" s="37">
        <v>8</v>
      </c>
      <c r="I720" s="37" t="s">
        <v>8</v>
      </c>
      <c r="J720" s="37" t="s">
        <v>14</v>
      </c>
      <c r="K720" s="62">
        <f t="shared" si="11"/>
        <v>1.6</v>
      </c>
    </row>
    <row r="721" spans="1:11" hidden="1" x14ac:dyDescent="0.35">
      <c r="A721" s="33">
        <v>30007385</v>
      </c>
      <c r="B721" s="36" t="s">
        <v>813</v>
      </c>
      <c r="C721" s="37" t="s">
        <v>86</v>
      </c>
      <c r="D721" s="38"/>
      <c r="E721" s="38" t="s">
        <v>102</v>
      </c>
      <c r="F721" s="37">
        <v>5</v>
      </c>
      <c r="G721" s="37">
        <v>4</v>
      </c>
      <c r="H721" s="37">
        <v>23</v>
      </c>
      <c r="I721" s="37" t="s">
        <v>8</v>
      </c>
      <c r="J721" s="37" t="s">
        <v>14</v>
      </c>
      <c r="K721" s="62">
        <f t="shared" si="11"/>
        <v>2.5555555555555554</v>
      </c>
    </row>
    <row r="722" spans="1:11" hidden="1" x14ac:dyDescent="0.35">
      <c r="A722" s="33">
        <v>30007387</v>
      </c>
      <c r="B722" s="36" t="s">
        <v>815</v>
      </c>
      <c r="C722" s="37" t="s">
        <v>86</v>
      </c>
      <c r="D722" s="38"/>
      <c r="E722" s="38" t="s">
        <v>102</v>
      </c>
      <c r="F722" s="37">
        <v>3</v>
      </c>
      <c r="G722" s="37">
        <v>2</v>
      </c>
      <c r="H722" s="37">
        <v>0</v>
      </c>
      <c r="I722" s="37" t="s">
        <v>8</v>
      </c>
      <c r="J722" s="37" t="s">
        <v>13</v>
      </c>
      <c r="K722" s="62">
        <f t="shared" si="11"/>
        <v>0</v>
      </c>
    </row>
    <row r="723" spans="1:11" hidden="1" x14ac:dyDescent="0.35">
      <c r="A723" s="33">
        <v>30007388</v>
      </c>
      <c r="B723" s="36" t="s">
        <v>816</v>
      </c>
      <c r="C723" s="37" t="s">
        <v>86</v>
      </c>
      <c r="D723" s="38" t="s">
        <v>1225</v>
      </c>
      <c r="E723" s="38" t="s">
        <v>102</v>
      </c>
      <c r="F723" s="37">
        <v>3</v>
      </c>
      <c r="G723" s="37">
        <v>2</v>
      </c>
      <c r="H723" s="37">
        <v>4</v>
      </c>
      <c r="I723" s="37" t="s">
        <v>8</v>
      </c>
      <c r="J723" s="37" t="s">
        <v>7</v>
      </c>
      <c r="K723" s="62">
        <f t="shared" si="11"/>
        <v>0.8</v>
      </c>
    </row>
    <row r="724" spans="1:11" hidden="1" x14ac:dyDescent="0.35">
      <c r="A724" s="33">
        <v>30007389</v>
      </c>
      <c r="B724" s="36" t="s">
        <v>817</v>
      </c>
      <c r="C724" s="37" t="s">
        <v>86</v>
      </c>
      <c r="D724" s="38" t="s">
        <v>1225</v>
      </c>
      <c r="E724" s="38" t="s">
        <v>102</v>
      </c>
      <c r="F724" s="37">
        <v>4</v>
      </c>
      <c r="G724" s="37">
        <v>3</v>
      </c>
      <c r="H724" s="37">
        <v>10</v>
      </c>
      <c r="I724" s="37" t="s">
        <v>8</v>
      </c>
      <c r="J724" s="37" t="s">
        <v>14</v>
      </c>
      <c r="K724" s="62">
        <f t="shared" si="11"/>
        <v>1.4285714285714286</v>
      </c>
    </row>
    <row r="725" spans="1:11" hidden="1" x14ac:dyDescent="0.35">
      <c r="A725" s="33">
        <v>30007390</v>
      </c>
      <c r="B725" s="36" t="s">
        <v>818</v>
      </c>
      <c r="C725" s="37" t="s">
        <v>86</v>
      </c>
      <c r="D725" s="38" t="s">
        <v>1225</v>
      </c>
      <c r="E725" s="38" t="s">
        <v>102</v>
      </c>
      <c r="F725" s="37">
        <v>3</v>
      </c>
      <c r="G725" s="37">
        <v>2</v>
      </c>
      <c r="H725" s="37">
        <v>0</v>
      </c>
      <c r="I725" s="37" t="s">
        <v>8</v>
      </c>
      <c r="J725" s="37" t="s">
        <v>13</v>
      </c>
      <c r="K725" s="62">
        <f t="shared" si="11"/>
        <v>0</v>
      </c>
    </row>
    <row r="726" spans="1:11" hidden="1" x14ac:dyDescent="0.35">
      <c r="A726" s="33">
        <v>30007391</v>
      </c>
      <c r="B726" s="36" t="s">
        <v>819</v>
      </c>
      <c r="C726" s="37" t="s">
        <v>86</v>
      </c>
      <c r="D726" s="38" t="s">
        <v>1225</v>
      </c>
      <c r="E726" s="38" t="s">
        <v>102</v>
      </c>
      <c r="F726" s="37">
        <v>3</v>
      </c>
      <c r="G726" s="37">
        <v>2</v>
      </c>
      <c r="H726" s="37">
        <v>1</v>
      </c>
      <c r="I726" s="37" t="s">
        <v>8</v>
      </c>
      <c r="J726" s="37" t="s">
        <v>9</v>
      </c>
      <c r="K726" s="62">
        <f t="shared" si="11"/>
        <v>0.2</v>
      </c>
    </row>
    <row r="727" spans="1:11" hidden="1" x14ac:dyDescent="0.35">
      <c r="A727" s="33">
        <v>30007394</v>
      </c>
      <c r="B727" s="36" t="s">
        <v>820</v>
      </c>
      <c r="C727" s="37" t="s">
        <v>86</v>
      </c>
      <c r="D727" s="38"/>
      <c r="E727" s="38" t="s">
        <v>102</v>
      </c>
      <c r="F727" s="37">
        <v>3</v>
      </c>
      <c r="G727" s="37">
        <v>2</v>
      </c>
      <c r="H727" s="37">
        <v>4</v>
      </c>
      <c r="I727" s="37" t="s">
        <v>8</v>
      </c>
      <c r="J727" s="37" t="s">
        <v>7</v>
      </c>
      <c r="K727" s="62">
        <f t="shared" si="11"/>
        <v>0.8</v>
      </c>
    </row>
    <row r="728" spans="1:11" hidden="1" x14ac:dyDescent="0.35">
      <c r="A728" s="33">
        <v>30007396</v>
      </c>
      <c r="B728" s="36" t="s">
        <v>873</v>
      </c>
      <c r="C728" s="37" t="s">
        <v>86</v>
      </c>
      <c r="D728" s="38" t="s">
        <v>1225</v>
      </c>
      <c r="E728" s="38" t="s">
        <v>102</v>
      </c>
      <c r="F728" s="37">
        <v>2</v>
      </c>
      <c r="G728" s="37">
        <v>2</v>
      </c>
      <c r="H728" s="37">
        <v>0</v>
      </c>
      <c r="I728" s="37" t="s">
        <v>8</v>
      </c>
      <c r="J728" s="37" t="s">
        <v>13</v>
      </c>
      <c r="K728" s="62">
        <f t="shared" si="11"/>
        <v>0</v>
      </c>
    </row>
    <row r="729" spans="1:11" hidden="1" x14ac:dyDescent="0.35">
      <c r="A729" s="33">
        <v>30007398</v>
      </c>
      <c r="B729" s="36" t="s">
        <v>1068</v>
      </c>
      <c r="C729" s="37" t="s">
        <v>86</v>
      </c>
      <c r="D729" s="38"/>
      <c r="E729" s="38" t="s">
        <v>102</v>
      </c>
      <c r="F729" s="37">
        <v>5</v>
      </c>
      <c r="G729" s="37">
        <v>4</v>
      </c>
      <c r="H729" s="37">
        <v>21</v>
      </c>
      <c r="I729" s="37" t="s">
        <v>8</v>
      </c>
      <c r="J729" s="37" t="s">
        <v>14</v>
      </c>
      <c r="K729" s="62">
        <f t="shared" si="11"/>
        <v>2.3333333333333335</v>
      </c>
    </row>
    <row r="730" spans="1:11" hidden="1" x14ac:dyDescent="0.35">
      <c r="A730" s="33">
        <v>30007399</v>
      </c>
      <c r="B730" s="36" t="s">
        <v>1069</v>
      </c>
      <c r="C730" s="37" t="s">
        <v>86</v>
      </c>
      <c r="D730" s="38"/>
      <c r="E730" s="38" t="s">
        <v>102</v>
      </c>
      <c r="F730" s="37">
        <v>5</v>
      </c>
      <c r="G730" s="37">
        <v>4</v>
      </c>
      <c r="H730" s="37">
        <v>0</v>
      </c>
      <c r="I730" s="37" t="s">
        <v>8</v>
      </c>
      <c r="J730" s="37" t="s">
        <v>13</v>
      </c>
      <c r="K730" s="62">
        <f t="shared" si="11"/>
        <v>0</v>
      </c>
    </row>
    <row r="731" spans="1:11" hidden="1" x14ac:dyDescent="0.35">
      <c r="A731" s="33">
        <v>30007401</v>
      </c>
      <c r="B731" s="36" t="s">
        <v>1070</v>
      </c>
      <c r="C731" s="37" t="s">
        <v>86</v>
      </c>
      <c r="D731" s="38"/>
      <c r="E731" s="38" t="s">
        <v>102</v>
      </c>
      <c r="F731" s="37">
        <v>25</v>
      </c>
      <c r="G731" s="37">
        <v>24</v>
      </c>
      <c r="H731" s="37">
        <v>58</v>
      </c>
      <c r="I731" s="37" t="s">
        <v>8</v>
      </c>
      <c r="J731" s="37" t="s">
        <v>14</v>
      </c>
      <c r="K731" s="62">
        <f t="shared" si="11"/>
        <v>1.1836734693877551</v>
      </c>
    </row>
    <row r="732" spans="1:11" hidden="1" x14ac:dyDescent="0.35">
      <c r="A732" s="33">
        <v>30007402</v>
      </c>
      <c r="B732" s="36" t="s">
        <v>874</v>
      </c>
      <c r="C732" s="37" t="s">
        <v>86</v>
      </c>
      <c r="D732" s="38"/>
      <c r="E732" s="38" t="s">
        <v>102</v>
      </c>
      <c r="F732" s="37">
        <v>7</v>
      </c>
      <c r="G732" s="37">
        <v>6</v>
      </c>
      <c r="H732" s="37">
        <v>8</v>
      </c>
      <c r="I732" s="37" t="s">
        <v>8</v>
      </c>
      <c r="J732" s="37" t="s">
        <v>7</v>
      </c>
      <c r="K732" s="62">
        <f t="shared" si="11"/>
        <v>0.61538461538461542</v>
      </c>
    </row>
    <row r="733" spans="1:11" hidden="1" x14ac:dyDescent="0.35">
      <c r="A733" s="33">
        <v>30007403</v>
      </c>
      <c r="B733" s="36" t="s">
        <v>1417</v>
      </c>
      <c r="C733" s="37" t="s">
        <v>86</v>
      </c>
      <c r="D733" s="38" t="s">
        <v>1225</v>
      </c>
      <c r="E733" s="38" t="s">
        <v>102</v>
      </c>
      <c r="F733" s="37">
        <v>5</v>
      </c>
      <c r="G733" s="37">
        <v>4</v>
      </c>
      <c r="H733" s="37">
        <v>22</v>
      </c>
      <c r="I733" s="37" t="s">
        <v>8</v>
      </c>
      <c r="J733" s="37" t="s">
        <v>14</v>
      </c>
      <c r="K733" s="62">
        <f t="shared" si="11"/>
        <v>2.4444444444444446</v>
      </c>
    </row>
    <row r="734" spans="1:11" hidden="1" x14ac:dyDescent="0.35">
      <c r="A734" s="33">
        <v>30007404</v>
      </c>
      <c r="B734" s="36" t="s">
        <v>821</v>
      </c>
      <c r="C734" s="37" t="s">
        <v>86</v>
      </c>
      <c r="D734" s="38"/>
      <c r="E734" s="38" t="s">
        <v>102</v>
      </c>
      <c r="F734" s="37">
        <v>7</v>
      </c>
      <c r="G734" s="37">
        <v>6</v>
      </c>
      <c r="H734" s="37">
        <v>22</v>
      </c>
      <c r="I734" s="37" t="s">
        <v>8</v>
      </c>
      <c r="J734" s="37" t="s">
        <v>14</v>
      </c>
      <c r="K734" s="62">
        <f t="shared" si="11"/>
        <v>1.6923076923076923</v>
      </c>
    </row>
    <row r="735" spans="1:11" hidden="1" x14ac:dyDescent="0.35">
      <c r="A735" s="33">
        <v>30007405</v>
      </c>
      <c r="B735" s="36" t="s">
        <v>1470</v>
      </c>
      <c r="C735" s="37" t="s">
        <v>86</v>
      </c>
      <c r="D735" s="38" t="s">
        <v>1225</v>
      </c>
      <c r="E735" s="38" t="s">
        <v>102</v>
      </c>
      <c r="F735" s="37">
        <v>7</v>
      </c>
      <c r="G735" s="37">
        <v>6</v>
      </c>
      <c r="H735" s="37">
        <v>15</v>
      </c>
      <c r="I735" s="37" t="s">
        <v>8</v>
      </c>
      <c r="J735" s="37" t="s">
        <v>14</v>
      </c>
      <c r="K735" s="62">
        <f t="shared" si="11"/>
        <v>1.1538461538461537</v>
      </c>
    </row>
    <row r="736" spans="1:11" hidden="1" x14ac:dyDescent="0.35">
      <c r="A736" s="33">
        <v>30007406</v>
      </c>
      <c r="B736" s="36" t="s">
        <v>823</v>
      </c>
      <c r="C736" s="37" t="s">
        <v>86</v>
      </c>
      <c r="D736" s="38" t="s">
        <v>1225</v>
      </c>
      <c r="E736" s="38" t="s">
        <v>102</v>
      </c>
      <c r="F736" s="37">
        <v>3</v>
      </c>
      <c r="G736" s="37">
        <v>2</v>
      </c>
      <c r="H736" s="37">
        <v>2</v>
      </c>
      <c r="I736" s="37" t="s">
        <v>8</v>
      </c>
      <c r="J736" s="37" t="s">
        <v>9</v>
      </c>
      <c r="K736" s="62">
        <f t="shared" si="11"/>
        <v>0.4</v>
      </c>
    </row>
    <row r="737" spans="1:11" hidden="1" x14ac:dyDescent="0.35">
      <c r="A737" s="33">
        <v>30007407</v>
      </c>
      <c r="B737" s="36" t="s">
        <v>824</v>
      </c>
      <c r="C737" s="37" t="s">
        <v>86</v>
      </c>
      <c r="D737" s="38" t="s">
        <v>1225</v>
      </c>
      <c r="E737" s="38" t="s">
        <v>102</v>
      </c>
      <c r="F737" s="37">
        <v>3</v>
      </c>
      <c r="G737" s="37">
        <v>2</v>
      </c>
      <c r="H737" s="37">
        <v>2</v>
      </c>
      <c r="I737" s="37" t="s">
        <v>8</v>
      </c>
      <c r="J737" s="37" t="s">
        <v>9</v>
      </c>
      <c r="K737" s="62">
        <f t="shared" si="11"/>
        <v>0.4</v>
      </c>
    </row>
    <row r="738" spans="1:11" hidden="1" x14ac:dyDescent="0.35">
      <c r="A738" s="33">
        <v>30007411</v>
      </c>
      <c r="B738" s="36" t="s">
        <v>1104</v>
      </c>
      <c r="C738" s="37" t="s">
        <v>86</v>
      </c>
      <c r="D738" s="38"/>
      <c r="E738" s="38" t="s">
        <v>102</v>
      </c>
      <c r="F738" s="37">
        <v>49</v>
      </c>
      <c r="G738" s="37">
        <v>24</v>
      </c>
      <c r="H738" s="37">
        <v>56</v>
      </c>
      <c r="I738" s="37" t="s">
        <v>8</v>
      </c>
      <c r="J738" s="37" t="s">
        <v>7</v>
      </c>
      <c r="K738" s="62">
        <f t="shared" si="11"/>
        <v>0.76712328767123283</v>
      </c>
    </row>
    <row r="739" spans="1:11" hidden="1" x14ac:dyDescent="0.35">
      <c r="A739" s="33">
        <v>30007413</v>
      </c>
      <c r="B739" s="36" t="s">
        <v>1142</v>
      </c>
      <c r="C739" s="37" t="s">
        <v>86</v>
      </c>
      <c r="D739" s="38" t="s">
        <v>1225</v>
      </c>
      <c r="E739" s="38" t="s">
        <v>102</v>
      </c>
      <c r="F739" s="37">
        <v>24</v>
      </c>
      <c r="G739" s="37">
        <v>24</v>
      </c>
      <c r="H739" s="37">
        <v>25</v>
      </c>
      <c r="I739" s="37" t="s">
        <v>8</v>
      </c>
      <c r="J739" s="37" t="s">
        <v>7</v>
      </c>
      <c r="K739" s="62">
        <f t="shared" si="11"/>
        <v>0.52083333333333337</v>
      </c>
    </row>
    <row r="740" spans="1:11" hidden="1" x14ac:dyDescent="0.35">
      <c r="A740" s="33">
        <v>30007415</v>
      </c>
      <c r="B740" s="36" t="s">
        <v>1483</v>
      </c>
      <c r="C740" s="37" t="s">
        <v>86</v>
      </c>
      <c r="D740" s="38"/>
      <c r="E740" s="38" t="s">
        <v>102</v>
      </c>
      <c r="F740" s="37">
        <v>3</v>
      </c>
      <c r="G740" s="37">
        <v>2</v>
      </c>
      <c r="H740" s="37">
        <v>13</v>
      </c>
      <c r="I740" s="37" t="s">
        <v>8</v>
      </c>
      <c r="J740" s="37" t="s">
        <v>14</v>
      </c>
      <c r="K740" s="62">
        <f t="shared" si="11"/>
        <v>2.6</v>
      </c>
    </row>
    <row r="741" spans="1:11" hidden="1" x14ac:dyDescent="0.35">
      <c r="A741" s="33">
        <v>30007419</v>
      </c>
      <c r="B741" s="36" t="s">
        <v>826</v>
      </c>
      <c r="C741" s="37" t="s">
        <v>86</v>
      </c>
      <c r="D741" s="38"/>
      <c r="E741" s="38" t="s">
        <v>102</v>
      </c>
      <c r="F741" s="37">
        <v>4</v>
      </c>
      <c r="G741" s="37">
        <v>3</v>
      </c>
      <c r="H741" s="37">
        <v>11</v>
      </c>
      <c r="I741" s="37" t="s">
        <v>8</v>
      </c>
      <c r="J741" s="37" t="s">
        <v>14</v>
      </c>
      <c r="K741" s="62">
        <f t="shared" si="11"/>
        <v>1.5714285714285714</v>
      </c>
    </row>
    <row r="742" spans="1:11" hidden="1" x14ac:dyDescent="0.35">
      <c r="A742" s="33">
        <v>30007421</v>
      </c>
      <c r="B742" s="36" t="s">
        <v>827</v>
      </c>
      <c r="C742" s="37" t="s">
        <v>86</v>
      </c>
      <c r="D742" s="38"/>
      <c r="E742" s="38" t="s">
        <v>102</v>
      </c>
      <c r="F742" s="37">
        <v>3</v>
      </c>
      <c r="G742" s="37">
        <v>2</v>
      </c>
      <c r="H742" s="37">
        <v>4</v>
      </c>
      <c r="I742" s="37" t="s">
        <v>8</v>
      </c>
      <c r="J742" s="37" t="s">
        <v>7</v>
      </c>
      <c r="K742" s="62">
        <f t="shared" si="11"/>
        <v>0.8</v>
      </c>
    </row>
    <row r="743" spans="1:11" hidden="1" x14ac:dyDescent="0.35">
      <c r="A743" s="33">
        <v>30007424</v>
      </c>
      <c r="B743" s="36" t="s">
        <v>828</v>
      </c>
      <c r="C743" s="37" t="s">
        <v>86</v>
      </c>
      <c r="D743" s="38" t="s">
        <v>1225</v>
      </c>
      <c r="E743" s="38" t="s">
        <v>102</v>
      </c>
      <c r="F743" s="37">
        <v>4</v>
      </c>
      <c r="G743" s="37">
        <v>3</v>
      </c>
      <c r="H743" s="37">
        <v>1</v>
      </c>
      <c r="I743" s="37" t="s">
        <v>8</v>
      </c>
      <c r="J743" s="37" t="s">
        <v>9</v>
      </c>
      <c r="K743" s="62">
        <f t="shared" si="11"/>
        <v>0.14285714285714285</v>
      </c>
    </row>
    <row r="744" spans="1:11" hidden="1" x14ac:dyDescent="0.35">
      <c r="A744" s="33">
        <v>30007426</v>
      </c>
      <c r="B744" s="36" t="s">
        <v>1105</v>
      </c>
      <c r="C744" s="37" t="s">
        <v>86</v>
      </c>
      <c r="D744" s="38"/>
      <c r="E744" s="38" t="s">
        <v>102</v>
      </c>
      <c r="F744" s="37">
        <v>37</v>
      </c>
      <c r="G744" s="37">
        <v>18</v>
      </c>
      <c r="H744" s="37">
        <v>54</v>
      </c>
      <c r="I744" s="37" t="s">
        <v>8</v>
      </c>
      <c r="J744" s="37" t="s">
        <v>7</v>
      </c>
      <c r="K744" s="62">
        <f t="shared" si="11"/>
        <v>0.98181818181818181</v>
      </c>
    </row>
    <row r="745" spans="1:11" hidden="1" x14ac:dyDescent="0.35">
      <c r="A745" s="33">
        <v>30007431</v>
      </c>
      <c r="B745" s="36" t="s">
        <v>831</v>
      </c>
      <c r="C745" s="37" t="s">
        <v>86</v>
      </c>
      <c r="D745" s="38" t="s">
        <v>1225</v>
      </c>
      <c r="E745" s="38" t="s">
        <v>102</v>
      </c>
      <c r="F745" s="37">
        <v>3</v>
      </c>
      <c r="G745" s="37">
        <v>2</v>
      </c>
      <c r="H745" s="37">
        <v>5</v>
      </c>
      <c r="I745" s="37" t="s">
        <v>8</v>
      </c>
      <c r="J745" s="37" t="s">
        <v>7</v>
      </c>
      <c r="K745" s="62">
        <f t="shared" si="11"/>
        <v>1</v>
      </c>
    </row>
    <row r="746" spans="1:11" hidden="1" x14ac:dyDescent="0.35">
      <c r="A746" s="33">
        <v>30007432</v>
      </c>
      <c r="B746" s="36" t="s">
        <v>832</v>
      </c>
      <c r="C746" s="37" t="s">
        <v>86</v>
      </c>
      <c r="D746" s="38" t="s">
        <v>1225</v>
      </c>
      <c r="E746" s="38" t="s">
        <v>102</v>
      </c>
      <c r="F746" s="37">
        <v>3</v>
      </c>
      <c r="G746" s="37">
        <v>2</v>
      </c>
      <c r="H746" s="37">
        <v>15</v>
      </c>
      <c r="I746" s="37" t="s">
        <v>8</v>
      </c>
      <c r="J746" s="37" t="s">
        <v>14</v>
      </c>
      <c r="K746" s="62">
        <f t="shared" si="11"/>
        <v>3</v>
      </c>
    </row>
    <row r="747" spans="1:11" hidden="1" x14ac:dyDescent="0.35">
      <c r="A747" s="33">
        <v>30007433</v>
      </c>
      <c r="B747" s="36" t="s">
        <v>833</v>
      </c>
      <c r="C747" s="37" t="s">
        <v>86</v>
      </c>
      <c r="D747" s="38"/>
      <c r="E747" s="38" t="s">
        <v>102</v>
      </c>
      <c r="F747" s="37">
        <v>4</v>
      </c>
      <c r="G747" s="37">
        <v>4</v>
      </c>
      <c r="H747" s="37">
        <v>7</v>
      </c>
      <c r="I747" s="37" t="s">
        <v>8</v>
      </c>
      <c r="J747" s="37" t="s">
        <v>7</v>
      </c>
      <c r="K747" s="62">
        <f t="shared" si="11"/>
        <v>0.875</v>
      </c>
    </row>
    <row r="748" spans="1:11" hidden="1" x14ac:dyDescent="0.35">
      <c r="A748" s="33">
        <v>30007434</v>
      </c>
      <c r="B748" s="36" t="s">
        <v>834</v>
      </c>
      <c r="C748" s="37" t="s">
        <v>86</v>
      </c>
      <c r="D748" s="38"/>
      <c r="E748" s="38" t="s">
        <v>102</v>
      </c>
      <c r="F748" s="37">
        <v>3</v>
      </c>
      <c r="G748" s="37">
        <v>2</v>
      </c>
      <c r="H748" s="37">
        <v>7</v>
      </c>
      <c r="I748" s="37" t="s">
        <v>8</v>
      </c>
      <c r="J748" s="37" t="s">
        <v>14</v>
      </c>
      <c r="K748" s="62">
        <f t="shared" si="11"/>
        <v>1.4</v>
      </c>
    </row>
    <row r="749" spans="1:11" hidden="1" x14ac:dyDescent="0.35">
      <c r="A749" s="33">
        <v>30007435</v>
      </c>
      <c r="B749" s="36" t="s">
        <v>835</v>
      </c>
      <c r="C749" s="37" t="s">
        <v>86</v>
      </c>
      <c r="D749" s="38" t="s">
        <v>1225</v>
      </c>
      <c r="E749" s="38" t="s">
        <v>102</v>
      </c>
      <c r="F749" s="37">
        <v>4</v>
      </c>
      <c r="G749" s="37">
        <v>4</v>
      </c>
      <c r="H749" s="37">
        <v>5</v>
      </c>
      <c r="I749" s="37" t="s">
        <v>8</v>
      </c>
      <c r="J749" s="37" t="s">
        <v>7</v>
      </c>
      <c r="K749" s="62">
        <f t="shared" si="11"/>
        <v>0.625</v>
      </c>
    </row>
    <row r="750" spans="1:11" hidden="1" x14ac:dyDescent="0.35">
      <c r="A750" s="33">
        <v>30007436</v>
      </c>
      <c r="B750" s="36" t="s">
        <v>836</v>
      </c>
      <c r="C750" s="37" t="s">
        <v>86</v>
      </c>
      <c r="D750" s="38" t="s">
        <v>1225</v>
      </c>
      <c r="E750" s="38" t="s">
        <v>102</v>
      </c>
      <c r="F750" s="37">
        <v>3</v>
      </c>
      <c r="G750" s="37">
        <v>2</v>
      </c>
      <c r="H750" s="37">
        <v>5</v>
      </c>
      <c r="I750" s="37" t="s">
        <v>8</v>
      </c>
      <c r="J750" s="37" t="s">
        <v>7</v>
      </c>
      <c r="K750" s="62">
        <f t="shared" si="11"/>
        <v>1</v>
      </c>
    </row>
    <row r="751" spans="1:11" hidden="1" x14ac:dyDescent="0.35">
      <c r="A751" s="33">
        <v>30007438</v>
      </c>
      <c r="B751" s="36" t="s">
        <v>837</v>
      </c>
      <c r="C751" s="37" t="s">
        <v>86</v>
      </c>
      <c r="D751" s="38"/>
      <c r="E751" s="38" t="s">
        <v>102</v>
      </c>
      <c r="F751" s="37">
        <v>7</v>
      </c>
      <c r="G751" s="37">
        <v>6</v>
      </c>
      <c r="H751" s="37">
        <v>11</v>
      </c>
      <c r="I751" s="37" t="s">
        <v>8</v>
      </c>
      <c r="J751" s="37" t="s">
        <v>7</v>
      </c>
      <c r="K751" s="62">
        <f t="shared" si="11"/>
        <v>0.84615384615384615</v>
      </c>
    </row>
    <row r="752" spans="1:11" hidden="1" x14ac:dyDescent="0.35">
      <c r="A752" s="33">
        <v>30007440</v>
      </c>
      <c r="B752" s="36" t="s">
        <v>838</v>
      </c>
      <c r="C752" s="37" t="s">
        <v>86</v>
      </c>
      <c r="D752" s="38" t="s">
        <v>1225</v>
      </c>
      <c r="E752" s="38" t="s">
        <v>102</v>
      </c>
      <c r="F752" s="37">
        <v>2</v>
      </c>
      <c r="G752" s="37">
        <v>2</v>
      </c>
      <c r="H752" s="37">
        <v>0</v>
      </c>
      <c r="I752" s="37" t="s">
        <v>8</v>
      </c>
      <c r="J752" s="37" t="s">
        <v>13</v>
      </c>
      <c r="K752" s="62">
        <f t="shared" si="11"/>
        <v>0</v>
      </c>
    </row>
    <row r="753" spans="1:11" hidden="1" x14ac:dyDescent="0.35">
      <c r="A753" s="33">
        <v>30007441</v>
      </c>
      <c r="B753" s="36" t="s">
        <v>839</v>
      </c>
      <c r="C753" s="37" t="s">
        <v>86</v>
      </c>
      <c r="D753" s="38" t="s">
        <v>1225</v>
      </c>
      <c r="E753" s="38" t="s">
        <v>102</v>
      </c>
      <c r="F753" s="37">
        <v>2</v>
      </c>
      <c r="G753" s="37">
        <v>2</v>
      </c>
      <c r="H753" s="37">
        <v>1</v>
      </c>
      <c r="I753" s="37" t="s">
        <v>8</v>
      </c>
      <c r="J753" s="37" t="s">
        <v>9</v>
      </c>
      <c r="K753" s="62">
        <f t="shared" si="11"/>
        <v>0.25</v>
      </c>
    </row>
    <row r="754" spans="1:11" hidden="1" x14ac:dyDescent="0.35">
      <c r="A754" s="33">
        <v>30007443</v>
      </c>
      <c r="B754" s="36" t="s">
        <v>840</v>
      </c>
      <c r="C754" s="37" t="s">
        <v>86</v>
      </c>
      <c r="D754" s="38"/>
      <c r="E754" s="38" t="s">
        <v>102</v>
      </c>
      <c r="F754" s="37">
        <v>3</v>
      </c>
      <c r="G754" s="37">
        <v>2</v>
      </c>
      <c r="H754" s="37">
        <v>3</v>
      </c>
      <c r="I754" s="37" t="s">
        <v>8</v>
      </c>
      <c r="J754" s="37" t="s">
        <v>7</v>
      </c>
      <c r="K754" s="62">
        <f t="shared" si="11"/>
        <v>0.6</v>
      </c>
    </row>
    <row r="755" spans="1:11" hidden="1" x14ac:dyDescent="0.35">
      <c r="A755" s="33">
        <v>30007444</v>
      </c>
      <c r="B755" s="36" t="s">
        <v>841</v>
      </c>
      <c r="C755" s="37" t="s">
        <v>86</v>
      </c>
      <c r="D755" s="38" t="s">
        <v>1225</v>
      </c>
      <c r="E755" s="38" t="s">
        <v>102</v>
      </c>
      <c r="F755" s="37">
        <v>2</v>
      </c>
      <c r="G755" s="37">
        <v>2</v>
      </c>
      <c r="H755" s="37">
        <v>1</v>
      </c>
      <c r="I755" s="37" t="s">
        <v>8</v>
      </c>
      <c r="J755" s="37" t="s">
        <v>9</v>
      </c>
      <c r="K755" s="62">
        <f t="shared" si="11"/>
        <v>0.25</v>
      </c>
    </row>
    <row r="756" spans="1:11" hidden="1" x14ac:dyDescent="0.35">
      <c r="A756" s="33">
        <v>30008076</v>
      </c>
      <c r="B756" s="36" t="s">
        <v>1287</v>
      </c>
      <c r="C756" s="37" t="s">
        <v>86</v>
      </c>
      <c r="D756" s="38"/>
      <c r="E756" s="38" t="s">
        <v>68</v>
      </c>
      <c r="F756" s="37">
        <v>2</v>
      </c>
      <c r="G756" s="37">
        <v>4</v>
      </c>
      <c r="H756" s="37">
        <v>9</v>
      </c>
      <c r="I756" s="37" t="s">
        <v>8</v>
      </c>
      <c r="J756" s="37" t="s">
        <v>14</v>
      </c>
      <c r="K756" s="62">
        <f t="shared" si="11"/>
        <v>1.5</v>
      </c>
    </row>
    <row r="757" spans="1:11" hidden="1" x14ac:dyDescent="0.35">
      <c r="A757" s="33">
        <v>30008142</v>
      </c>
      <c r="B757" s="36" t="s">
        <v>529</v>
      </c>
      <c r="C757" s="37" t="s">
        <v>86</v>
      </c>
      <c r="D757" s="38"/>
      <c r="E757" s="38" t="s">
        <v>68</v>
      </c>
      <c r="F757" s="37">
        <v>1</v>
      </c>
      <c r="G757" s="37">
        <v>1</v>
      </c>
      <c r="H757" s="37">
        <v>1</v>
      </c>
      <c r="I757" s="37" t="s">
        <v>8</v>
      </c>
      <c r="J757" s="37" t="s">
        <v>7</v>
      </c>
      <c r="K757" s="62">
        <f t="shared" si="11"/>
        <v>0.5</v>
      </c>
    </row>
    <row r="758" spans="1:11" hidden="1" x14ac:dyDescent="0.35">
      <c r="A758" s="33">
        <v>30008160</v>
      </c>
      <c r="B758" s="36" t="s">
        <v>1306</v>
      </c>
      <c r="C758" s="37" t="s">
        <v>86</v>
      </c>
      <c r="D758" s="38"/>
      <c r="E758" s="38" t="s">
        <v>68</v>
      </c>
      <c r="F758" s="37">
        <v>2</v>
      </c>
      <c r="G758" s="37">
        <v>4</v>
      </c>
      <c r="H758" s="37">
        <v>5</v>
      </c>
      <c r="I758" s="37" t="s">
        <v>8</v>
      </c>
      <c r="J758" s="37" t="s">
        <v>7</v>
      </c>
      <c r="K758" s="62">
        <f t="shared" si="11"/>
        <v>0.83333333333333337</v>
      </c>
    </row>
    <row r="759" spans="1:11" hidden="1" x14ac:dyDescent="0.35">
      <c r="A759" s="33">
        <v>30008313</v>
      </c>
      <c r="B759" s="36" t="s">
        <v>1021</v>
      </c>
      <c r="C759" s="37" t="s">
        <v>86</v>
      </c>
      <c r="D759" s="38"/>
      <c r="E759" s="38" t="s">
        <v>68</v>
      </c>
      <c r="F759" s="37">
        <v>200</v>
      </c>
      <c r="G759" s="37">
        <v>100</v>
      </c>
      <c r="H759" s="37">
        <v>214</v>
      </c>
      <c r="I759" s="37" t="s">
        <v>8</v>
      </c>
      <c r="J759" s="37" t="s">
        <v>7</v>
      </c>
      <c r="K759" s="62">
        <f t="shared" si="11"/>
        <v>0.71333333333333337</v>
      </c>
    </row>
    <row r="760" spans="1:11" hidden="1" x14ac:dyDescent="0.35">
      <c r="A760" s="33">
        <v>30008329</v>
      </c>
      <c r="B760" s="36" t="s">
        <v>530</v>
      </c>
      <c r="C760" s="37" t="s">
        <v>86</v>
      </c>
      <c r="D760" s="38"/>
      <c r="E760" s="38" t="s">
        <v>68</v>
      </c>
      <c r="F760" s="37">
        <v>2</v>
      </c>
      <c r="G760" s="37">
        <v>4</v>
      </c>
      <c r="H760" s="37">
        <v>3</v>
      </c>
      <c r="I760" s="37" t="s">
        <v>8</v>
      </c>
      <c r="J760" s="37" t="s">
        <v>7</v>
      </c>
      <c r="K760" s="62">
        <f t="shared" si="11"/>
        <v>0.5</v>
      </c>
    </row>
    <row r="761" spans="1:11" hidden="1" x14ac:dyDescent="0.35">
      <c r="A761" s="33">
        <v>30008485</v>
      </c>
      <c r="B761" s="36" t="s">
        <v>531</v>
      </c>
      <c r="C761" s="37" t="s">
        <v>86</v>
      </c>
      <c r="D761" s="38"/>
      <c r="E761" s="38" t="s">
        <v>68</v>
      </c>
      <c r="F761" s="37">
        <v>6</v>
      </c>
      <c r="G761" s="37">
        <v>4</v>
      </c>
      <c r="H761" s="37">
        <v>8</v>
      </c>
      <c r="I761" s="37" t="s">
        <v>8</v>
      </c>
      <c r="J761" s="37" t="s">
        <v>7</v>
      </c>
      <c r="K761" s="62">
        <f t="shared" si="11"/>
        <v>0.8</v>
      </c>
    </row>
    <row r="762" spans="1:11" hidden="1" x14ac:dyDescent="0.35">
      <c r="A762" s="33">
        <v>30008505</v>
      </c>
      <c r="B762" s="36" t="s">
        <v>875</v>
      </c>
      <c r="C762" s="37" t="s">
        <v>86</v>
      </c>
      <c r="D762" s="38"/>
      <c r="E762" s="38" t="s">
        <v>102</v>
      </c>
      <c r="F762" s="37">
        <v>2</v>
      </c>
      <c r="G762" s="37">
        <v>2</v>
      </c>
      <c r="H762" s="37">
        <v>1</v>
      </c>
      <c r="I762" s="37" t="s">
        <v>8</v>
      </c>
      <c r="J762" s="37" t="s">
        <v>9</v>
      </c>
      <c r="K762" s="62">
        <f t="shared" si="11"/>
        <v>0.25</v>
      </c>
    </row>
    <row r="763" spans="1:11" hidden="1" x14ac:dyDescent="0.35">
      <c r="A763" s="33">
        <v>30008549</v>
      </c>
      <c r="B763" s="36" t="s">
        <v>1456</v>
      </c>
      <c r="C763" s="37" t="s">
        <v>86</v>
      </c>
      <c r="D763" s="38"/>
      <c r="E763" s="38" t="s">
        <v>68</v>
      </c>
      <c r="F763" s="37">
        <v>4</v>
      </c>
      <c r="G763" s="37">
        <v>2</v>
      </c>
      <c r="H763" s="37">
        <v>8</v>
      </c>
      <c r="I763" s="37" t="s">
        <v>8</v>
      </c>
      <c r="J763" s="37" t="s">
        <v>14</v>
      </c>
      <c r="K763" s="62">
        <f t="shared" si="11"/>
        <v>1.3333333333333333</v>
      </c>
    </row>
    <row r="764" spans="1:11" hidden="1" x14ac:dyDescent="0.35">
      <c r="A764" s="33">
        <v>30008604</v>
      </c>
      <c r="B764" s="36" t="s">
        <v>1363</v>
      </c>
      <c r="C764" s="37" t="s">
        <v>86</v>
      </c>
      <c r="D764" s="38"/>
      <c r="E764" s="38" t="s">
        <v>68</v>
      </c>
      <c r="F764" s="37">
        <v>16</v>
      </c>
      <c r="G764" s="37">
        <v>20</v>
      </c>
      <c r="H764" s="37">
        <v>2</v>
      </c>
      <c r="I764" s="37" t="s">
        <v>8</v>
      </c>
      <c r="J764" s="37" t="s">
        <v>9</v>
      </c>
      <c r="K764" s="62">
        <f t="shared" si="11"/>
        <v>5.5555555555555552E-2</v>
      </c>
    </row>
    <row r="765" spans="1:11" hidden="1" x14ac:dyDescent="0.35">
      <c r="A765" s="33">
        <v>30008605</v>
      </c>
      <c r="B765" s="36" t="s">
        <v>1307</v>
      </c>
      <c r="C765" s="37" t="s">
        <v>86</v>
      </c>
      <c r="D765" s="38"/>
      <c r="E765" s="38" t="s">
        <v>68</v>
      </c>
      <c r="F765" s="37">
        <v>24</v>
      </c>
      <c r="G765" s="37">
        <v>8</v>
      </c>
      <c r="H765" s="37">
        <v>24</v>
      </c>
      <c r="I765" s="37" t="s">
        <v>8</v>
      </c>
      <c r="J765" s="37" t="s">
        <v>7</v>
      </c>
      <c r="K765" s="62">
        <f t="shared" si="11"/>
        <v>0.75</v>
      </c>
    </row>
    <row r="766" spans="1:11" hidden="1" x14ac:dyDescent="0.35">
      <c r="A766" s="33">
        <v>30008607</v>
      </c>
      <c r="B766" s="36" t="s">
        <v>1308</v>
      </c>
      <c r="C766" s="37" t="s">
        <v>86</v>
      </c>
      <c r="D766" s="38"/>
      <c r="E766" s="38" t="s">
        <v>68</v>
      </c>
      <c r="F766" s="37">
        <v>16</v>
      </c>
      <c r="G766" s="37">
        <v>20</v>
      </c>
      <c r="H766" s="37">
        <v>23</v>
      </c>
      <c r="I766" s="37" t="s">
        <v>8</v>
      </c>
      <c r="J766" s="37" t="s">
        <v>7</v>
      </c>
      <c r="K766" s="62">
        <f t="shared" si="11"/>
        <v>0.63888888888888884</v>
      </c>
    </row>
    <row r="767" spans="1:11" hidden="1" x14ac:dyDescent="0.35">
      <c r="A767" s="33">
        <v>30008657</v>
      </c>
      <c r="B767" s="36" t="s">
        <v>532</v>
      </c>
      <c r="C767" s="37" t="s">
        <v>86</v>
      </c>
      <c r="D767" s="38"/>
      <c r="E767" s="38" t="s">
        <v>68</v>
      </c>
      <c r="F767" s="37">
        <v>10</v>
      </c>
      <c r="G767" s="37">
        <v>10</v>
      </c>
      <c r="H767" s="37">
        <v>9</v>
      </c>
      <c r="I767" s="37" t="s">
        <v>8</v>
      </c>
      <c r="J767" s="37" t="s">
        <v>9</v>
      </c>
      <c r="K767" s="62">
        <f t="shared" si="11"/>
        <v>0.45</v>
      </c>
    </row>
    <row r="768" spans="1:11" hidden="1" x14ac:dyDescent="0.35">
      <c r="A768" s="33">
        <v>30008658</v>
      </c>
      <c r="B768" s="36" t="s">
        <v>533</v>
      </c>
      <c r="C768" s="37" t="s">
        <v>86</v>
      </c>
      <c r="D768" s="38"/>
      <c r="E768" s="38" t="s">
        <v>68</v>
      </c>
      <c r="F768" s="37">
        <v>4</v>
      </c>
      <c r="G768" s="37">
        <v>4</v>
      </c>
      <c r="H768" s="37">
        <v>3</v>
      </c>
      <c r="I768" s="37" t="s">
        <v>8</v>
      </c>
      <c r="J768" s="37" t="s">
        <v>7</v>
      </c>
      <c r="K768" s="62">
        <f t="shared" si="11"/>
        <v>0.375</v>
      </c>
    </row>
    <row r="769" spans="1:11" hidden="1" x14ac:dyDescent="0.35">
      <c r="A769" s="33">
        <v>30008661</v>
      </c>
      <c r="B769" s="36" t="s">
        <v>534</v>
      </c>
      <c r="C769" s="37" t="s">
        <v>86</v>
      </c>
      <c r="D769" s="38"/>
      <c r="E769" s="38" t="s">
        <v>68</v>
      </c>
      <c r="F769" s="37">
        <v>16</v>
      </c>
      <c r="G769" s="37">
        <v>16</v>
      </c>
      <c r="H769" s="37">
        <v>27</v>
      </c>
      <c r="I769" s="37" t="s">
        <v>8</v>
      </c>
      <c r="J769" s="37" t="s">
        <v>7</v>
      </c>
      <c r="K769" s="62">
        <f t="shared" si="11"/>
        <v>0.84375</v>
      </c>
    </row>
    <row r="770" spans="1:11" hidden="1" x14ac:dyDescent="0.35">
      <c r="A770" s="33">
        <v>30008664</v>
      </c>
      <c r="B770" s="36" t="s">
        <v>1072</v>
      </c>
      <c r="C770" s="37" t="s">
        <v>86</v>
      </c>
      <c r="D770" s="38" t="s">
        <v>1225</v>
      </c>
      <c r="E770" s="38" t="s">
        <v>102</v>
      </c>
      <c r="F770" s="37">
        <v>113</v>
      </c>
      <c r="G770" s="37">
        <v>112</v>
      </c>
      <c r="H770" s="37">
        <v>172</v>
      </c>
      <c r="I770" s="37" t="s">
        <v>8</v>
      </c>
      <c r="J770" s="37" t="s">
        <v>7</v>
      </c>
      <c r="K770" s="62">
        <f t="shared" si="11"/>
        <v>0.76444444444444448</v>
      </c>
    </row>
    <row r="771" spans="1:11" hidden="1" x14ac:dyDescent="0.35">
      <c r="A771" s="33">
        <v>30008665</v>
      </c>
      <c r="B771" s="36" t="s">
        <v>842</v>
      </c>
      <c r="C771" s="37" t="s">
        <v>86</v>
      </c>
      <c r="D771" s="38"/>
      <c r="E771" s="38" t="s">
        <v>102</v>
      </c>
      <c r="F771" s="37">
        <v>100</v>
      </c>
      <c r="G771" s="37">
        <v>200</v>
      </c>
      <c r="H771" s="37">
        <v>245</v>
      </c>
      <c r="I771" s="37" t="s">
        <v>8</v>
      </c>
      <c r="J771" s="37" t="s">
        <v>7</v>
      </c>
      <c r="K771" s="62">
        <f t="shared" si="11"/>
        <v>0.81666666666666665</v>
      </c>
    </row>
    <row r="772" spans="1:11" hidden="1" x14ac:dyDescent="0.35">
      <c r="A772" s="33">
        <v>30008666</v>
      </c>
      <c r="B772" s="36" t="s">
        <v>843</v>
      </c>
      <c r="C772" s="37" t="s">
        <v>86</v>
      </c>
      <c r="D772" s="38"/>
      <c r="E772" s="38" t="s">
        <v>102</v>
      </c>
      <c r="F772" s="37">
        <v>150</v>
      </c>
      <c r="G772" s="37">
        <v>300</v>
      </c>
      <c r="H772" s="37">
        <v>0</v>
      </c>
      <c r="I772" s="37" t="s">
        <v>8</v>
      </c>
      <c r="J772" s="37" t="s">
        <v>7</v>
      </c>
      <c r="K772" s="62">
        <f t="shared" si="11"/>
        <v>0</v>
      </c>
    </row>
    <row r="773" spans="1:11" hidden="1" x14ac:dyDescent="0.35">
      <c r="A773" s="33">
        <v>30008667</v>
      </c>
      <c r="B773" s="36" t="s">
        <v>876</v>
      </c>
      <c r="C773" s="37" t="s">
        <v>86</v>
      </c>
      <c r="D773" s="38" t="s">
        <v>1225</v>
      </c>
      <c r="E773" s="38" t="s">
        <v>102</v>
      </c>
      <c r="F773" s="37">
        <v>2</v>
      </c>
      <c r="G773" s="37">
        <v>2</v>
      </c>
      <c r="H773" s="37">
        <v>0</v>
      </c>
      <c r="I773" s="37" t="s">
        <v>8</v>
      </c>
      <c r="J773" s="37" t="s">
        <v>13</v>
      </c>
      <c r="K773" s="62">
        <f t="shared" si="11"/>
        <v>0</v>
      </c>
    </row>
    <row r="774" spans="1:11" hidden="1" x14ac:dyDescent="0.35">
      <c r="A774" s="33">
        <v>30008668</v>
      </c>
      <c r="B774" s="36" t="s">
        <v>877</v>
      </c>
      <c r="C774" s="37" t="s">
        <v>86</v>
      </c>
      <c r="D774" s="38" t="s">
        <v>1225</v>
      </c>
      <c r="E774" s="38" t="s">
        <v>102</v>
      </c>
      <c r="F774" s="37">
        <v>2</v>
      </c>
      <c r="G774" s="37">
        <v>2</v>
      </c>
      <c r="H774" s="37">
        <v>0</v>
      </c>
      <c r="I774" s="37" t="s">
        <v>8</v>
      </c>
      <c r="J774" s="37" t="s">
        <v>13</v>
      </c>
      <c r="K774" s="62">
        <f t="shared" si="11"/>
        <v>0</v>
      </c>
    </row>
    <row r="775" spans="1:11" hidden="1" x14ac:dyDescent="0.35">
      <c r="A775" s="33">
        <v>30008670</v>
      </c>
      <c r="B775" s="36" t="s">
        <v>844</v>
      </c>
      <c r="C775" s="37" t="s">
        <v>86</v>
      </c>
      <c r="D775" s="38"/>
      <c r="E775" s="38" t="s">
        <v>102</v>
      </c>
      <c r="F775" s="37">
        <v>16</v>
      </c>
      <c r="G775" s="37">
        <v>32</v>
      </c>
      <c r="H775" s="37">
        <v>13</v>
      </c>
      <c r="I775" s="37" t="s">
        <v>8</v>
      </c>
      <c r="J775" s="37" t="s">
        <v>9</v>
      </c>
      <c r="K775" s="62">
        <f t="shared" si="11"/>
        <v>0.27083333333333331</v>
      </c>
    </row>
    <row r="776" spans="1:11" hidden="1" x14ac:dyDescent="0.35">
      <c r="A776" s="33">
        <v>30008676</v>
      </c>
      <c r="B776" s="36" t="s">
        <v>845</v>
      </c>
      <c r="C776" s="37" t="s">
        <v>86</v>
      </c>
      <c r="D776" s="38"/>
      <c r="E776" s="38" t="s">
        <v>102</v>
      </c>
      <c r="F776" s="37">
        <v>3</v>
      </c>
      <c r="G776" s="37">
        <v>6</v>
      </c>
      <c r="H776" s="37">
        <v>6</v>
      </c>
      <c r="I776" s="37" t="s">
        <v>8</v>
      </c>
      <c r="J776" s="37" t="s">
        <v>7</v>
      </c>
      <c r="K776" s="62">
        <f t="shared" si="11"/>
        <v>0.66666666666666663</v>
      </c>
    </row>
    <row r="777" spans="1:11" hidden="1" x14ac:dyDescent="0.35">
      <c r="A777" s="33">
        <v>30008678</v>
      </c>
      <c r="B777" s="36" t="s">
        <v>878</v>
      </c>
      <c r="C777" s="37" t="s">
        <v>86</v>
      </c>
      <c r="D777" s="38" t="s">
        <v>1225</v>
      </c>
      <c r="E777" s="38" t="s">
        <v>102</v>
      </c>
      <c r="F777" s="37">
        <v>2</v>
      </c>
      <c r="G777" s="37">
        <v>2</v>
      </c>
      <c r="H777" s="37">
        <v>0</v>
      </c>
      <c r="I777" s="37" t="s">
        <v>8</v>
      </c>
      <c r="J777" s="37" t="s">
        <v>13</v>
      </c>
      <c r="K777" s="62">
        <f t="shared" ref="K777:K840" si="12">H777/(F777+G777)</f>
        <v>0</v>
      </c>
    </row>
    <row r="778" spans="1:11" hidden="1" x14ac:dyDescent="0.35">
      <c r="A778" s="33">
        <v>30008682</v>
      </c>
      <c r="B778" s="36" t="s">
        <v>1143</v>
      </c>
      <c r="C778" s="37" t="s">
        <v>86</v>
      </c>
      <c r="D778" s="38"/>
      <c r="E778" s="38" t="s">
        <v>102</v>
      </c>
      <c r="F778" s="37">
        <v>4</v>
      </c>
      <c r="G778" s="37">
        <v>6</v>
      </c>
      <c r="H778" s="37">
        <v>7</v>
      </c>
      <c r="I778" s="37" t="s">
        <v>8</v>
      </c>
      <c r="J778" s="37" t="s">
        <v>7</v>
      </c>
      <c r="K778" s="62">
        <f t="shared" si="12"/>
        <v>0.7</v>
      </c>
    </row>
    <row r="779" spans="1:11" hidden="1" x14ac:dyDescent="0.35">
      <c r="A779" s="33">
        <v>30008684</v>
      </c>
      <c r="B779" s="36" t="s">
        <v>879</v>
      </c>
      <c r="C779" s="37" t="s">
        <v>86</v>
      </c>
      <c r="D779" s="38" t="s">
        <v>1225</v>
      </c>
      <c r="E779" s="38" t="s">
        <v>102</v>
      </c>
      <c r="F779" s="37">
        <v>41</v>
      </c>
      <c r="G779" s="37">
        <v>40</v>
      </c>
      <c r="H779" s="37">
        <v>0</v>
      </c>
      <c r="I779" s="37" t="s">
        <v>8</v>
      </c>
      <c r="J779" s="37" t="s">
        <v>13</v>
      </c>
      <c r="K779" s="62">
        <f t="shared" si="12"/>
        <v>0</v>
      </c>
    </row>
    <row r="780" spans="1:11" hidden="1" x14ac:dyDescent="0.35">
      <c r="A780" s="33">
        <v>30008685</v>
      </c>
      <c r="B780" s="36" t="s">
        <v>880</v>
      </c>
      <c r="C780" s="37" t="s">
        <v>86</v>
      </c>
      <c r="D780" s="38" t="s">
        <v>1225</v>
      </c>
      <c r="E780" s="38" t="s">
        <v>102</v>
      </c>
      <c r="F780" s="37">
        <v>21</v>
      </c>
      <c r="G780" s="37">
        <v>20</v>
      </c>
      <c r="H780" s="37">
        <v>0</v>
      </c>
      <c r="I780" s="37" t="s">
        <v>8</v>
      </c>
      <c r="J780" s="37" t="s">
        <v>13</v>
      </c>
      <c r="K780" s="62">
        <f t="shared" si="12"/>
        <v>0</v>
      </c>
    </row>
    <row r="781" spans="1:11" hidden="1" x14ac:dyDescent="0.35">
      <c r="A781" s="33">
        <v>30008693</v>
      </c>
      <c r="B781" s="36" t="s">
        <v>1022</v>
      </c>
      <c r="C781" s="37" t="s">
        <v>86</v>
      </c>
      <c r="D781" s="38" t="s">
        <v>1225</v>
      </c>
      <c r="E781" s="38" t="s">
        <v>102</v>
      </c>
      <c r="F781" s="37">
        <v>13</v>
      </c>
      <c r="G781" s="37">
        <v>12</v>
      </c>
      <c r="H781" s="37">
        <v>14</v>
      </c>
      <c r="I781" s="37" t="s">
        <v>8</v>
      </c>
      <c r="J781" s="37" t="s">
        <v>7</v>
      </c>
      <c r="K781" s="62">
        <f t="shared" si="12"/>
        <v>0.56000000000000005</v>
      </c>
    </row>
    <row r="782" spans="1:11" hidden="1" x14ac:dyDescent="0.35">
      <c r="A782" s="33">
        <v>30008704</v>
      </c>
      <c r="B782" s="36" t="s">
        <v>1073</v>
      </c>
      <c r="C782" s="37" t="s">
        <v>86</v>
      </c>
      <c r="D782" s="38"/>
      <c r="E782" s="38" t="s">
        <v>102</v>
      </c>
      <c r="F782" s="37">
        <v>17</v>
      </c>
      <c r="G782" s="37">
        <v>16</v>
      </c>
      <c r="H782" s="37">
        <v>18</v>
      </c>
      <c r="I782" s="37" t="s">
        <v>8</v>
      </c>
      <c r="J782" s="37" t="s">
        <v>7</v>
      </c>
      <c r="K782" s="62">
        <f t="shared" si="12"/>
        <v>0.54545454545454541</v>
      </c>
    </row>
    <row r="783" spans="1:11" hidden="1" x14ac:dyDescent="0.35">
      <c r="A783" s="33">
        <v>30008705</v>
      </c>
      <c r="B783" s="36" t="s">
        <v>882</v>
      </c>
      <c r="C783" s="37" t="s">
        <v>86</v>
      </c>
      <c r="D783" s="38" t="s">
        <v>1225</v>
      </c>
      <c r="E783" s="38" t="s">
        <v>102</v>
      </c>
      <c r="F783" s="37">
        <v>2</v>
      </c>
      <c r="G783" s="37">
        <v>1</v>
      </c>
      <c r="H783" s="37">
        <v>0</v>
      </c>
      <c r="I783" s="37" t="s">
        <v>8</v>
      </c>
      <c r="J783" s="37" t="s">
        <v>13</v>
      </c>
      <c r="K783" s="62">
        <f t="shared" si="12"/>
        <v>0</v>
      </c>
    </row>
    <row r="784" spans="1:11" hidden="1" x14ac:dyDescent="0.35">
      <c r="A784" s="33">
        <v>30008706</v>
      </c>
      <c r="B784" s="36" t="s">
        <v>846</v>
      </c>
      <c r="C784" s="37" t="s">
        <v>86</v>
      </c>
      <c r="D784" s="38"/>
      <c r="E784" s="38" t="s">
        <v>102</v>
      </c>
      <c r="F784" s="37">
        <v>1</v>
      </c>
      <c r="G784" s="37">
        <v>2</v>
      </c>
      <c r="H784" s="37">
        <v>3</v>
      </c>
      <c r="I784" s="37" t="s">
        <v>8</v>
      </c>
      <c r="J784" s="37" t="s">
        <v>7</v>
      </c>
      <c r="K784" s="62">
        <f t="shared" si="12"/>
        <v>1</v>
      </c>
    </row>
    <row r="785" spans="1:11" hidden="1" x14ac:dyDescent="0.35">
      <c r="A785" s="33">
        <v>30008707</v>
      </c>
      <c r="B785" s="36" t="s">
        <v>1023</v>
      </c>
      <c r="C785" s="37" t="s">
        <v>86</v>
      </c>
      <c r="D785" s="38" t="s">
        <v>1225</v>
      </c>
      <c r="E785" s="38" t="s">
        <v>102</v>
      </c>
      <c r="F785" s="37">
        <v>2</v>
      </c>
      <c r="G785" s="37">
        <v>2</v>
      </c>
      <c r="H785" s="37">
        <v>2</v>
      </c>
      <c r="I785" s="37" t="s">
        <v>8</v>
      </c>
      <c r="J785" s="37" t="s">
        <v>7</v>
      </c>
      <c r="K785" s="62">
        <f t="shared" si="12"/>
        <v>0.5</v>
      </c>
    </row>
    <row r="786" spans="1:11" hidden="1" x14ac:dyDescent="0.35">
      <c r="A786" s="33">
        <v>30008708</v>
      </c>
      <c r="B786" s="36" t="s">
        <v>883</v>
      </c>
      <c r="C786" s="37" t="s">
        <v>86</v>
      </c>
      <c r="D786" s="38" t="s">
        <v>1225</v>
      </c>
      <c r="E786" s="38" t="s">
        <v>102</v>
      </c>
      <c r="F786" s="37">
        <v>2</v>
      </c>
      <c r="G786" s="37">
        <v>2</v>
      </c>
      <c r="H786" s="37">
        <v>0</v>
      </c>
      <c r="I786" s="37" t="s">
        <v>8</v>
      </c>
      <c r="J786" s="37" t="s">
        <v>13</v>
      </c>
      <c r="K786" s="62">
        <f t="shared" si="12"/>
        <v>0</v>
      </c>
    </row>
    <row r="787" spans="1:11" hidden="1" x14ac:dyDescent="0.35">
      <c r="A787" s="33">
        <v>30008713</v>
      </c>
      <c r="B787" s="36" t="s">
        <v>535</v>
      </c>
      <c r="C787" s="37" t="s">
        <v>86</v>
      </c>
      <c r="D787" s="38"/>
      <c r="E787" s="38" t="s">
        <v>68</v>
      </c>
      <c r="F787" s="37">
        <v>4</v>
      </c>
      <c r="G787" s="37">
        <v>4</v>
      </c>
      <c r="H787" s="37">
        <v>6</v>
      </c>
      <c r="I787" s="37" t="s">
        <v>8</v>
      </c>
      <c r="J787" s="37" t="s">
        <v>7</v>
      </c>
      <c r="K787" s="62">
        <f t="shared" si="12"/>
        <v>0.75</v>
      </c>
    </row>
    <row r="788" spans="1:11" hidden="1" x14ac:dyDescent="0.35">
      <c r="A788" s="33">
        <v>30008714</v>
      </c>
      <c r="B788" s="36" t="s">
        <v>1524</v>
      </c>
      <c r="C788" s="37" t="s">
        <v>86</v>
      </c>
      <c r="D788" s="38"/>
      <c r="E788" s="38" t="s">
        <v>68</v>
      </c>
      <c r="F788" s="37">
        <v>4</v>
      </c>
      <c r="G788" s="37">
        <v>4</v>
      </c>
      <c r="H788" s="37">
        <v>4</v>
      </c>
      <c r="I788" s="37" t="s">
        <v>8</v>
      </c>
      <c r="J788" s="37" t="s">
        <v>7</v>
      </c>
      <c r="K788" s="62">
        <f t="shared" si="12"/>
        <v>0.5</v>
      </c>
    </row>
    <row r="789" spans="1:11" hidden="1" x14ac:dyDescent="0.35">
      <c r="A789" s="33">
        <v>30008718</v>
      </c>
      <c r="B789" s="36" t="s">
        <v>1421</v>
      </c>
      <c r="C789" s="37" t="s">
        <v>86</v>
      </c>
      <c r="D789" s="38"/>
      <c r="E789" s="38" t="s">
        <v>68</v>
      </c>
      <c r="F789" s="37">
        <v>4</v>
      </c>
      <c r="G789" s="37">
        <v>4</v>
      </c>
      <c r="H789" s="37">
        <v>7</v>
      </c>
      <c r="I789" s="37" t="s">
        <v>8</v>
      </c>
      <c r="J789" s="37" t="s">
        <v>7</v>
      </c>
      <c r="K789" s="62">
        <f t="shared" si="12"/>
        <v>0.875</v>
      </c>
    </row>
    <row r="790" spans="1:11" hidden="1" x14ac:dyDescent="0.35">
      <c r="A790" s="33">
        <v>30008726</v>
      </c>
      <c r="B790" s="36" t="s">
        <v>1024</v>
      </c>
      <c r="C790" s="37" t="s">
        <v>86</v>
      </c>
      <c r="D790" s="38" t="s">
        <v>1225</v>
      </c>
      <c r="E790" s="38" t="s">
        <v>102</v>
      </c>
      <c r="F790" s="37">
        <v>3</v>
      </c>
      <c r="G790" s="37">
        <v>2</v>
      </c>
      <c r="H790" s="37">
        <v>4</v>
      </c>
      <c r="I790" s="37" t="s">
        <v>8</v>
      </c>
      <c r="J790" s="37" t="s">
        <v>7</v>
      </c>
      <c r="K790" s="62">
        <f t="shared" si="12"/>
        <v>0.8</v>
      </c>
    </row>
    <row r="791" spans="1:11" hidden="1" x14ac:dyDescent="0.35">
      <c r="A791" s="33">
        <v>30008728</v>
      </c>
      <c r="B791" s="36" t="s">
        <v>1074</v>
      </c>
      <c r="C791" s="37" t="s">
        <v>86</v>
      </c>
      <c r="D791" s="38"/>
      <c r="E791" s="38" t="s">
        <v>102</v>
      </c>
      <c r="F791" s="37">
        <v>3</v>
      </c>
      <c r="G791" s="37">
        <v>2</v>
      </c>
      <c r="H791" s="37">
        <v>3</v>
      </c>
      <c r="I791" s="37" t="s">
        <v>8</v>
      </c>
      <c r="J791" s="37" t="s">
        <v>7</v>
      </c>
      <c r="K791" s="62">
        <f t="shared" si="12"/>
        <v>0.6</v>
      </c>
    </row>
    <row r="792" spans="1:11" hidden="1" x14ac:dyDescent="0.35">
      <c r="A792" s="33">
        <v>30008729</v>
      </c>
      <c r="B792" s="36" t="s">
        <v>1144</v>
      </c>
      <c r="C792" s="37" t="s">
        <v>86</v>
      </c>
      <c r="D792" s="38"/>
      <c r="E792" s="38" t="s">
        <v>102</v>
      </c>
      <c r="F792" s="37">
        <v>4</v>
      </c>
      <c r="G792" s="37">
        <v>6</v>
      </c>
      <c r="H792" s="37">
        <v>9</v>
      </c>
      <c r="I792" s="37" t="s">
        <v>8</v>
      </c>
      <c r="J792" s="37" t="s">
        <v>7</v>
      </c>
      <c r="K792" s="62">
        <f t="shared" si="12"/>
        <v>0.9</v>
      </c>
    </row>
    <row r="793" spans="1:11" hidden="1" x14ac:dyDescent="0.35">
      <c r="A793" s="33">
        <v>30008730</v>
      </c>
      <c r="B793" s="36" t="s">
        <v>1025</v>
      </c>
      <c r="C793" s="37" t="s">
        <v>86</v>
      </c>
      <c r="D793" s="38" t="s">
        <v>1225</v>
      </c>
      <c r="E793" s="38" t="s">
        <v>102</v>
      </c>
      <c r="F793" s="37">
        <v>5</v>
      </c>
      <c r="G793" s="37">
        <v>4</v>
      </c>
      <c r="H793" s="37">
        <v>8</v>
      </c>
      <c r="I793" s="37" t="s">
        <v>8</v>
      </c>
      <c r="J793" s="37" t="s">
        <v>7</v>
      </c>
      <c r="K793" s="62">
        <f t="shared" si="12"/>
        <v>0.88888888888888884</v>
      </c>
    </row>
    <row r="794" spans="1:11" hidden="1" x14ac:dyDescent="0.35">
      <c r="A794" s="33">
        <v>30008759</v>
      </c>
      <c r="B794" s="36" t="s">
        <v>536</v>
      </c>
      <c r="C794" s="37" t="s">
        <v>86</v>
      </c>
      <c r="D794" s="38"/>
      <c r="E794" s="38" t="s">
        <v>68</v>
      </c>
      <c r="F794" s="37">
        <v>6</v>
      </c>
      <c r="G794" s="37">
        <v>6</v>
      </c>
      <c r="H794" s="37">
        <v>6</v>
      </c>
      <c r="I794" s="37" t="s">
        <v>8</v>
      </c>
      <c r="J794" s="37" t="s">
        <v>7</v>
      </c>
      <c r="K794" s="62">
        <f t="shared" si="12"/>
        <v>0.5</v>
      </c>
    </row>
    <row r="795" spans="1:11" hidden="1" x14ac:dyDescent="0.35">
      <c r="A795" s="33">
        <v>30008760</v>
      </c>
      <c r="B795" s="36" t="s">
        <v>537</v>
      </c>
      <c r="C795" s="37" t="s">
        <v>86</v>
      </c>
      <c r="D795" s="38"/>
      <c r="E795" s="38" t="s">
        <v>68</v>
      </c>
      <c r="F795" s="37">
        <v>6</v>
      </c>
      <c r="G795" s="37">
        <v>6</v>
      </c>
      <c r="H795" s="37">
        <v>6</v>
      </c>
      <c r="I795" s="37" t="s">
        <v>8</v>
      </c>
      <c r="J795" s="37" t="s">
        <v>7</v>
      </c>
      <c r="K795" s="62">
        <f t="shared" si="12"/>
        <v>0.5</v>
      </c>
    </row>
    <row r="796" spans="1:11" hidden="1" x14ac:dyDescent="0.35">
      <c r="A796" s="33">
        <v>30008761</v>
      </c>
      <c r="B796" s="36" t="s">
        <v>538</v>
      </c>
      <c r="C796" s="37" t="s">
        <v>86</v>
      </c>
      <c r="D796" s="38"/>
      <c r="E796" s="38" t="s">
        <v>68</v>
      </c>
      <c r="F796" s="37">
        <v>12</v>
      </c>
      <c r="G796" s="37">
        <v>12</v>
      </c>
      <c r="H796" s="37">
        <v>12</v>
      </c>
      <c r="I796" s="37" t="s">
        <v>8</v>
      </c>
      <c r="J796" s="37" t="s">
        <v>7</v>
      </c>
      <c r="K796" s="62">
        <f t="shared" si="12"/>
        <v>0.5</v>
      </c>
    </row>
    <row r="797" spans="1:11" hidden="1" x14ac:dyDescent="0.35">
      <c r="A797" s="33">
        <v>30008765</v>
      </c>
      <c r="B797" s="36" t="s">
        <v>539</v>
      </c>
      <c r="C797" s="37" t="s">
        <v>86</v>
      </c>
      <c r="D797" s="38"/>
      <c r="E797" s="38" t="s">
        <v>68</v>
      </c>
      <c r="F797" s="37">
        <v>2</v>
      </c>
      <c r="G797" s="37">
        <v>2</v>
      </c>
      <c r="H797" s="37">
        <v>2</v>
      </c>
      <c r="I797" s="37" t="s">
        <v>8</v>
      </c>
      <c r="J797" s="37" t="s">
        <v>7</v>
      </c>
      <c r="K797" s="62">
        <f t="shared" si="12"/>
        <v>0.5</v>
      </c>
    </row>
    <row r="798" spans="1:11" hidden="1" x14ac:dyDescent="0.35">
      <c r="A798" s="33">
        <v>30008773</v>
      </c>
      <c r="B798" s="36" t="s">
        <v>1026</v>
      </c>
      <c r="C798" s="37" t="s">
        <v>86</v>
      </c>
      <c r="D798" s="38"/>
      <c r="E798" s="38" t="s">
        <v>102</v>
      </c>
      <c r="F798" s="37">
        <v>33</v>
      </c>
      <c r="G798" s="37">
        <v>32</v>
      </c>
      <c r="H798" s="37">
        <v>47</v>
      </c>
      <c r="I798" s="37" t="s">
        <v>8</v>
      </c>
      <c r="J798" s="37" t="s">
        <v>7</v>
      </c>
      <c r="K798" s="62">
        <f t="shared" si="12"/>
        <v>0.72307692307692306</v>
      </c>
    </row>
    <row r="799" spans="1:11" hidden="1" x14ac:dyDescent="0.35">
      <c r="A799" s="33">
        <v>30008774</v>
      </c>
      <c r="B799" s="36" t="s">
        <v>1027</v>
      </c>
      <c r="C799" s="37" t="s">
        <v>86</v>
      </c>
      <c r="D799" s="38"/>
      <c r="E799" s="38" t="s">
        <v>102</v>
      </c>
      <c r="F799" s="37">
        <v>5</v>
      </c>
      <c r="G799" s="37">
        <v>4</v>
      </c>
      <c r="H799" s="37">
        <v>9</v>
      </c>
      <c r="I799" s="37" t="s">
        <v>8</v>
      </c>
      <c r="J799" s="37" t="s">
        <v>7</v>
      </c>
      <c r="K799" s="62">
        <f t="shared" si="12"/>
        <v>1</v>
      </c>
    </row>
    <row r="800" spans="1:11" hidden="1" x14ac:dyDescent="0.35">
      <c r="A800" s="33">
        <v>30008776</v>
      </c>
      <c r="B800" s="36" t="s">
        <v>1075</v>
      </c>
      <c r="C800" s="37" t="s">
        <v>86</v>
      </c>
      <c r="D800" s="38" t="s">
        <v>1225</v>
      </c>
      <c r="E800" s="38" t="s">
        <v>102</v>
      </c>
      <c r="F800" s="37">
        <v>4</v>
      </c>
      <c r="G800" s="37">
        <v>4</v>
      </c>
      <c r="H800" s="37">
        <v>5</v>
      </c>
      <c r="I800" s="37" t="s">
        <v>8</v>
      </c>
      <c r="J800" s="37" t="s">
        <v>7</v>
      </c>
      <c r="K800" s="62">
        <f t="shared" si="12"/>
        <v>0.625</v>
      </c>
    </row>
    <row r="801" spans="1:11" hidden="1" x14ac:dyDescent="0.35">
      <c r="A801" s="33">
        <v>30008779</v>
      </c>
      <c r="B801" s="36" t="s">
        <v>1028</v>
      </c>
      <c r="C801" s="37" t="s">
        <v>86</v>
      </c>
      <c r="D801" s="38" t="s">
        <v>1225</v>
      </c>
      <c r="E801" s="38" t="s">
        <v>102</v>
      </c>
      <c r="F801" s="37">
        <v>17</v>
      </c>
      <c r="G801" s="37">
        <v>16</v>
      </c>
      <c r="H801" s="37">
        <v>22</v>
      </c>
      <c r="I801" s="37" t="s">
        <v>8</v>
      </c>
      <c r="J801" s="37" t="s">
        <v>7</v>
      </c>
      <c r="K801" s="62">
        <f t="shared" si="12"/>
        <v>0.66666666666666663</v>
      </c>
    </row>
    <row r="802" spans="1:11" hidden="1" x14ac:dyDescent="0.35">
      <c r="A802" s="33">
        <v>30008781</v>
      </c>
      <c r="B802" s="36" t="s">
        <v>1076</v>
      </c>
      <c r="C802" s="37" t="s">
        <v>86</v>
      </c>
      <c r="D802" s="38" t="s">
        <v>1225</v>
      </c>
      <c r="E802" s="38" t="s">
        <v>102</v>
      </c>
      <c r="F802" s="37">
        <v>9</v>
      </c>
      <c r="G802" s="37">
        <v>5</v>
      </c>
      <c r="H802" s="37">
        <v>6</v>
      </c>
      <c r="I802" s="37" t="s">
        <v>8</v>
      </c>
      <c r="J802" s="37" t="s">
        <v>9</v>
      </c>
      <c r="K802" s="62">
        <f t="shared" si="12"/>
        <v>0.42857142857142855</v>
      </c>
    </row>
    <row r="803" spans="1:11" hidden="1" x14ac:dyDescent="0.35">
      <c r="A803" s="33">
        <v>30008782</v>
      </c>
      <c r="B803" s="36" t="s">
        <v>1077</v>
      </c>
      <c r="C803" s="37" t="s">
        <v>86</v>
      </c>
      <c r="D803" s="38" t="s">
        <v>1225</v>
      </c>
      <c r="E803" s="38" t="s">
        <v>102</v>
      </c>
      <c r="F803" s="37">
        <v>5</v>
      </c>
      <c r="G803" s="37">
        <v>4</v>
      </c>
      <c r="H803" s="37">
        <v>0</v>
      </c>
      <c r="I803" s="37" t="s">
        <v>8</v>
      </c>
      <c r="J803" s="37" t="s">
        <v>13</v>
      </c>
      <c r="K803" s="62">
        <f t="shared" si="12"/>
        <v>0</v>
      </c>
    </row>
    <row r="804" spans="1:11" hidden="1" x14ac:dyDescent="0.35">
      <c r="A804" s="33">
        <v>30008788</v>
      </c>
      <c r="B804" s="36" t="s">
        <v>1029</v>
      </c>
      <c r="C804" s="37" t="s">
        <v>86</v>
      </c>
      <c r="D804" s="38"/>
      <c r="E804" s="38" t="s">
        <v>102</v>
      </c>
      <c r="F804" s="37">
        <v>5</v>
      </c>
      <c r="G804" s="37">
        <v>4</v>
      </c>
      <c r="H804" s="37">
        <v>8</v>
      </c>
      <c r="I804" s="37" t="s">
        <v>8</v>
      </c>
      <c r="J804" s="37" t="s">
        <v>7</v>
      </c>
      <c r="K804" s="62">
        <f t="shared" si="12"/>
        <v>0.88888888888888884</v>
      </c>
    </row>
    <row r="805" spans="1:11" hidden="1" x14ac:dyDescent="0.35">
      <c r="A805" s="33">
        <v>30008789</v>
      </c>
      <c r="B805" s="36" t="s">
        <v>1030</v>
      </c>
      <c r="C805" s="37" t="s">
        <v>86</v>
      </c>
      <c r="D805" s="38" t="s">
        <v>1225</v>
      </c>
      <c r="E805" s="38" t="s">
        <v>102</v>
      </c>
      <c r="F805" s="37">
        <v>5</v>
      </c>
      <c r="G805" s="37">
        <v>4</v>
      </c>
      <c r="H805" s="37">
        <v>8</v>
      </c>
      <c r="I805" s="37" t="s">
        <v>8</v>
      </c>
      <c r="J805" s="37" t="s">
        <v>7</v>
      </c>
      <c r="K805" s="62">
        <f t="shared" si="12"/>
        <v>0.88888888888888884</v>
      </c>
    </row>
    <row r="806" spans="1:11" hidden="1" x14ac:dyDescent="0.35">
      <c r="A806" s="33">
        <v>30008790</v>
      </c>
      <c r="B806" s="36" t="s">
        <v>1031</v>
      </c>
      <c r="C806" s="37" t="s">
        <v>86</v>
      </c>
      <c r="D806" s="38"/>
      <c r="E806" s="38" t="s">
        <v>102</v>
      </c>
      <c r="F806" s="37">
        <v>5</v>
      </c>
      <c r="G806" s="37">
        <v>4</v>
      </c>
      <c r="H806" s="37">
        <v>6</v>
      </c>
      <c r="I806" s="37" t="s">
        <v>8</v>
      </c>
      <c r="J806" s="37" t="s">
        <v>7</v>
      </c>
      <c r="K806" s="62">
        <f t="shared" si="12"/>
        <v>0.66666666666666663</v>
      </c>
    </row>
    <row r="807" spans="1:11" hidden="1" x14ac:dyDescent="0.35">
      <c r="A807" s="33">
        <v>30008791</v>
      </c>
      <c r="B807" s="36" t="s">
        <v>1032</v>
      </c>
      <c r="C807" s="37" t="s">
        <v>86</v>
      </c>
      <c r="D807" s="38"/>
      <c r="E807" s="38" t="s">
        <v>102</v>
      </c>
      <c r="F807" s="37">
        <v>5</v>
      </c>
      <c r="G807" s="37">
        <v>4</v>
      </c>
      <c r="H807" s="37">
        <v>6</v>
      </c>
      <c r="I807" s="37" t="s">
        <v>8</v>
      </c>
      <c r="J807" s="37" t="s">
        <v>7</v>
      </c>
      <c r="K807" s="62">
        <f t="shared" si="12"/>
        <v>0.66666666666666663</v>
      </c>
    </row>
    <row r="808" spans="1:11" hidden="1" x14ac:dyDescent="0.35">
      <c r="A808" s="33">
        <v>30008792</v>
      </c>
      <c r="B808" s="36" t="s">
        <v>540</v>
      </c>
      <c r="C808" s="37" t="s">
        <v>86</v>
      </c>
      <c r="D808" s="38"/>
      <c r="E808" s="38" t="s">
        <v>68</v>
      </c>
      <c r="F808" s="37">
        <v>10</v>
      </c>
      <c r="G808" s="37">
        <v>10</v>
      </c>
      <c r="H808" s="37">
        <v>21</v>
      </c>
      <c r="I808" s="37" t="s">
        <v>8</v>
      </c>
      <c r="J808" s="37" t="s">
        <v>14</v>
      </c>
      <c r="K808" s="62">
        <f t="shared" si="12"/>
        <v>1.05</v>
      </c>
    </row>
    <row r="809" spans="1:11" hidden="1" x14ac:dyDescent="0.35">
      <c r="A809" s="33">
        <v>30008795</v>
      </c>
      <c r="B809" s="36" t="s">
        <v>541</v>
      </c>
      <c r="C809" s="37" t="s">
        <v>86</v>
      </c>
      <c r="D809" s="38"/>
      <c r="E809" s="38" t="s">
        <v>68</v>
      </c>
      <c r="F809" s="37">
        <v>10</v>
      </c>
      <c r="G809" s="37">
        <v>10</v>
      </c>
      <c r="H809" s="37">
        <v>18</v>
      </c>
      <c r="I809" s="37" t="s">
        <v>8</v>
      </c>
      <c r="J809" s="37" t="s">
        <v>7</v>
      </c>
      <c r="K809" s="62">
        <f t="shared" si="12"/>
        <v>0.9</v>
      </c>
    </row>
    <row r="810" spans="1:11" hidden="1" x14ac:dyDescent="0.35">
      <c r="A810" s="33">
        <v>30008796</v>
      </c>
      <c r="B810" s="36" t="s">
        <v>542</v>
      </c>
      <c r="C810" s="37" t="s">
        <v>86</v>
      </c>
      <c r="D810" s="38"/>
      <c r="E810" s="38" t="s">
        <v>68</v>
      </c>
      <c r="F810" s="37">
        <v>10</v>
      </c>
      <c r="G810" s="37">
        <v>10</v>
      </c>
      <c r="H810" s="37">
        <v>10</v>
      </c>
      <c r="I810" s="37" t="s">
        <v>8</v>
      </c>
      <c r="J810" s="37" t="s">
        <v>7</v>
      </c>
      <c r="K810" s="62">
        <f t="shared" si="12"/>
        <v>0.5</v>
      </c>
    </row>
    <row r="811" spans="1:11" hidden="1" x14ac:dyDescent="0.35">
      <c r="A811" s="33">
        <v>30008798</v>
      </c>
      <c r="B811" s="36" t="s">
        <v>1033</v>
      </c>
      <c r="C811" s="37" t="s">
        <v>86</v>
      </c>
      <c r="D811" s="38"/>
      <c r="E811" s="38" t="s">
        <v>102</v>
      </c>
      <c r="F811" s="37">
        <v>18</v>
      </c>
      <c r="G811" s="37">
        <v>8</v>
      </c>
      <c r="H811" s="37">
        <v>24</v>
      </c>
      <c r="I811" s="37" t="s">
        <v>8</v>
      </c>
      <c r="J811" s="37" t="s">
        <v>7</v>
      </c>
      <c r="K811" s="62">
        <f t="shared" si="12"/>
        <v>0.92307692307692313</v>
      </c>
    </row>
    <row r="812" spans="1:11" hidden="1" x14ac:dyDescent="0.35">
      <c r="A812" s="33">
        <v>30008799</v>
      </c>
      <c r="B812" s="36" t="s">
        <v>1034</v>
      </c>
      <c r="C812" s="37" t="s">
        <v>86</v>
      </c>
      <c r="D812" s="38" t="s">
        <v>1225</v>
      </c>
      <c r="E812" s="38" t="s">
        <v>102</v>
      </c>
      <c r="F812" s="37">
        <v>18</v>
      </c>
      <c r="G812" s="37">
        <v>8</v>
      </c>
      <c r="H812" s="37">
        <v>19</v>
      </c>
      <c r="I812" s="37" t="s">
        <v>8</v>
      </c>
      <c r="J812" s="37" t="s">
        <v>7</v>
      </c>
      <c r="K812" s="62">
        <f t="shared" si="12"/>
        <v>0.73076923076923073</v>
      </c>
    </row>
    <row r="813" spans="1:11" hidden="1" x14ac:dyDescent="0.35">
      <c r="A813" s="33">
        <v>30008800</v>
      </c>
      <c r="B813" s="36" t="s">
        <v>1035</v>
      </c>
      <c r="C813" s="37" t="s">
        <v>86</v>
      </c>
      <c r="D813" s="38"/>
      <c r="E813" s="38" t="s">
        <v>102</v>
      </c>
      <c r="F813" s="37">
        <v>9</v>
      </c>
      <c r="G813" s="37">
        <v>16</v>
      </c>
      <c r="H813" s="37">
        <v>12</v>
      </c>
      <c r="I813" s="37" t="s">
        <v>8</v>
      </c>
      <c r="J813" s="37" t="s">
        <v>7</v>
      </c>
      <c r="K813" s="62">
        <f t="shared" si="12"/>
        <v>0.48</v>
      </c>
    </row>
    <row r="814" spans="1:11" hidden="1" x14ac:dyDescent="0.35">
      <c r="A814" s="33">
        <v>30008801</v>
      </c>
      <c r="B814" s="36" t="s">
        <v>1036</v>
      </c>
      <c r="C814" s="37" t="s">
        <v>86</v>
      </c>
      <c r="D814" s="38" t="s">
        <v>1225</v>
      </c>
      <c r="E814" s="38" t="s">
        <v>102</v>
      </c>
      <c r="F814" s="37">
        <v>17</v>
      </c>
      <c r="G814" s="37">
        <v>16</v>
      </c>
      <c r="H814" s="37">
        <v>21</v>
      </c>
      <c r="I814" s="37" t="s">
        <v>8</v>
      </c>
      <c r="J814" s="37" t="s">
        <v>7</v>
      </c>
      <c r="K814" s="62">
        <f t="shared" si="12"/>
        <v>0.63636363636363635</v>
      </c>
    </row>
    <row r="815" spans="1:11" hidden="1" x14ac:dyDescent="0.35">
      <c r="A815" s="33">
        <v>30008802</v>
      </c>
      <c r="B815" s="36" t="s">
        <v>1037</v>
      </c>
      <c r="C815" s="37" t="s">
        <v>86</v>
      </c>
      <c r="D815" s="38"/>
      <c r="E815" s="38" t="s">
        <v>102</v>
      </c>
      <c r="F815" s="37">
        <v>9</v>
      </c>
      <c r="G815" s="37">
        <v>16</v>
      </c>
      <c r="H815" s="37">
        <v>24</v>
      </c>
      <c r="I815" s="37" t="s">
        <v>8</v>
      </c>
      <c r="J815" s="37" t="s">
        <v>7</v>
      </c>
      <c r="K815" s="62">
        <f t="shared" si="12"/>
        <v>0.96</v>
      </c>
    </row>
    <row r="816" spans="1:11" hidden="1" x14ac:dyDescent="0.35">
      <c r="A816" s="33">
        <v>30008803</v>
      </c>
      <c r="B816" s="36" t="s">
        <v>1078</v>
      </c>
      <c r="C816" s="37" t="s">
        <v>86</v>
      </c>
      <c r="D816" s="38" t="s">
        <v>1225</v>
      </c>
      <c r="E816" s="38" t="s">
        <v>102</v>
      </c>
      <c r="F816" s="37">
        <v>2</v>
      </c>
      <c r="G816" s="37">
        <v>1</v>
      </c>
      <c r="H816" s="37">
        <v>1</v>
      </c>
      <c r="I816" s="37" t="s">
        <v>8</v>
      </c>
      <c r="J816" s="37" t="s">
        <v>9</v>
      </c>
      <c r="K816" s="62">
        <f t="shared" si="12"/>
        <v>0.33333333333333331</v>
      </c>
    </row>
    <row r="817" spans="1:11" hidden="1" x14ac:dyDescent="0.35">
      <c r="A817" s="33">
        <v>30008804</v>
      </c>
      <c r="B817" s="36" t="s">
        <v>1079</v>
      </c>
      <c r="C817" s="37" t="s">
        <v>86</v>
      </c>
      <c r="D817" s="38" t="s">
        <v>1225</v>
      </c>
      <c r="E817" s="38" t="s">
        <v>102</v>
      </c>
      <c r="F817" s="37">
        <v>2</v>
      </c>
      <c r="G817" s="37">
        <v>1</v>
      </c>
      <c r="H817" s="37">
        <v>1</v>
      </c>
      <c r="I817" s="37" t="s">
        <v>8</v>
      </c>
      <c r="J817" s="37" t="s">
        <v>9</v>
      </c>
      <c r="K817" s="62">
        <f t="shared" si="12"/>
        <v>0.33333333333333331</v>
      </c>
    </row>
    <row r="818" spans="1:11" hidden="1" x14ac:dyDescent="0.35">
      <c r="A818" s="33">
        <v>30008805</v>
      </c>
      <c r="B818" s="36" t="s">
        <v>1080</v>
      </c>
      <c r="C818" s="37" t="s">
        <v>86</v>
      </c>
      <c r="D818" s="38"/>
      <c r="E818" s="38" t="s">
        <v>102</v>
      </c>
      <c r="F818" s="37">
        <v>3</v>
      </c>
      <c r="G818" s="37">
        <v>2</v>
      </c>
      <c r="H818" s="37">
        <v>2</v>
      </c>
      <c r="I818" s="37" t="s">
        <v>8</v>
      </c>
      <c r="J818" s="37" t="s">
        <v>9</v>
      </c>
      <c r="K818" s="62">
        <f t="shared" si="12"/>
        <v>0.4</v>
      </c>
    </row>
    <row r="819" spans="1:11" hidden="1" x14ac:dyDescent="0.35">
      <c r="A819" s="33">
        <v>30008806</v>
      </c>
      <c r="B819" s="36" t="s">
        <v>543</v>
      </c>
      <c r="C819" s="37" t="s">
        <v>86</v>
      </c>
      <c r="D819" s="38"/>
      <c r="E819" s="38" t="s">
        <v>102</v>
      </c>
      <c r="F819" s="37">
        <v>5</v>
      </c>
      <c r="G819" s="37">
        <v>4</v>
      </c>
      <c r="H819" s="37">
        <v>23</v>
      </c>
      <c r="I819" s="37" t="s">
        <v>8</v>
      </c>
      <c r="J819" s="37" t="s">
        <v>14</v>
      </c>
      <c r="K819" s="62">
        <f t="shared" si="12"/>
        <v>2.5555555555555554</v>
      </c>
    </row>
    <row r="820" spans="1:11" hidden="1" x14ac:dyDescent="0.35">
      <c r="A820" s="33">
        <v>30008808</v>
      </c>
      <c r="B820" s="36" t="s">
        <v>1038</v>
      </c>
      <c r="C820" s="37" t="s">
        <v>86</v>
      </c>
      <c r="D820" s="38"/>
      <c r="E820" s="38" t="s">
        <v>102</v>
      </c>
      <c r="F820" s="37">
        <v>5</v>
      </c>
      <c r="G820" s="37">
        <v>4</v>
      </c>
      <c r="H820" s="37">
        <v>13</v>
      </c>
      <c r="I820" s="37" t="s">
        <v>8</v>
      </c>
      <c r="J820" s="37" t="s">
        <v>14</v>
      </c>
      <c r="K820" s="62">
        <f t="shared" si="12"/>
        <v>1.4444444444444444</v>
      </c>
    </row>
    <row r="821" spans="1:11" hidden="1" x14ac:dyDescent="0.35">
      <c r="A821" s="33">
        <v>30008809</v>
      </c>
      <c r="B821" s="36" t="s">
        <v>1081</v>
      </c>
      <c r="C821" s="37" t="s">
        <v>86</v>
      </c>
      <c r="D821" s="38"/>
      <c r="E821" s="38" t="s">
        <v>102</v>
      </c>
      <c r="F821" s="37">
        <v>5</v>
      </c>
      <c r="G821" s="37">
        <v>8</v>
      </c>
      <c r="H821" s="37">
        <v>13</v>
      </c>
      <c r="I821" s="37" t="s">
        <v>8</v>
      </c>
      <c r="J821" s="37" t="s">
        <v>7</v>
      </c>
      <c r="K821" s="62">
        <f t="shared" si="12"/>
        <v>1</v>
      </c>
    </row>
    <row r="822" spans="1:11" hidden="1" x14ac:dyDescent="0.35">
      <c r="A822" s="33">
        <v>30008810</v>
      </c>
      <c r="B822" s="36" t="s">
        <v>1082</v>
      </c>
      <c r="C822" s="37" t="s">
        <v>86</v>
      </c>
      <c r="D822" s="38"/>
      <c r="E822" s="38" t="s">
        <v>102</v>
      </c>
      <c r="F822" s="37">
        <v>5</v>
      </c>
      <c r="G822" s="37">
        <v>4</v>
      </c>
      <c r="H822" s="37">
        <v>5</v>
      </c>
      <c r="I822" s="37" t="s">
        <v>8</v>
      </c>
      <c r="J822" s="37" t="s">
        <v>7</v>
      </c>
      <c r="K822" s="62">
        <f t="shared" si="12"/>
        <v>0.55555555555555558</v>
      </c>
    </row>
    <row r="823" spans="1:11" hidden="1" x14ac:dyDescent="0.35">
      <c r="A823" s="33">
        <v>30008811</v>
      </c>
      <c r="B823" s="36" t="s">
        <v>1039</v>
      </c>
      <c r="C823" s="37" t="s">
        <v>86</v>
      </c>
      <c r="D823" s="38" t="s">
        <v>1225</v>
      </c>
      <c r="E823" s="38" t="s">
        <v>102</v>
      </c>
      <c r="F823" s="37">
        <v>3</v>
      </c>
      <c r="G823" s="37">
        <v>2</v>
      </c>
      <c r="H823" s="37">
        <v>3</v>
      </c>
      <c r="I823" s="37" t="s">
        <v>8</v>
      </c>
      <c r="J823" s="37" t="s">
        <v>7</v>
      </c>
      <c r="K823" s="62">
        <f t="shared" si="12"/>
        <v>0.6</v>
      </c>
    </row>
    <row r="824" spans="1:11" hidden="1" x14ac:dyDescent="0.35">
      <c r="A824" s="33">
        <v>30008812</v>
      </c>
      <c r="B824" s="36" t="s">
        <v>1040</v>
      </c>
      <c r="C824" s="37" t="s">
        <v>86</v>
      </c>
      <c r="D824" s="38" t="s">
        <v>1225</v>
      </c>
      <c r="E824" s="38" t="s">
        <v>102</v>
      </c>
      <c r="F824" s="37">
        <v>3</v>
      </c>
      <c r="G824" s="37">
        <v>2</v>
      </c>
      <c r="H824" s="37">
        <v>3</v>
      </c>
      <c r="I824" s="37" t="s">
        <v>8</v>
      </c>
      <c r="J824" s="37" t="s">
        <v>7</v>
      </c>
      <c r="K824" s="62">
        <f t="shared" si="12"/>
        <v>0.6</v>
      </c>
    </row>
    <row r="825" spans="1:11" hidden="1" x14ac:dyDescent="0.35">
      <c r="A825" s="33">
        <v>30008813</v>
      </c>
      <c r="B825" s="36" t="s">
        <v>1041</v>
      </c>
      <c r="C825" s="37" t="s">
        <v>86</v>
      </c>
      <c r="D825" s="38" t="s">
        <v>1225</v>
      </c>
      <c r="E825" s="38" t="s">
        <v>102</v>
      </c>
      <c r="F825" s="37">
        <v>3</v>
      </c>
      <c r="G825" s="37">
        <v>2</v>
      </c>
      <c r="H825" s="37">
        <v>3</v>
      </c>
      <c r="I825" s="37" t="s">
        <v>8</v>
      </c>
      <c r="J825" s="37" t="s">
        <v>7</v>
      </c>
      <c r="K825" s="62">
        <f t="shared" si="12"/>
        <v>0.6</v>
      </c>
    </row>
    <row r="826" spans="1:11" hidden="1" x14ac:dyDescent="0.35">
      <c r="A826" s="33">
        <v>30008814</v>
      </c>
      <c r="B826" s="36" t="s">
        <v>1042</v>
      </c>
      <c r="C826" s="37" t="s">
        <v>86</v>
      </c>
      <c r="D826" s="38" t="s">
        <v>1225</v>
      </c>
      <c r="E826" s="38" t="s">
        <v>102</v>
      </c>
      <c r="F826" s="37">
        <v>5</v>
      </c>
      <c r="G826" s="37">
        <v>4</v>
      </c>
      <c r="H826" s="37">
        <v>6</v>
      </c>
      <c r="I826" s="37" t="s">
        <v>8</v>
      </c>
      <c r="J826" s="37" t="s">
        <v>7</v>
      </c>
      <c r="K826" s="62">
        <f t="shared" si="12"/>
        <v>0.66666666666666663</v>
      </c>
    </row>
    <row r="827" spans="1:11" hidden="1" x14ac:dyDescent="0.35">
      <c r="A827" s="33">
        <v>30008815</v>
      </c>
      <c r="B827" s="36" t="s">
        <v>1043</v>
      </c>
      <c r="C827" s="37" t="s">
        <v>86</v>
      </c>
      <c r="D827" s="38"/>
      <c r="E827" s="38" t="s">
        <v>102</v>
      </c>
      <c r="F827" s="37">
        <v>3</v>
      </c>
      <c r="G827" s="37">
        <v>2</v>
      </c>
      <c r="H827" s="37">
        <v>3</v>
      </c>
      <c r="I827" s="37" t="s">
        <v>8</v>
      </c>
      <c r="J827" s="37" t="s">
        <v>7</v>
      </c>
      <c r="K827" s="62">
        <f t="shared" si="12"/>
        <v>0.6</v>
      </c>
    </row>
    <row r="828" spans="1:11" hidden="1" x14ac:dyDescent="0.35">
      <c r="A828" s="33">
        <v>30008817</v>
      </c>
      <c r="B828" s="36" t="s">
        <v>1045</v>
      </c>
      <c r="C828" s="37" t="s">
        <v>86</v>
      </c>
      <c r="D828" s="38"/>
      <c r="E828" s="38" t="s">
        <v>102</v>
      </c>
      <c r="F828" s="37">
        <v>3</v>
      </c>
      <c r="G828" s="37">
        <v>2</v>
      </c>
      <c r="H828" s="37">
        <v>3</v>
      </c>
      <c r="I828" s="37" t="s">
        <v>8</v>
      </c>
      <c r="J828" s="37" t="s">
        <v>7</v>
      </c>
      <c r="K828" s="62">
        <f t="shared" si="12"/>
        <v>0.6</v>
      </c>
    </row>
    <row r="829" spans="1:11" hidden="1" x14ac:dyDescent="0.35">
      <c r="A829" s="33">
        <v>30008818</v>
      </c>
      <c r="B829" s="36" t="s">
        <v>544</v>
      </c>
      <c r="C829" s="37" t="s">
        <v>86</v>
      </c>
      <c r="D829" s="38"/>
      <c r="E829" s="38" t="s">
        <v>68</v>
      </c>
      <c r="F829" s="37">
        <v>8</v>
      </c>
      <c r="G829" s="37">
        <v>8</v>
      </c>
      <c r="H829" s="37">
        <v>8</v>
      </c>
      <c r="I829" s="37" t="s">
        <v>8</v>
      </c>
      <c r="J829" s="37" t="s">
        <v>7</v>
      </c>
      <c r="K829" s="62">
        <f t="shared" si="12"/>
        <v>0.5</v>
      </c>
    </row>
    <row r="830" spans="1:11" hidden="1" x14ac:dyDescent="0.35">
      <c r="A830" s="33">
        <v>30008847</v>
      </c>
      <c r="B830" s="36" t="s">
        <v>545</v>
      </c>
      <c r="C830" s="37" t="s">
        <v>86</v>
      </c>
      <c r="D830" s="38"/>
      <c r="E830" s="38" t="s">
        <v>68</v>
      </c>
      <c r="F830" s="37">
        <v>4</v>
      </c>
      <c r="G830" s="37">
        <v>4</v>
      </c>
      <c r="H830" s="37">
        <v>10</v>
      </c>
      <c r="I830" s="37" t="s">
        <v>8</v>
      </c>
      <c r="J830" s="37" t="s">
        <v>14</v>
      </c>
      <c r="K830" s="62">
        <f t="shared" si="12"/>
        <v>1.25</v>
      </c>
    </row>
    <row r="831" spans="1:11" hidden="1" x14ac:dyDescent="0.35">
      <c r="A831" s="33">
        <v>30008854</v>
      </c>
      <c r="B831" s="36" t="s">
        <v>546</v>
      </c>
      <c r="C831" s="37" t="s">
        <v>86</v>
      </c>
      <c r="D831" s="38"/>
      <c r="E831" s="38" t="s">
        <v>68</v>
      </c>
      <c r="F831" s="37">
        <v>32</v>
      </c>
      <c r="G831" s="37">
        <v>32</v>
      </c>
      <c r="H831" s="37">
        <v>32</v>
      </c>
      <c r="I831" s="37" t="s">
        <v>8</v>
      </c>
      <c r="J831" s="37" t="s">
        <v>7</v>
      </c>
      <c r="K831" s="62">
        <f t="shared" si="12"/>
        <v>0.5</v>
      </c>
    </row>
    <row r="832" spans="1:11" hidden="1" x14ac:dyDescent="0.35">
      <c r="A832" s="33">
        <v>30008856</v>
      </c>
      <c r="B832" s="36" t="s">
        <v>1046</v>
      </c>
      <c r="C832" s="37" t="s">
        <v>86</v>
      </c>
      <c r="D832" s="38"/>
      <c r="E832" s="38" t="s">
        <v>102</v>
      </c>
      <c r="F832" s="37">
        <v>5</v>
      </c>
      <c r="G832" s="37">
        <v>4</v>
      </c>
      <c r="H832" s="37">
        <v>9</v>
      </c>
      <c r="I832" s="37" t="s">
        <v>8</v>
      </c>
      <c r="J832" s="37" t="s">
        <v>7</v>
      </c>
      <c r="K832" s="62">
        <f t="shared" si="12"/>
        <v>1</v>
      </c>
    </row>
    <row r="833" spans="1:11" hidden="1" x14ac:dyDescent="0.35">
      <c r="A833" s="33">
        <v>30008857</v>
      </c>
      <c r="B833" s="36" t="s">
        <v>1047</v>
      </c>
      <c r="C833" s="37" t="s">
        <v>86</v>
      </c>
      <c r="D833" s="38"/>
      <c r="E833" s="38" t="s">
        <v>102</v>
      </c>
      <c r="F833" s="37">
        <v>5</v>
      </c>
      <c r="G833" s="37">
        <v>4</v>
      </c>
      <c r="H833" s="37">
        <v>12</v>
      </c>
      <c r="I833" s="37" t="s">
        <v>8</v>
      </c>
      <c r="J833" s="37" t="s">
        <v>14</v>
      </c>
      <c r="K833" s="62">
        <f t="shared" si="12"/>
        <v>1.3333333333333333</v>
      </c>
    </row>
    <row r="834" spans="1:11" hidden="1" x14ac:dyDescent="0.35">
      <c r="A834" s="33">
        <v>30008858</v>
      </c>
      <c r="B834" s="36" t="s">
        <v>1048</v>
      </c>
      <c r="C834" s="37" t="s">
        <v>86</v>
      </c>
      <c r="D834" s="38"/>
      <c r="E834" s="38" t="s">
        <v>102</v>
      </c>
      <c r="F834" s="37">
        <v>5</v>
      </c>
      <c r="G834" s="37">
        <v>4</v>
      </c>
      <c r="H834" s="37">
        <v>19</v>
      </c>
      <c r="I834" s="37" t="s">
        <v>8</v>
      </c>
      <c r="J834" s="37" t="s">
        <v>14</v>
      </c>
      <c r="K834" s="62">
        <f t="shared" si="12"/>
        <v>2.1111111111111112</v>
      </c>
    </row>
    <row r="835" spans="1:11" hidden="1" x14ac:dyDescent="0.35">
      <c r="A835" s="33">
        <v>30008859</v>
      </c>
      <c r="B835" s="36" t="s">
        <v>1049</v>
      </c>
      <c r="C835" s="37" t="s">
        <v>86</v>
      </c>
      <c r="D835" s="38"/>
      <c r="E835" s="38" t="s">
        <v>102</v>
      </c>
      <c r="F835" s="37">
        <v>5</v>
      </c>
      <c r="G835" s="37">
        <v>4</v>
      </c>
      <c r="H835" s="37">
        <v>15</v>
      </c>
      <c r="I835" s="37" t="s">
        <v>8</v>
      </c>
      <c r="J835" s="37" t="s">
        <v>14</v>
      </c>
      <c r="K835" s="62">
        <f t="shared" si="12"/>
        <v>1.6666666666666667</v>
      </c>
    </row>
    <row r="836" spans="1:11" hidden="1" x14ac:dyDescent="0.35">
      <c r="A836" s="33">
        <v>30008931</v>
      </c>
      <c r="B836" s="36" t="s">
        <v>547</v>
      </c>
      <c r="C836" s="37" t="s">
        <v>86</v>
      </c>
      <c r="D836" s="38"/>
      <c r="E836" s="38" t="s">
        <v>68</v>
      </c>
      <c r="F836" s="37">
        <v>20</v>
      </c>
      <c r="G836" s="37">
        <v>6</v>
      </c>
      <c r="H836" s="37">
        <v>26</v>
      </c>
      <c r="I836" s="37" t="s">
        <v>8</v>
      </c>
      <c r="J836" s="37" t="s">
        <v>7</v>
      </c>
      <c r="K836" s="62">
        <f t="shared" si="12"/>
        <v>1</v>
      </c>
    </row>
    <row r="837" spans="1:11" hidden="1" x14ac:dyDescent="0.35">
      <c r="A837" s="33">
        <v>30008973</v>
      </c>
      <c r="B837" s="36" t="s">
        <v>548</v>
      </c>
      <c r="C837" s="37" t="s">
        <v>86</v>
      </c>
      <c r="D837" s="38"/>
      <c r="E837" s="38" t="s">
        <v>68</v>
      </c>
      <c r="F837" s="37">
        <v>8</v>
      </c>
      <c r="G837" s="37">
        <v>10</v>
      </c>
      <c r="H837" s="37">
        <v>12</v>
      </c>
      <c r="I837" s="37" t="s">
        <v>8</v>
      </c>
      <c r="J837" s="37" t="s">
        <v>7</v>
      </c>
      <c r="K837" s="62">
        <f t="shared" si="12"/>
        <v>0.66666666666666663</v>
      </c>
    </row>
    <row r="838" spans="1:11" hidden="1" x14ac:dyDescent="0.35">
      <c r="A838" s="33">
        <v>30009365</v>
      </c>
      <c r="B838" s="36" t="s">
        <v>1486</v>
      </c>
      <c r="C838" s="37" t="s">
        <v>86</v>
      </c>
      <c r="D838" s="38"/>
      <c r="E838" s="38" t="s">
        <v>68</v>
      </c>
      <c r="F838" s="37">
        <v>5</v>
      </c>
      <c r="G838" s="37">
        <v>2</v>
      </c>
      <c r="H838" s="37">
        <v>6</v>
      </c>
      <c r="I838" s="37" t="s">
        <v>8</v>
      </c>
      <c r="J838" s="37" t="s">
        <v>7</v>
      </c>
      <c r="K838" s="62">
        <f t="shared" si="12"/>
        <v>0.8571428571428571</v>
      </c>
    </row>
    <row r="839" spans="1:11" hidden="1" x14ac:dyDescent="0.35">
      <c r="A839" s="33">
        <v>30009410</v>
      </c>
      <c r="B839" s="36" t="s">
        <v>46</v>
      </c>
      <c r="C839" s="37" t="s">
        <v>86</v>
      </c>
      <c r="D839" s="38"/>
      <c r="E839" s="38" t="s">
        <v>68</v>
      </c>
      <c r="F839" s="37">
        <v>20</v>
      </c>
      <c r="G839" s="37">
        <v>50</v>
      </c>
      <c r="H839" s="37">
        <v>39</v>
      </c>
      <c r="I839" s="37" t="s">
        <v>8</v>
      </c>
      <c r="J839" s="37" t="s">
        <v>7</v>
      </c>
      <c r="K839" s="62">
        <f t="shared" si="12"/>
        <v>0.55714285714285716</v>
      </c>
    </row>
    <row r="840" spans="1:11" hidden="1" x14ac:dyDescent="0.35">
      <c r="A840" s="33">
        <v>30009554</v>
      </c>
      <c r="B840" s="36" t="s">
        <v>549</v>
      </c>
      <c r="C840" s="37" t="s">
        <v>86</v>
      </c>
      <c r="D840" s="38"/>
      <c r="E840" s="38" t="s">
        <v>68</v>
      </c>
      <c r="F840" s="37">
        <v>3</v>
      </c>
      <c r="G840" s="37">
        <v>4</v>
      </c>
      <c r="H840" s="37">
        <v>5</v>
      </c>
      <c r="I840" s="37" t="s">
        <v>8</v>
      </c>
      <c r="J840" s="37" t="s">
        <v>7</v>
      </c>
      <c r="K840" s="62">
        <f t="shared" si="12"/>
        <v>0.7142857142857143</v>
      </c>
    </row>
    <row r="841" spans="1:11" hidden="1" x14ac:dyDescent="0.35">
      <c r="A841" s="33">
        <v>30010099</v>
      </c>
      <c r="B841" s="36" t="s">
        <v>1496</v>
      </c>
      <c r="C841" s="37" t="s">
        <v>86</v>
      </c>
      <c r="D841" s="38"/>
      <c r="E841" s="38" t="s">
        <v>68</v>
      </c>
      <c r="F841" s="37">
        <v>3</v>
      </c>
      <c r="G841" s="37">
        <v>2</v>
      </c>
      <c r="H841" s="37">
        <v>0</v>
      </c>
      <c r="I841" s="37" t="s">
        <v>8</v>
      </c>
      <c r="J841" s="37" t="s">
        <v>13</v>
      </c>
      <c r="K841" s="62">
        <f t="shared" ref="K841:K904" si="13">H841/(F841+G841)</f>
        <v>0</v>
      </c>
    </row>
    <row r="842" spans="1:11" hidden="1" x14ac:dyDescent="0.35">
      <c r="A842" s="33">
        <v>30010232</v>
      </c>
      <c r="B842" s="36" t="s">
        <v>550</v>
      </c>
      <c r="C842" s="37" t="s">
        <v>86</v>
      </c>
      <c r="D842" s="38"/>
      <c r="E842" s="38" t="s">
        <v>68</v>
      </c>
      <c r="F842" s="37">
        <v>15</v>
      </c>
      <c r="G842" s="37">
        <v>6</v>
      </c>
      <c r="H842" s="37">
        <v>16</v>
      </c>
      <c r="I842" s="37" t="s">
        <v>8</v>
      </c>
      <c r="J842" s="37" t="s">
        <v>7</v>
      </c>
      <c r="K842" s="62">
        <f t="shared" si="13"/>
        <v>0.76190476190476186</v>
      </c>
    </row>
    <row r="843" spans="1:11" hidden="1" x14ac:dyDescent="0.35">
      <c r="A843" s="33">
        <v>30010233</v>
      </c>
      <c r="B843" s="36" t="s">
        <v>551</v>
      </c>
      <c r="C843" s="37" t="s">
        <v>86</v>
      </c>
      <c r="D843" s="38"/>
      <c r="E843" s="38" t="s">
        <v>68</v>
      </c>
      <c r="F843" s="37">
        <v>6</v>
      </c>
      <c r="G843" s="37">
        <v>10</v>
      </c>
      <c r="H843" s="37">
        <v>17</v>
      </c>
      <c r="I843" s="37" t="s">
        <v>8</v>
      </c>
      <c r="J843" s="37" t="s">
        <v>14</v>
      </c>
      <c r="K843" s="62">
        <f t="shared" si="13"/>
        <v>1.0625</v>
      </c>
    </row>
    <row r="844" spans="1:11" hidden="1" x14ac:dyDescent="0.35">
      <c r="A844" s="33">
        <v>30010272</v>
      </c>
      <c r="B844" s="36" t="s">
        <v>1493</v>
      </c>
      <c r="C844" s="37" t="s">
        <v>86</v>
      </c>
      <c r="D844" s="38"/>
      <c r="E844" s="38" t="s">
        <v>68</v>
      </c>
      <c r="F844" s="37">
        <v>6</v>
      </c>
      <c r="G844" s="37">
        <v>3</v>
      </c>
      <c r="H844" s="37">
        <v>4</v>
      </c>
      <c r="I844" s="37" t="s">
        <v>8</v>
      </c>
      <c r="J844" s="37" t="s">
        <v>9</v>
      </c>
      <c r="K844" s="62">
        <f t="shared" si="13"/>
        <v>0.44444444444444442</v>
      </c>
    </row>
    <row r="845" spans="1:11" hidden="1" x14ac:dyDescent="0.35">
      <c r="A845" s="33">
        <v>30010273</v>
      </c>
      <c r="B845" s="36" t="s">
        <v>1503</v>
      </c>
      <c r="C845" s="37" t="s">
        <v>86</v>
      </c>
      <c r="D845" s="38"/>
      <c r="E845" s="38" t="s">
        <v>68</v>
      </c>
      <c r="F845" s="37">
        <v>6</v>
      </c>
      <c r="G845" s="37">
        <v>6</v>
      </c>
      <c r="H845" s="37">
        <v>0</v>
      </c>
      <c r="I845" s="37" t="s">
        <v>8</v>
      </c>
      <c r="J845" s="37" t="s">
        <v>13</v>
      </c>
      <c r="K845" s="62">
        <f t="shared" si="13"/>
        <v>0</v>
      </c>
    </row>
    <row r="846" spans="1:11" hidden="1" x14ac:dyDescent="0.35">
      <c r="A846" s="33">
        <v>30010878</v>
      </c>
      <c r="B846" s="36" t="s">
        <v>552</v>
      </c>
      <c r="C846" s="37" t="s">
        <v>86</v>
      </c>
      <c r="D846" s="38"/>
      <c r="E846" s="38" t="s">
        <v>68</v>
      </c>
      <c r="F846" s="37">
        <v>21</v>
      </c>
      <c r="G846" s="37">
        <v>20</v>
      </c>
      <c r="H846" s="37">
        <v>24</v>
      </c>
      <c r="I846" s="37" t="s">
        <v>8</v>
      </c>
      <c r="J846" s="37" t="s">
        <v>7</v>
      </c>
      <c r="K846" s="62">
        <f t="shared" si="13"/>
        <v>0.58536585365853655</v>
      </c>
    </row>
    <row r="847" spans="1:11" hidden="1" x14ac:dyDescent="0.35">
      <c r="A847" s="33">
        <v>30010881</v>
      </c>
      <c r="B847" s="36" t="s">
        <v>553</v>
      </c>
      <c r="C847" s="37" t="s">
        <v>86</v>
      </c>
      <c r="D847" s="38"/>
      <c r="E847" s="38" t="s">
        <v>68</v>
      </c>
      <c r="F847" s="37">
        <v>16</v>
      </c>
      <c r="G847" s="37">
        <v>20</v>
      </c>
      <c r="H847" s="37">
        <v>25</v>
      </c>
      <c r="I847" s="37" t="s">
        <v>8</v>
      </c>
      <c r="J847" s="37" t="s">
        <v>7</v>
      </c>
      <c r="K847" s="62">
        <f t="shared" si="13"/>
        <v>0.69444444444444442</v>
      </c>
    </row>
    <row r="848" spans="1:11" hidden="1" x14ac:dyDescent="0.35">
      <c r="A848" s="33">
        <v>30010885</v>
      </c>
      <c r="B848" s="36" t="s">
        <v>790</v>
      </c>
      <c r="C848" s="37" t="s">
        <v>86</v>
      </c>
      <c r="D848" s="38"/>
      <c r="E848" s="38" t="s">
        <v>68</v>
      </c>
      <c r="F848" s="37">
        <v>20</v>
      </c>
      <c r="G848" s="37">
        <v>6</v>
      </c>
      <c r="H848" s="37">
        <v>51</v>
      </c>
      <c r="I848" s="37" t="s">
        <v>8</v>
      </c>
      <c r="J848" s="37" t="s">
        <v>14</v>
      </c>
      <c r="K848" s="62">
        <f t="shared" si="13"/>
        <v>1.9615384615384615</v>
      </c>
    </row>
    <row r="849" spans="1:11" hidden="1" x14ac:dyDescent="0.35">
      <c r="A849" s="33">
        <v>30010898</v>
      </c>
      <c r="B849" s="36" t="s">
        <v>554</v>
      </c>
      <c r="C849" s="37" t="s">
        <v>86</v>
      </c>
      <c r="D849" s="38"/>
      <c r="E849" s="38" t="s">
        <v>68</v>
      </c>
      <c r="F849" s="37">
        <v>15</v>
      </c>
      <c r="G849" s="37">
        <v>20</v>
      </c>
      <c r="H849" s="37">
        <v>45</v>
      </c>
      <c r="I849" s="37" t="s">
        <v>8</v>
      </c>
      <c r="J849" s="37" t="s">
        <v>14</v>
      </c>
      <c r="K849" s="62">
        <f t="shared" si="13"/>
        <v>1.2857142857142858</v>
      </c>
    </row>
    <row r="850" spans="1:11" hidden="1" x14ac:dyDescent="0.35">
      <c r="A850" s="33">
        <v>30010902</v>
      </c>
      <c r="B850" s="36" t="s">
        <v>1522</v>
      </c>
      <c r="C850" s="37" t="s">
        <v>86</v>
      </c>
      <c r="D850" s="38"/>
      <c r="E850" s="38" t="s">
        <v>68</v>
      </c>
      <c r="F850" s="37">
        <v>12</v>
      </c>
      <c r="G850" s="37">
        <v>12</v>
      </c>
      <c r="H850" s="37">
        <v>23</v>
      </c>
      <c r="I850" s="37" t="s">
        <v>8</v>
      </c>
      <c r="J850" s="37" t="s">
        <v>9</v>
      </c>
      <c r="K850" s="62">
        <f t="shared" si="13"/>
        <v>0.95833333333333337</v>
      </c>
    </row>
    <row r="851" spans="1:11" hidden="1" x14ac:dyDescent="0.35">
      <c r="A851" s="33">
        <v>30010905</v>
      </c>
      <c r="B851" s="36" t="s">
        <v>555</v>
      </c>
      <c r="C851" s="37" t="s">
        <v>86</v>
      </c>
      <c r="D851" s="38"/>
      <c r="E851" s="38" t="s">
        <v>68</v>
      </c>
      <c r="F851" s="37">
        <v>12</v>
      </c>
      <c r="G851" s="37">
        <v>4</v>
      </c>
      <c r="H851" s="37">
        <v>17</v>
      </c>
      <c r="I851" s="37" t="s">
        <v>8</v>
      </c>
      <c r="J851" s="37" t="s">
        <v>14</v>
      </c>
      <c r="K851" s="62">
        <f t="shared" si="13"/>
        <v>1.0625</v>
      </c>
    </row>
    <row r="852" spans="1:11" hidden="1" x14ac:dyDescent="0.35">
      <c r="A852" s="33">
        <v>30010908</v>
      </c>
      <c r="B852" s="36" t="s">
        <v>1457</v>
      </c>
      <c r="C852" s="37" t="s">
        <v>86</v>
      </c>
      <c r="D852" s="38"/>
      <c r="E852" s="38" t="s">
        <v>68</v>
      </c>
      <c r="F852" s="37">
        <v>4</v>
      </c>
      <c r="G852" s="37">
        <v>2</v>
      </c>
      <c r="H852" s="37">
        <v>9</v>
      </c>
      <c r="I852" s="37" t="s">
        <v>8</v>
      </c>
      <c r="J852" s="37" t="s">
        <v>14</v>
      </c>
      <c r="K852" s="62">
        <f t="shared" si="13"/>
        <v>1.5</v>
      </c>
    </row>
    <row r="853" spans="1:11" hidden="1" x14ac:dyDescent="0.35">
      <c r="A853" s="33">
        <v>30010915</v>
      </c>
      <c r="B853" s="36" t="s">
        <v>1083</v>
      </c>
      <c r="C853" s="37" t="s">
        <v>86</v>
      </c>
      <c r="D853" s="38"/>
      <c r="E853" s="38" t="s">
        <v>68</v>
      </c>
      <c r="F853" s="37">
        <v>30</v>
      </c>
      <c r="G853" s="37">
        <v>30</v>
      </c>
      <c r="H853" s="37">
        <v>37</v>
      </c>
      <c r="I853" s="37" t="s">
        <v>8</v>
      </c>
      <c r="J853" s="37" t="s">
        <v>7</v>
      </c>
      <c r="K853" s="62">
        <f t="shared" si="13"/>
        <v>0.6166666666666667</v>
      </c>
    </row>
    <row r="854" spans="1:11" hidden="1" x14ac:dyDescent="0.35">
      <c r="A854" s="33">
        <v>30010919</v>
      </c>
      <c r="B854" s="36" t="s">
        <v>1458</v>
      </c>
      <c r="C854" s="37" t="s">
        <v>86</v>
      </c>
      <c r="D854" s="38"/>
      <c r="E854" s="38" t="s">
        <v>68</v>
      </c>
      <c r="F854" s="37">
        <v>9</v>
      </c>
      <c r="G854" s="37">
        <v>3</v>
      </c>
      <c r="H854" s="37">
        <v>16</v>
      </c>
      <c r="I854" s="37" t="s">
        <v>8</v>
      </c>
      <c r="J854" s="37" t="s">
        <v>14</v>
      </c>
      <c r="K854" s="62">
        <f t="shared" si="13"/>
        <v>1.3333333333333333</v>
      </c>
    </row>
    <row r="855" spans="1:11" hidden="1" x14ac:dyDescent="0.35">
      <c r="A855" s="33">
        <v>30010929</v>
      </c>
      <c r="B855" s="36" t="s">
        <v>556</v>
      </c>
      <c r="C855" s="37" t="s">
        <v>86</v>
      </c>
      <c r="D855" s="38"/>
      <c r="E855" s="38" t="s">
        <v>68</v>
      </c>
      <c r="F855" s="37">
        <v>35</v>
      </c>
      <c r="G855" s="37">
        <v>15</v>
      </c>
      <c r="H855" s="37">
        <v>61</v>
      </c>
      <c r="I855" s="37" t="s">
        <v>8</v>
      </c>
      <c r="J855" s="37" t="s">
        <v>14</v>
      </c>
      <c r="K855" s="62">
        <f t="shared" si="13"/>
        <v>1.22</v>
      </c>
    </row>
    <row r="856" spans="1:11" hidden="1" x14ac:dyDescent="0.35">
      <c r="A856" s="33">
        <v>30010930</v>
      </c>
      <c r="B856" s="36" t="s">
        <v>1459</v>
      </c>
      <c r="C856" s="37" t="s">
        <v>86</v>
      </c>
      <c r="D856" s="38"/>
      <c r="E856" s="38" t="s">
        <v>68</v>
      </c>
      <c r="F856" s="37">
        <v>6</v>
      </c>
      <c r="G856" s="37">
        <v>2</v>
      </c>
      <c r="H856" s="37">
        <v>8</v>
      </c>
      <c r="I856" s="37" t="s">
        <v>8</v>
      </c>
      <c r="J856" s="37" t="s">
        <v>7</v>
      </c>
      <c r="K856" s="62">
        <f t="shared" si="13"/>
        <v>1</v>
      </c>
    </row>
    <row r="857" spans="1:11" hidden="1" x14ac:dyDescent="0.35">
      <c r="A857" s="33">
        <v>30010931</v>
      </c>
      <c r="B857" s="36" t="s">
        <v>557</v>
      </c>
      <c r="C857" s="37" t="s">
        <v>86</v>
      </c>
      <c r="D857" s="38"/>
      <c r="E857" s="38" t="s">
        <v>68</v>
      </c>
      <c r="F857" s="37">
        <v>15</v>
      </c>
      <c r="G857" s="37">
        <v>10</v>
      </c>
      <c r="H857" s="37">
        <v>21</v>
      </c>
      <c r="I857" s="37" t="s">
        <v>8</v>
      </c>
      <c r="J857" s="37" t="s">
        <v>9</v>
      </c>
      <c r="K857" s="62">
        <f t="shared" si="13"/>
        <v>0.84</v>
      </c>
    </row>
    <row r="858" spans="1:11" hidden="1" x14ac:dyDescent="0.35">
      <c r="A858" s="33">
        <v>30010933</v>
      </c>
      <c r="B858" s="36" t="s">
        <v>558</v>
      </c>
      <c r="C858" s="37" t="s">
        <v>86</v>
      </c>
      <c r="D858" s="38"/>
      <c r="E858" s="38" t="s">
        <v>68</v>
      </c>
      <c r="F858" s="37">
        <v>20</v>
      </c>
      <c r="G858" s="37">
        <v>6</v>
      </c>
      <c r="H858" s="37">
        <v>25</v>
      </c>
      <c r="I858" s="37" t="s">
        <v>8</v>
      </c>
      <c r="J858" s="37" t="s">
        <v>14</v>
      </c>
      <c r="K858" s="62">
        <f t="shared" si="13"/>
        <v>0.96153846153846156</v>
      </c>
    </row>
    <row r="859" spans="1:11" hidden="1" x14ac:dyDescent="0.35">
      <c r="A859" s="33">
        <v>30010934</v>
      </c>
      <c r="B859" s="36" t="s">
        <v>559</v>
      </c>
      <c r="C859" s="37" t="s">
        <v>86</v>
      </c>
      <c r="D859" s="38"/>
      <c r="E859" s="38" t="s">
        <v>68</v>
      </c>
      <c r="F859" s="37">
        <v>12</v>
      </c>
      <c r="G859" s="37">
        <v>4</v>
      </c>
      <c r="H859" s="37">
        <v>13</v>
      </c>
      <c r="I859" s="37" t="s">
        <v>8</v>
      </c>
      <c r="J859" s="37" t="s">
        <v>7</v>
      </c>
      <c r="K859" s="62">
        <f t="shared" si="13"/>
        <v>0.8125</v>
      </c>
    </row>
    <row r="860" spans="1:11" hidden="1" x14ac:dyDescent="0.35">
      <c r="A860" s="33">
        <v>30010935</v>
      </c>
      <c r="B860" s="36" t="s">
        <v>560</v>
      </c>
      <c r="C860" s="37" t="s">
        <v>86</v>
      </c>
      <c r="D860" s="38"/>
      <c r="E860" s="38" t="s">
        <v>68</v>
      </c>
      <c r="F860" s="37">
        <v>8</v>
      </c>
      <c r="G860" s="37">
        <v>10</v>
      </c>
      <c r="H860" s="37">
        <v>10</v>
      </c>
      <c r="I860" s="37" t="s">
        <v>8</v>
      </c>
      <c r="J860" s="37" t="s">
        <v>7</v>
      </c>
      <c r="K860" s="62">
        <f t="shared" si="13"/>
        <v>0.55555555555555558</v>
      </c>
    </row>
    <row r="861" spans="1:11" x14ac:dyDescent="0.35">
      <c r="A861" s="33">
        <v>30010938</v>
      </c>
      <c r="B861" s="36" t="s">
        <v>561</v>
      </c>
      <c r="C861" s="37" t="s">
        <v>86</v>
      </c>
      <c r="D861" s="38"/>
      <c r="E861" s="38" t="s">
        <v>68</v>
      </c>
      <c r="F861" s="37">
        <v>2</v>
      </c>
      <c r="G861" s="37">
        <v>4</v>
      </c>
      <c r="H861" s="37">
        <v>42</v>
      </c>
      <c r="I861" s="37" t="s">
        <v>8</v>
      </c>
      <c r="J861" s="37" t="s">
        <v>14</v>
      </c>
      <c r="K861" s="62">
        <f t="shared" si="13"/>
        <v>7</v>
      </c>
    </row>
    <row r="862" spans="1:11" hidden="1" x14ac:dyDescent="0.35">
      <c r="A862" s="33">
        <v>30010939</v>
      </c>
      <c r="B862" s="36" t="s">
        <v>562</v>
      </c>
      <c r="C862" s="37" t="s">
        <v>86</v>
      </c>
      <c r="D862" s="38"/>
      <c r="E862" s="38" t="s">
        <v>68</v>
      </c>
      <c r="F862" s="37">
        <v>28</v>
      </c>
      <c r="G862" s="37">
        <v>10</v>
      </c>
      <c r="H862" s="37">
        <v>30</v>
      </c>
      <c r="I862" s="37" t="s">
        <v>8</v>
      </c>
      <c r="J862" s="37" t="s">
        <v>7</v>
      </c>
      <c r="K862" s="62">
        <f t="shared" si="13"/>
        <v>0.78947368421052633</v>
      </c>
    </row>
    <row r="863" spans="1:11" hidden="1" x14ac:dyDescent="0.35">
      <c r="A863" s="33">
        <v>30010940</v>
      </c>
      <c r="B863" s="36" t="s">
        <v>563</v>
      </c>
      <c r="C863" s="37" t="s">
        <v>86</v>
      </c>
      <c r="D863" s="38"/>
      <c r="E863" s="38" t="s">
        <v>68</v>
      </c>
      <c r="F863" s="37">
        <v>4</v>
      </c>
      <c r="G863" s="37">
        <v>8</v>
      </c>
      <c r="H863" s="37">
        <v>36</v>
      </c>
      <c r="I863" s="37" t="s">
        <v>8</v>
      </c>
      <c r="J863" s="37" t="s">
        <v>14</v>
      </c>
      <c r="K863" s="62">
        <f t="shared" si="13"/>
        <v>3</v>
      </c>
    </row>
    <row r="864" spans="1:11" hidden="1" x14ac:dyDescent="0.35">
      <c r="A864" s="33">
        <v>30010941</v>
      </c>
      <c r="B864" s="36" t="s">
        <v>564</v>
      </c>
      <c r="C864" s="37" t="s">
        <v>86</v>
      </c>
      <c r="D864" s="38"/>
      <c r="E864" s="38" t="s">
        <v>68</v>
      </c>
      <c r="F864" s="37">
        <v>10</v>
      </c>
      <c r="G864" s="37">
        <v>15</v>
      </c>
      <c r="H864" s="37">
        <v>42</v>
      </c>
      <c r="I864" s="37" t="s">
        <v>8</v>
      </c>
      <c r="J864" s="37" t="s">
        <v>14</v>
      </c>
      <c r="K864" s="62">
        <f t="shared" si="13"/>
        <v>1.68</v>
      </c>
    </row>
    <row r="865" spans="1:11" hidden="1" x14ac:dyDescent="0.35">
      <c r="A865" s="33">
        <v>30010942</v>
      </c>
      <c r="B865" s="36" t="s">
        <v>565</v>
      </c>
      <c r="C865" s="37" t="s">
        <v>86</v>
      </c>
      <c r="D865" s="38"/>
      <c r="E865" s="38" t="s">
        <v>68</v>
      </c>
      <c r="F865" s="37">
        <v>30</v>
      </c>
      <c r="G865" s="37">
        <v>10</v>
      </c>
      <c r="H865" s="37">
        <v>34</v>
      </c>
      <c r="I865" s="37" t="s">
        <v>8</v>
      </c>
      <c r="J865" s="37" t="s">
        <v>14</v>
      </c>
      <c r="K865" s="62">
        <f t="shared" si="13"/>
        <v>0.85</v>
      </c>
    </row>
    <row r="866" spans="1:11" hidden="1" x14ac:dyDescent="0.35">
      <c r="A866" s="33">
        <v>30010944</v>
      </c>
      <c r="B866" s="36" t="s">
        <v>1460</v>
      </c>
      <c r="C866" s="37" t="s">
        <v>86</v>
      </c>
      <c r="D866" s="38"/>
      <c r="E866" s="38" t="s">
        <v>68</v>
      </c>
      <c r="F866" s="37">
        <v>5</v>
      </c>
      <c r="G866" s="37">
        <v>2</v>
      </c>
      <c r="H866" s="37">
        <v>3</v>
      </c>
      <c r="I866" s="37" t="s">
        <v>8</v>
      </c>
      <c r="J866" s="37" t="s">
        <v>7</v>
      </c>
      <c r="K866" s="62">
        <f t="shared" si="13"/>
        <v>0.42857142857142855</v>
      </c>
    </row>
    <row r="867" spans="1:11" hidden="1" x14ac:dyDescent="0.35">
      <c r="A867" s="33">
        <v>30010949</v>
      </c>
      <c r="B867" s="36" t="s">
        <v>566</v>
      </c>
      <c r="C867" s="37" t="s">
        <v>86</v>
      </c>
      <c r="D867" s="38"/>
      <c r="E867" s="38" t="s">
        <v>68</v>
      </c>
      <c r="F867" s="37">
        <v>10</v>
      </c>
      <c r="G867" s="37">
        <v>15</v>
      </c>
      <c r="H867" s="37">
        <v>19</v>
      </c>
      <c r="I867" s="37" t="s">
        <v>8</v>
      </c>
      <c r="J867" s="37" t="s">
        <v>7</v>
      </c>
      <c r="K867" s="62">
        <f t="shared" si="13"/>
        <v>0.76</v>
      </c>
    </row>
    <row r="868" spans="1:11" hidden="1" x14ac:dyDescent="0.35">
      <c r="A868" s="33">
        <v>30010955</v>
      </c>
      <c r="B868" s="36" t="s">
        <v>1461</v>
      </c>
      <c r="C868" s="37" t="s">
        <v>86</v>
      </c>
      <c r="D868" s="38"/>
      <c r="E868" s="38" t="s">
        <v>68</v>
      </c>
      <c r="F868" s="37">
        <v>4</v>
      </c>
      <c r="G868" s="37">
        <v>2</v>
      </c>
      <c r="H868" s="37">
        <v>0</v>
      </c>
      <c r="I868" s="37" t="s">
        <v>8</v>
      </c>
      <c r="J868" s="37" t="s">
        <v>13</v>
      </c>
      <c r="K868" s="62">
        <f t="shared" si="13"/>
        <v>0</v>
      </c>
    </row>
    <row r="869" spans="1:11" hidden="1" x14ac:dyDescent="0.35">
      <c r="A869" s="33">
        <v>30010966</v>
      </c>
      <c r="B869" s="36" t="s">
        <v>1462</v>
      </c>
      <c r="C869" s="37" t="s">
        <v>86</v>
      </c>
      <c r="D869" s="38"/>
      <c r="E869" s="38" t="s">
        <v>68</v>
      </c>
      <c r="F869" s="37">
        <v>13</v>
      </c>
      <c r="G869" s="37">
        <v>15</v>
      </c>
      <c r="H869" s="37">
        <v>19</v>
      </c>
      <c r="I869" s="37" t="s">
        <v>8</v>
      </c>
      <c r="J869" s="37" t="s">
        <v>9</v>
      </c>
      <c r="K869" s="62">
        <f t="shared" si="13"/>
        <v>0.6785714285714286</v>
      </c>
    </row>
    <row r="870" spans="1:11" hidden="1" x14ac:dyDescent="0.35">
      <c r="A870" s="33">
        <v>30010968</v>
      </c>
      <c r="B870" s="36" t="s">
        <v>1463</v>
      </c>
      <c r="C870" s="37" t="s">
        <v>86</v>
      </c>
      <c r="D870" s="38"/>
      <c r="E870" s="38" t="s">
        <v>68</v>
      </c>
      <c r="F870" s="37">
        <v>10</v>
      </c>
      <c r="G870" s="37">
        <v>4</v>
      </c>
      <c r="H870" s="37">
        <v>10</v>
      </c>
      <c r="I870" s="37" t="s">
        <v>8</v>
      </c>
      <c r="J870" s="37" t="s">
        <v>7</v>
      </c>
      <c r="K870" s="62">
        <f t="shared" si="13"/>
        <v>0.7142857142857143</v>
      </c>
    </row>
    <row r="871" spans="1:11" hidden="1" x14ac:dyDescent="0.35">
      <c r="A871" s="33">
        <v>30010971</v>
      </c>
      <c r="B871" s="36" t="s">
        <v>1464</v>
      </c>
      <c r="C871" s="37" t="s">
        <v>86</v>
      </c>
      <c r="D871" s="38"/>
      <c r="E871" s="38" t="s">
        <v>68</v>
      </c>
      <c r="F871" s="37">
        <v>10</v>
      </c>
      <c r="G871" s="37">
        <v>10</v>
      </c>
      <c r="H871" s="37">
        <v>10</v>
      </c>
      <c r="I871" s="37" t="s">
        <v>8</v>
      </c>
      <c r="J871" s="37" t="s">
        <v>7</v>
      </c>
      <c r="K871" s="62">
        <f t="shared" si="13"/>
        <v>0.5</v>
      </c>
    </row>
    <row r="872" spans="1:11" hidden="1" x14ac:dyDescent="0.35">
      <c r="A872" s="33">
        <v>30010974</v>
      </c>
      <c r="B872" s="36" t="s">
        <v>1084</v>
      </c>
      <c r="C872" s="37" t="s">
        <v>86</v>
      </c>
      <c r="D872" s="38"/>
      <c r="E872" s="38" t="s">
        <v>68</v>
      </c>
      <c r="F872" s="37">
        <v>30</v>
      </c>
      <c r="G872" s="37">
        <v>30</v>
      </c>
      <c r="H872" s="37">
        <v>32</v>
      </c>
      <c r="I872" s="37" t="s">
        <v>8</v>
      </c>
      <c r="J872" s="37" t="s">
        <v>7</v>
      </c>
      <c r="K872" s="62">
        <f t="shared" si="13"/>
        <v>0.53333333333333333</v>
      </c>
    </row>
    <row r="873" spans="1:11" hidden="1" x14ac:dyDescent="0.35">
      <c r="A873" s="33">
        <v>30010977</v>
      </c>
      <c r="B873" s="36" t="s">
        <v>1550</v>
      </c>
      <c r="C873" s="37" t="s">
        <v>86</v>
      </c>
      <c r="D873" s="38"/>
      <c r="E873" s="38" t="s">
        <v>68</v>
      </c>
      <c r="F873" s="37">
        <v>6</v>
      </c>
      <c r="G873" s="37">
        <v>6</v>
      </c>
      <c r="H873" s="37">
        <v>31</v>
      </c>
      <c r="I873" s="37" t="s">
        <v>8</v>
      </c>
      <c r="J873" s="37" t="s">
        <v>14</v>
      </c>
      <c r="K873" s="62">
        <f t="shared" si="13"/>
        <v>2.5833333333333335</v>
      </c>
    </row>
    <row r="874" spans="1:11" hidden="1" x14ac:dyDescent="0.35">
      <c r="A874" s="33">
        <v>30010982</v>
      </c>
      <c r="B874" s="36" t="s">
        <v>567</v>
      </c>
      <c r="C874" s="37" t="s">
        <v>86</v>
      </c>
      <c r="D874" s="38"/>
      <c r="E874" s="38" t="s">
        <v>68</v>
      </c>
      <c r="F874" s="37">
        <v>20</v>
      </c>
      <c r="G874" s="37">
        <v>50</v>
      </c>
      <c r="H874" s="37">
        <v>39</v>
      </c>
      <c r="I874" s="37" t="s">
        <v>8</v>
      </c>
      <c r="J874" s="37" t="s">
        <v>7</v>
      </c>
      <c r="K874" s="62">
        <f t="shared" si="13"/>
        <v>0.55714285714285716</v>
      </c>
    </row>
    <row r="875" spans="1:11" hidden="1" x14ac:dyDescent="0.35">
      <c r="A875" s="33">
        <v>30010984</v>
      </c>
      <c r="B875" s="36" t="s">
        <v>1553</v>
      </c>
      <c r="C875" s="37" t="s">
        <v>86</v>
      </c>
      <c r="D875" s="38"/>
      <c r="E875" s="38" t="s">
        <v>68</v>
      </c>
      <c r="F875" s="37">
        <v>2</v>
      </c>
      <c r="G875" s="37">
        <v>2</v>
      </c>
      <c r="H875" s="37">
        <v>2</v>
      </c>
      <c r="I875" s="37" t="s">
        <v>8</v>
      </c>
      <c r="J875" s="37" t="s">
        <v>7</v>
      </c>
      <c r="K875" s="62">
        <f t="shared" si="13"/>
        <v>0.5</v>
      </c>
    </row>
    <row r="876" spans="1:11" hidden="1" x14ac:dyDescent="0.35">
      <c r="A876" s="33">
        <v>30010985</v>
      </c>
      <c r="B876" s="36" t="s">
        <v>1395</v>
      </c>
      <c r="C876" s="37" t="s">
        <v>86</v>
      </c>
      <c r="D876" s="38"/>
      <c r="E876" s="38" t="s">
        <v>68</v>
      </c>
      <c r="F876" s="37">
        <v>10</v>
      </c>
      <c r="G876" s="37">
        <v>30</v>
      </c>
      <c r="H876" s="37">
        <v>24</v>
      </c>
      <c r="I876" s="37" t="s">
        <v>8</v>
      </c>
      <c r="J876" s="37" t="s">
        <v>7</v>
      </c>
      <c r="K876" s="62">
        <f t="shared" si="13"/>
        <v>0.6</v>
      </c>
    </row>
    <row r="877" spans="1:11" hidden="1" x14ac:dyDescent="0.35">
      <c r="A877" s="33">
        <v>30010989</v>
      </c>
      <c r="B877" s="36" t="s">
        <v>1465</v>
      </c>
      <c r="C877" s="37" t="s">
        <v>86</v>
      </c>
      <c r="D877" s="38"/>
      <c r="E877" s="38" t="s">
        <v>68</v>
      </c>
      <c r="F877" s="37">
        <v>5</v>
      </c>
      <c r="G877" s="37">
        <v>2</v>
      </c>
      <c r="H877" s="37">
        <v>14</v>
      </c>
      <c r="I877" s="37" t="s">
        <v>8</v>
      </c>
      <c r="J877" s="37" t="s">
        <v>14</v>
      </c>
      <c r="K877" s="62">
        <f t="shared" si="13"/>
        <v>2</v>
      </c>
    </row>
    <row r="878" spans="1:11" hidden="1" x14ac:dyDescent="0.35">
      <c r="A878" s="33">
        <v>30011129</v>
      </c>
      <c r="B878" s="36" t="s">
        <v>1288</v>
      </c>
      <c r="C878" s="37" t="s">
        <v>86</v>
      </c>
      <c r="D878" s="38"/>
      <c r="E878" s="38" t="s">
        <v>68</v>
      </c>
      <c r="F878" s="37">
        <v>5</v>
      </c>
      <c r="G878" s="37">
        <v>5</v>
      </c>
      <c r="H878" s="37">
        <v>14</v>
      </c>
      <c r="I878" s="37" t="s">
        <v>8</v>
      </c>
      <c r="J878" s="37" t="s">
        <v>14</v>
      </c>
      <c r="K878" s="62">
        <f t="shared" si="13"/>
        <v>1.4</v>
      </c>
    </row>
    <row r="879" spans="1:11" hidden="1" x14ac:dyDescent="0.35">
      <c r="A879" s="33">
        <v>30011130</v>
      </c>
      <c r="B879" s="36" t="s">
        <v>1309</v>
      </c>
      <c r="C879" s="37" t="s">
        <v>86</v>
      </c>
      <c r="D879" s="38"/>
      <c r="E879" s="38" t="s">
        <v>68</v>
      </c>
      <c r="F879" s="37">
        <v>5</v>
      </c>
      <c r="G879" s="37">
        <v>15</v>
      </c>
      <c r="H879" s="37">
        <v>15</v>
      </c>
      <c r="I879" s="37" t="s">
        <v>8</v>
      </c>
      <c r="J879" s="37" t="s">
        <v>7</v>
      </c>
      <c r="K879" s="62">
        <f t="shared" si="13"/>
        <v>0.75</v>
      </c>
    </row>
    <row r="880" spans="1:11" hidden="1" x14ac:dyDescent="0.35">
      <c r="A880" s="33">
        <v>30011131</v>
      </c>
      <c r="B880" s="36" t="s">
        <v>1333</v>
      </c>
      <c r="C880" s="37" t="s">
        <v>86</v>
      </c>
      <c r="D880" s="38"/>
      <c r="E880" s="38" t="s">
        <v>68</v>
      </c>
      <c r="F880" s="37">
        <v>5</v>
      </c>
      <c r="G880" s="37">
        <v>10</v>
      </c>
      <c r="H880" s="37">
        <v>10</v>
      </c>
      <c r="I880" s="37" t="s">
        <v>8</v>
      </c>
      <c r="J880" s="37" t="s">
        <v>7</v>
      </c>
      <c r="K880" s="62">
        <f t="shared" si="13"/>
        <v>0.66666666666666663</v>
      </c>
    </row>
    <row r="881" spans="1:11" hidden="1" x14ac:dyDescent="0.35">
      <c r="A881" s="33">
        <v>30011261</v>
      </c>
      <c r="B881" s="36" t="s">
        <v>1310</v>
      </c>
      <c r="C881" s="37" t="s">
        <v>86</v>
      </c>
      <c r="D881" s="38"/>
      <c r="E881" s="38" t="s">
        <v>68</v>
      </c>
      <c r="F881" s="37">
        <v>2</v>
      </c>
      <c r="G881" s="37">
        <v>2</v>
      </c>
      <c r="H881" s="37">
        <v>3</v>
      </c>
      <c r="I881" s="37" t="s">
        <v>8</v>
      </c>
      <c r="J881" s="37" t="s">
        <v>7</v>
      </c>
      <c r="K881" s="62">
        <f t="shared" si="13"/>
        <v>0.75</v>
      </c>
    </row>
    <row r="882" spans="1:11" hidden="1" x14ac:dyDescent="0.35">
      <c r="A882" s="33">
        <v>30011572</v>
      </c>
      <c r="B882" s="36" t="s">
        <v>568</v>
      </c>
      <c r="C882" s="37" t="s">
        <v>86</v>
      </c>
      <c r="D882" s="38"/>
      <c r="E882" s="38" t="s">
        <v>102</v>
      </c>
      <c r="F882" s="37">
        <v>5</v>
      </c>
      <c r="G882" s="37">
        <v>4</v>
      </c>
      <c r="H882" s="37">
        <v>7</v>
      </c>
      <c r="I882" s="37" t="s">
        <v>8</v>
      </c>
      <c r="J882" s="37" t="s">
        <v>7</v>
      </c>
      <c r="K882" s="62">
        <f t="shared" si="13"/>
        <v>0.77777777777777779</v>
      </c>
    </row>
    <row r="883" spans="1:11" hidden="1" x14ac:dyDescent="0.35">
      <c r="A883" s="33">
        <v>30011756</v>
      </c>
      <c r="B883" s="36" t="s">
        <v>1050</v>
      </c>
      <c r="C883" s="37" t="s">
        <v>86</v>
      </c>
      <c r="D883" s="38" t="s">
        <v>1225</v>
      </c>
      <c r="E883" s="38" t="s">
        <v>102</v>
      </c>
      <c r="F883" s="37">
        <v>5</v>
      </c>
      <c r="G883" s="37">
        <v>4</v>
      </c>
      <c r="H883" s="37">
        <v>9</v>
      </c>
      <c r="I883" s="37" t="s">
        <v>8</v>
      </c>
      <c r="J883" s="37" t="s">
        <v>7</v>
      </c>
      <c r="K883" s="62">
        <f t="shared" si="13"/>
        <v>1</v>
      </c>
    </row>
    <row r="884" spans="1:11" hidden="1" x14ac:dyDescent="0.35">
      <c r="A884" s="33">
        <v>30012032</v>
      </c>
      <c r="B884" s="36" t="s">
        <v>1369</v>
      </c>
      <c r="C884" s="37" t="s">
        <v>86</v>
      </c>
      <c r="D884" s="38"/>
      <c r="E884" s="38" t="s">
        <v>68</v>
      </c>
      <c r="F884" s="37">
        <v>3</v>
      </c>
      <c r="G884" s="37">
        <v>6</v>
      </c>
      <c r="H884" s="37">
        <v>8</v>
      </c>
      <c r="I884" s="37" t="s">
        <v>8</v>
      </c>
      <c r="J884" s="37" t="s">
        <v>9</v>
      </c>
      <c r="K884" s="62">
        <f t="shared" si="13"/>
        <v>0.88888888888888884</v>
      </c>
    </row>
    <row r="885" spans="1:11" hidden="1" x14ac:dyDescent="0.35">
      <c r="A885" s="33">
        <v>30012569</v>
      </c>
      <c r="B885" s="36" t="s">
        <v>569</v>
      </c>
      <c r="C885" s="37" t="s">
        <v>86</v>
      </c>
      <c r="D885" s="38"/>
      <c r="E885" s="38" t="s">
        <v>68</v>
      </c>
      <c r="F885" s="37">
        <v>100</v>
      </c>
      <c r="G885" s="37">
        <v>300</v>
      </c>
      <c r="H885" s="37">
        <v>1</v>
      </c>
      <c r="I885" s="37" t="s">
        <v>8</v>
      </c>
      <c r="J885" s="37" t="s">
        <v>9</v>
      </c>
      <c r="K885" s="62">
        <f t="shared" si="13"/>
        <v>2.5000000000000001E-3</v>
      </c>
    </row>
    <row r="886" spans="1:11" hidden="1" x14ac:dyDescent="0.35">
      <c r="A886" s="33">
        <v>30013011</v>
      </c>
      <c r="B886" s="36" t="s">
        <v>1504</v>
      </c>
      <c r="C886" s="37" t="s">
        <v>86</v>
      </c>
      <c r="D886" s="38"/>
      <c r="E886" s="38" t="s">
        <v>68</v>
      </c>
      <c r="F886" s="37">
        <v>4</v>
      </c>
      <c r="G886" s="37">
        <v>4</v>
      </c>
      <c r="H886" s="37">
        <v>4</v>
      </c>
      <c r="I886" s="37" t="s">
        <v>8</v>
      </c>
      <c r="J886" s="37" t="s">
        <v>7</v>
      </c>
      <c r="K886" s="62">
        <f t="shared" si="13"/>
        <v>0.5</v>
      </c>
    </row>
    <row r="887" spans="1:11" hidden="1" x14ac:dyDescent="0.35">
      <c r="A887" s="33">
        <v>30013936</v>
      </c>
      <c r="B887" s="36" t="s">
        <v>884</v>
      </c>
      <c r="C887" s="37" t="s">
        <v>86</v>
      </c>
      <c r="D887" s="38"/>
      <c r="E887" s="38" t="s">
        <v>102</v>
      </c>
      <c r="F887" s="37">
        <v>1</v>
      </c>
      <c r="G887" s="37">
        <v>2</v>
      </c>
      <c r="H887" s="37">
        <v>3</v>
      </c>
      <c r="I887" s="37" t="s">
        <v>8</v>
      </c>
      <c r="J887" s="37" t="s">
        <v>7</v>
      </c>
      <c r="K887" s="62">
        <f t="shared" si="13"/>
        <v>1</v>
      </c>
    </row>
    <row r="888" spans="1:11" hidden="1" x14ac:dyDescent="0.35">
      <c r="A888" s="33">
        <v>30014008</v>
      </c>
      <c r="B888" s="36" t="s">
        <v>570</v>
      </c>
      <c r="C888" s="37" t="s">
        <v>86</v>
      </c>
      <c r="D888" s="38"/>
      <c r="E888" s="38" t="s">
        <v>68</v>
      </c>
      <c r="F888" s="37">
        <v>6</v>
      </c>
      <c r="G888" s="37">
        <v>10</v>
      </c>
      <c r="H888" s="37">
        <v>21</v>
      </c>
      <c r="I888" s="37" t="s">
        <v>8</v>
      </c>
      <c r="J888" s="37" t="s">
        <v>14</v>
      </c>
      <c r="K888" s="62">
        <f t="shared" si="13"/>
        <v>1.3125</v>
      </c>
    </row>
    <row r="889" spans="1:11" hidden="1" x14ac:dyDescent="0.35">
      <c r="A889" s="33">
        <v>30014442</v>
      </c>
      <c r="B889" s="36" t="s">
        <v>571</v>
      </c>
      <c r="C889" s="37" t="s">
        <v>86</v>
      </c>
      <c r="D889" s="38"/>
      <c r="E889" s="38" t="s">
        <v>68</v>
      </c>
      <c r="F889" s="37">
        <v>2</v>
      </c>
      <c r="G889" s="37">
        <v>2</v>
      </c>
      <c r="H889" s="37">
        <v>3</v>
      </c>
      <c r="I889" s="37" t="s">
        <v>8</v>
      </c>
      <c r="J889" s="37" t="s">
        <v>7</v>
      </c>
      <c r="K889" s="62">
        <f t="shared" si="13"/>
        <v>0.75</v>
      </c>
    </row>
    <row r="890" spans="1:11" hidden="1" x14ac:dyDescent="0.35">
      <c r="A890" s="33">
        <v>30014899</v>
      </c>
      <c r="B890" s="36" t="s">
        <v>572</v>
      </c>
      <c r="C890" s="37" t="s">
        <v>86</v>
      </c>
      <c r="D890" s="38"/>
      <c r="E890" s="38" t="s">
        <v>68</v>
      </c>
      <c r="F890" s="37">
        <v>2</v>
      </c>
      <c r="G890" s="37">
        <v>2</v>
      </c>
      <c r="H890" s="37">
        <v>2</v>
      </c>
      <c r="I890" s="37" t="s">
        <v>8</v>
      </c>
      <c r="J890" s="37" t="s">
        <v>7</v>
      </c>
      <c r="K890" s="62">
        <f t="shared" si="13"/>
        <v>0.5</v>
      </c>
    </row>
    <row r="891" spans="1:11" hidden="1" x14ac:dyDescent="0.35">
      <c r="A891" s="33">
        <v>30015346</v>
      </c>
      <c r="B891" s="36" t="s">
        <v>1334</v>
      </c>
      <c r="C891" s="37" t="s">
        <v>86</v>
      </c>
      <c r="D891" s="38"/>
      <c r="E891" s="38" t="s">
        <v>68</v>
      </c>
      <c r="F891" s="37">
        <v>3</v>
      </c>
      <c r="G891" s="37">
        <v>6</v>
      </c>
      <c r="H891" s="37">
        <v>6</v>
      </c>
      <c r="I891" s="37" t="s">
        <v>8</v>
      </c>
      <c r="J891" s="37" t="s">
        <v>7</v>
      </c>
      <c r="K891" s="62">
        <f t="shared" si="13"/>
        <v>0.66666666666666663</v>
      </c>
    </row>
    <row r="892" spans="1:11" hidden="1" x14ac:dyDescent="0.35">
      <c r="A892" s="33">
        <v>30016730</v>
      </c>
      <c r="B892" s="36" t="s">
        <v>573</v>
      </c>
      <c r="C892" s="37" t="s">
        <v>86</v>
      </c>
      <c r="D892" s="38"/>
      <c r="E892" s="38" t="s">
        <v>68</v>
      </c>
      <c r="F892" s="37">
        <v>2</v>
      </c>
      <c r="G892" s="37">
        <v>1</v>
      </c>
      <c r="H892" s="37">
        <v>3</v>
      </c>
      <c r="I892" s="37" t="s">
        <v>8</v>
      </c>
      <c r="J892" s="37" t="s">
        <v>7</v>
      </c>
      <c r="K892" s="62">
        <f t="shared" si="13"/>
        <v>1</v>
      </c>
    </row>
    <row r="893" spans="1:11" hidden="1" x14ac:dyDescent="0.35">
      <c r="A893" s="33">
        <v>30016955</v>
      </c>
      <c r="B893" s="36" t="s">
        <v>885</v>
      </c>
      <c r="C893" s="37" t="s">
        <v>86</v>
      </c>
      <c r="D893" s="38" t="s">
        <v>1225</v>
      </c>
      <c r="E893" s="38" t="s">
        <v>102</v>
      </c>
      <c r="F893" s="37">
        <v>7</v>
      </c>
      <c r="G893" s="37">
        <v>6</v>
      </c>
      <c r="H893" s="37">
        <v>9</v>
      </c>
      <c r="I893" s="37" t="s">
        <v>8</v>
      </c>
      <c r="J893" s="37" t="s">
        <v>7</v>
      </c>
      <c r="K893" s="62">
        <f t="shared" si="13"/>
        <v>0.69230769230769229</v>
      </c>
    </row>
    <row r="894" spans="1:11" hidden="1" x14ac:dyDescent="0.35">
      <c r="A894" s="33">
        <v>30017121</v>
      </c>
      <c r="B894" s="36" t="s">
        <v>1145</v>
      </c>
      <c r="C894" s="37" t="s">
        <v>86</v>
      </c>
      <c r="D894" s="38" t="s">
        <v>1225</v>
      </c>
      <c r="E894" s="38" t="s">
        <v>102</v>
      </c>
      <c r="F894" s="37">
        <v>21</v>
      </c>
      <c r="G894" s="37">
        <v>20</v>
      </c>
      <c r="H894" s="37">
        <v>28</v>
      </c>
      <c r="I894" s="37" t="s">
        <v>8</v>
      </c>
      <c r="J894" s="37" t="s">
        <v>7</v>
      </c>
      <c r="K894" s="62">
        <f t="shared" si="13"/>
        <v>0.68292682926829273</v>
      </c>
    </row>
    <row r="895" spans="1:11" hidden="1" x14ac:dyDescent="0.35">
      <c r="A895" s="33">
        <v>30017146</v>
      </c>
      <c r="B895" s="36" t="s">
        <v>1146</v>
      </c>
      <c r="C895" s="37" t="s">
        <v>86</v>
      </c>
      <c r="D895" s="38"/>
      <c r="E895" s="38" t="s">
        <v>102</v>
      </c>
      <c r="F895" s="37">
        <v>3</v>
      </c>
      <c r="G895" s="37">
        <v>2</v>
      </c>
      <c r="H895" s="37">
        <v>21</v>
      </c>
      <c r="I895" s="37" t="s">
        <v>8</v>
      </c>
      <c r="J895" s="37" t="s">
        <v>14</v>
      </c>
      <c r="K895" s="62">
        <f t="shared" si="13"/>
        <v>4.2</v>
      </c>
    </row>
    <row r="896" spans="1:11" hidden="1" x14ac:dyDescent="0.35">
      <c r="A896" s="33">
        <v>30017155</v>
      </c>
      <c r="B896" s="36" t="s">
        <v>1147</v>
      </c>
      <c r="C896" s="37" t="s">
        <v>86</v>
      </c>
      <c r="D896" s="38"/>
      <c r="E896" s="38" t="s">
        <v>102</v>
      </c>
      <c r="F896" s="37">
        <v>3</v>
      </c>
      <c r="G896" s="37">
        <v>2</v>
      </c>
      <c r="H896" s="37">
        <v>6</v>
      </c>
      <c r="I896" s="37" t="s">
        <v>8</v>
      </c>
      <c r="J896" s="37" t="s">
        <v>14</v>
      </c>
      <c r="K896" s="62">
        <f t="shared" si="13"/>
        <v>1.2</v>
      </c>
    </row>
    <row r="897" spans="1:11" hidden="1" x14ac:dyDescent="0.35">
      <c r="A897" s="33">
        <v>30017156</v>
      </c>
      <c r="B897" s="36" t="s">
        <v>886</v>
      </c>
      <c r="C897" s="37" t="s">
        <v>86</v>
      </c>
      <c r="D897" s="38"/>
      <c r="E897" s="38" t="s">
        <v>102</v>
      </c>
      <c r="F897" s="37">
        <v>5</v>
      </c>
      <c r="G897" s="37">
        <v>4</v>
      </c>
      <c r="H897" s="37">
        <v>8</v>
      </c>
      <c r="I897" s="37" t="s">
        <v>8</v>
      </c>
      <c r="J897" s="37" t="s">
        <v>7</v>
      </c>
      <c r="K897" s="62">
        <f t="shared" si="13"/>
        <v>0.88888888888888884</v>
      </c>
    </row>
    <row r="898" spans="1:11" hidden="1" x14ac:dyDescent="0.35">
      <c r="A898" s="33">
        <v>30017165</v>
      </c>
      <c r="B898" s="36" t="s">
        <v>1148</v>
      </c>
      <c r="C898" s="37" t="s">
        <v>86</v>
      </c>
      <c r="D898" s="38"/>
      <c r="E898" s="38" t="s">
        <v>102</v>
      </c>
      <c r="F898" s="37">
        <v>3</v>
      </c>
      <c r="G898" s="37">
        <v>2</v>
      </c>
      <c r="H898" s="37">
        <v>14</v>
      </c>
      <c r="I898" s="37" t="s">
        <v>8</v>
      </c>
      <c r="J898" s="37" t="s">
        <v>14</v>
      </c>
      <c r="K898" s="62">
        <f t="shared" si="13"/>
        <v>2.8</v>
      </c>
    </row>
    <row r="899" spans="1:11" hidden="1" x14ac:dyDescent="0.35">
      <c r="A899" s="33">
        <v>30017166</v>
      </c>
      <c r="B899" s="36" t="s">
        <v>1149</v>
      </c>
      <c r="C899" s="37" t="s">
        <v>86</v>
      </c>
      <c r="D899" s="38"/>
      <c r="E899" s="38" t="s">
        <v>102</v>
      </c>
      <c r="F899" s="37">
        <v>25</v>
      </c>
      <c r="G899" s="37">
        <v>24</v>
      </c>
      <c r="H899" s="37">
        <v>29</v>
      </c>
      <c r="I899" s="37" t="s">
        <v>8</v>
      </c>
      <c r="J899" s="37" t="s">
        <v>7</v>
      </c>
      <c r="K899" s="62">
        <f t="shared" si="13"/>
        <v>0.59183673469387754</v>
      </c>
    </row>
    <row r="900" spans="1:11" hidden="1" x14ac:dyDescent="0.35">
      <c r="A900" s="33">
        <v>30017311</v>
      </c>
      <c r="B900" s="36" t="s">
        <v>1150</v>
      </c>
      <c r="C900" s="37" t="s">
        <v>86</v>
      </c>
      <c r="D900" s="38"/>
      <c r="E900" s="38" t="s">
        <v>102</v>
      </c>
      <c r="F900" s="37">
        <v>25</v>
      </c>
      <c r="G900" s="37">
        <v>24</v>
      </c>
      <c r="H900" s="37">
        <v>40</v>
      </c>
      <c r="I900" s="37" t="s">
        <v>8</v>
      </c>
      <c r="J900" s="37" t="s">
        <v>7</v>
      </c>
      <c r="K900" s="62">
        <f t="shared" si="13"/>
        <v>0.81632653061224492</v>
      </c>
    </row>
    <row r="901" spans="1:11" hidden="1" x14ac:dyDescent="0.35">
      <c r="A901" s="33">
        <v>30017315</v>
      </c>
      <c r="B901" s="36" t="s">
        <v>887</v>
      </c>
      <c r="C901" s="37" t="s">
        <v>86</v>
      </c>
      <c r="D901" s="38"/>
      <c r="E901" s="38" t="s">
        <v>102</v>
      </c>
      <c r="F901" s="37">
        <v>3</v>
      </c>
      <c r="G901" s="37">
        <v>2</v>
      </c>
      <c r="H901" s="37">
        <v>5</v>
      </c>
      <c r="I901" s="37" t="s">
        <v>8</v>
      </c>
      <c r="J901" s="37" t="s">
        <v>7</v>
      </c>
      <c r="K901" s="62">
        <f t="shared" si="13"/>
        <v>1</v>
      </c>
    </row>
    <row r="902" spans="1:11" hidden="1" x14ac:dyDescent="0.35">
      <c r="A902" s="33">
        <v>30017347</v>
      </c>
      <c r="B902" s="36" t="s">
        <v>1151</v>
      </c>
      <c r="C902" s="37" t="s">
        <v>86</v>
      </c>
      <c r="D902" s="38"/>
      <c r="E902" s="38" t="s">
        <v>102</v>
      </c>
      <c r="F902" s="37">
        <v>3</v>
      </c>
      <c r="G902" s="37">
        <v>2</v>
      </c>
      <c r="H902" s="37">
        <v>24</v>
      </c>
      <c r="I902" s="37" t="s">
        <v>8</v>
      </c>
      <c r="J902" s="37" t="s">
        <v>14</v>
      </c>
      <c r="K902" s="62">
        <f t="shared" si="13"/>
        <v>4.8</v>
      </c>
    </row>
    <row r="903" spans="1:11" hidden="1" x14ac:dyDescent="0.35">
      <c r="A903" s="33">
        <v>30017440</v>
      </c>
      <c r="B903" s="36" t="s">
        <v>574</v>
      </c>
      <c r="C903" s="37" t="s">
        <v>86</v>
      </c>
      <c r="D903" s="38"/>
      <c r="E903" s="38" t="s">
        <v>68</v>
      </c>
      <c r="F903" s="37">
        <v>4</v>
      </c>
      <c r="G903" s="37">
        <v>4</v>
      </c>
      <c r="H903" s="37">
        <v>4</v>
      </c>
      <c r="I903" s="37" t="s">
        <v>8</v>
      </c>
      <c r="J903" s="37" t="s">
        <v>7</v>
      </c>
      <c r="K903" s="62">
        <f t="shared" si="13"/>
        <v>0.5</v>
      </c>
    </row>
    <row r="904" spans="1:11" hidden="1" x14ac:dyDescent="0.35">
      <c r="A904" s="33">
        <v>30017563</v>
      </c>
      <c r="B904" s="36" t="s">
        <v>1152</v>
      </c>
      <c r="C904" s="37" t="s">
        <v>86</v>
      </c>
      <c r="D904" s="38"/>
      <c r="E904" s="38" t="s">
        <v>102</v>
      </c>
      <c r="F904" s="37">
        <v>25</v>
      </c>
      <c r="G904" s="37">
        <v>24</v>
      </c>
      <c r="H904" s="37">
        <v>36</v>
      </c>
      <c r="I904" s="37" t="s">
        <v>8</v>
      </c>
      <c r="J904" s="37" t="s">
        <v>7</v>
      </c>
      <c r="K904" s="62">
        <f t="shared" si="13"/>
        <v>0.73469387755102045</v>
      </c>
    </row>
    <row r="905" spans="1:11" hidden="1" x14ac:dyDescent="0.35">
      <c r="A905" s="33">
        <v>30017564</v>
      </c>
      <c r="B905" s="36" t="s">
        <v>847</v>
      </c>
      <c r="C905" s="37" t="s">
        <v>86</v>
      </c>
      <c r="D905" s="38"/>
      <c r="E905" s="38" t="s">
        <v>102</v>
      </c>
      <c r="F905" s="37">
        <v>1</v>
      </c>
      <c r="G905" s="37">
        <v>2</v>
      </c>
      <c r="H905" s="37">
        <v>1</v>
      </c>
      <c r="I905" s="37" t="s">
        <v>8</v>
      </c>
      <c r="J905" s="37" t="s">
        <v>7</v>
      </c>
      <c r="K905" s="62">
        <f t="shared" ref="K905:K968" si="14">H905/(F905+G905)</f>
        <v>0.33333333333333331</v>
      </c>
    </row>
    <row r="906" spans="1:11" hidden="1" x14ac:dyDescent="0.35">
      <c r="A906" s="33">
        <v>30017566</v>
      </c>
      <c r="B906" s="36" t="s">
        <v>888</v>
      </c>
      <c r="C906" s="37" t="s">
        <v>86</v>
      </c>
      <c r="D906" s="38"/>
      <c r="E906" s="38" t="s">
        <v>102</v>
      </c>
      <c r="F906" s="37">
        <v>2</v>
      </c>
      <c r="G906" s="37">
        <v>2</v>
      </c>
      <c r="H906" s="37">
        <v>5</v>
      </c>
      <c r="I906" s="37" t="s">
        <v>8</v>
      </c>
      <c r="J906" s="37" t="s">
        <v>14</v>
      </c>
      <c r="K906" s="62">
        <f t="shared" si="14"/>
        <v>1.25</v>
      </c>
    </row>
    <row r="907" spans="1:11" hidden="1" x14ac:dyDescent="0.35">
      <c r="A907" s="33">
        <v>30017580</v>
      </c>
      <c r="B907" s="36" t="s">
        <v>1153</v>
      </c>
      <c r="C907" s="37" t="s">
        <v>86</v>
      </c>
      <c r="D907" s="38"/>
      <c r="E907" s="38" t="s">
        <v>102</v>
      </c>
      <c r="F907" s="37">
        <v>3</v>
      </c>
      <c r="G907" s="37">
        <v>2</v>
      </c>
      <c r="H907" s="37">
        <v>10</v>
      </c>
      <c r="I907" s="37" t="s">
        <v>8</v>
      </c>
      <c r="J907" s="37" t="s">
        <v>14</v>
      </c>
      <c r="K907" s="62">
        <f t="shared" si="14"/>
        <v>2</v>
      </c>
    </row>
    <row r="908" spans="1:11" hidden="1" x14ac:dyDescent="0.35">
      <c r="A908" s="33">
        <v>30017646</v>
      </c>
      <c r="B908" s="36" t="s">
        <v>1311</v>
      </c>
      <c r="C908" s="37" t="s">
        <v>86</v>
      </c>
      <c r="D908" s="38"/>
      <c r="E908" s="38" t="s">
        <v>68</v>
      </c>
      <c r="F908" s="37">
        <v>4</v>
      </c>
      <c r="G908" s="37">
        <v>8</v>
      </c>
      <c r="H908" s="37">
        <v>10</v>
      </c>
      <c r="I908" s="37" t="s">
        <v>8</v>
      </c>
      <c r="J908" s="37" t="s">
        <v>7</v>
      </c>
      <c r="K908" s="62">
        <f t="shared" si="14"/>
        <v>0.83333333333333337</v>
      </c>
    </row>
    <row r="909" spans="1:11" hidden="1" x14ac:dyDescent="0.35">
      <c r="A909" s="33">
        <v>30017727</v>
      </c>
      <c r="B909" s="36" t="s">
        <v>848</v>
      </c>
      <c r="C909" s="37" t="s">
        <v>86</v>
      </c>
      <c r="D909" s="38"/>
      <c r="E909" s="38" t="s">
        <v>68</v>
      </c>
      <c r="F909" s="37">
        <v>2</v>
      </c>
      <c r="G909" s="37">
        <v>1</v>
      </c>
      <c r="H909" s="37">
        <v>2</v>
      </c>
      <c r="I909" s="37" t="s">
        <v>8</v>
      </c>
      <c r="J909" s="37" t="s">
        <v>7</v>
      </c>
      <c r="K909" s="62">
        <f t="shared" si="14"/>
        <v>0.66666666666666663</v>
      </c>
    </row>
    <row r="910" spans="1:11" hidden="1" x14ac:dyDescent="0.35">
      <c r="A910" s="33">
        <v>30017822</v>
      </c>
      <c r="B910" s="36" t="s">
        <v>1111</v>
      </c>
      <c r="C910" s="37" t="s">
        <v>86</v>
      </c>
      <c r="D910" s="38"/>
      <c r="E910" s="38" t="s">
        <v>68</v>
      </c>
      <c r="F910" s="37">
        <v>4</v>
      </c>
      <c r="G910" s="37">
        <v>2</v>
      </c>
      <c r="H910" s="37">
        <v>6</v>
      </c>
      <c r="I910" s="37" t="s">
        <v>8</v>
      </c>
      <c r="J910" s="37" t="s">
        <v>7</v>
      </c>
      <c r="K910" s="62">
        <f t="shared" si="14"/>
        <v>1</v>
      </c>
    </row>
    <row r="911" spans="1:11" x14ac:dyDescent="0.35">
      <c r="A911" s="33">
        <v>30017887</v>
      </c>
      <c r="B911" s="36" t="s">
        <v>575</v>
      </c>
      <c r="C911" s="37" t="s">
        <v>86</v>
      </c>
      <c r="D911" s="38"/>
      <c r="E911" s="38" t="s">
        <v>68</v>
      </c>
      <c r="F911" s="37">
        <v>1</v>
      </c>
      <c r="G911" s="37">
        <v>1</v>
      </c>
      <c r="H911" s="37">
        <v>17</v>
      </c>
      <c r="I911" s="37" t="s">
        <v>8</v>
      </c>
      <c r="J911" s="37" t="s">
        <v>14</v>
      </c>
      <c r="K911" s="62">
        <f t="shared" si="14"/>
        <v>8.5</v>
      </c>
    </row>
    <row r="912" spans="1:11" hidden="1" x14ac:dyDescent="0.35">
      <c r="A912" s="33">
        <v>30018097</v>
      </c>
      <c r="B912" s="36" t="s">
        <v>576</v>
      </c>
      <c r="C912" s="37" t="s">
        <v>86</v>
      </c>
      <c r="D912" s="38"/>
      <c r="E912" s="38" t="s">
        <v>68</v>
      </c>
      <c r="F912" s="37">
        <v>2</v>
      </c>
      <c r="G912" s="37">
        <v>3</v>
      </c>
      <c r="H912" s="37">
        <v>3</v>
      </c>
      <c r="I912" s="37" t="s">
        <v>8</v>
      </c>
      <c r="J912" s="37" t="s">
        <v>7</v>
      </c>
      <c r="K912" s="62">
        <f t="shared" si="14"/>
        <v>0.6</v>
      </c>
    </row>
    <row r="913" spans="1:11" hidden="1" x14ac:dyDescent="0.35">
      <c r="A913" s="33">
        <v>30018133</v>
      </c>
      <c r="B913" s="36" t="s">
        <v>1425</v>
      </c>
      <c r="C913" s="37" t="s">
        <v>86</v>
      </c>
      <c r="D913" s="38"/>
      <c r="E913" s="38" t="s">
        <v>68</v>
      </c>
      <c r="F913" s="37">
        <v>10</v>
      </c>
      <c r="G913" s="37">
        <v>10</v>
      </c>
      <c r="H913" s="37">
        <v>15</v>
      </c>
      <c r="I913" s="37" t="s">
        <v>8</v>
      </c>
      <c r="J913" s="37" t="s">
        <v>7</v>
      </c>
      <c r="K913" s="62">
        <f t="shared" si="14"/>
        <v>0.75</v>
      </c>
    </row>
    <row r="914" spans="1:11" hidden="1" x14ac:dyDescent="0.35">
      <c r="A914" s="33">
        <v>30018283</v>
      </c>
      <c r="B914" s="36" t="s">
        <v>889</v>
      </c>
      <c r="C914" s="37" t="s">
        <v>86</v>
      </c>
      <c r="D914" s="38"/>
      <c r="E914" s="38" t="s">
        <v>102</v>
      </c>
      <c r="F914" s="37">
        <v>5</v>
      </c>
      <c r="G914" s="37">
        <v>4</v>
      </c>
      <c r="H914" s="37">
        <v>14</v>
      </c>
      <c r="I914" s="37" t="s">
        <v>8</v>
      </c>
      <c r="J914" s="37" t="s">
        <v>14</v>
      </c>
      <c r="K914" s="62">
        <f t="shared" si="14"/>
        <v>1.5555555555555556</v>
      </c>
    </row>
    <row r="915" spans="1:11" hidden="1" x14ac:dyDescent="0.35">
      <c r="A915" s="33">
        <v>30018529</v>
      </c>
      <c r="B915" s="36" t="s">
        <v>577</v>
      </c>
      <c r="C915" s="37" t="s">
        <v>86</v>
      </c>
      <c r="D915" s="38"/>
      <c r="E915" s="38" t="s">
        <v>68</v>
      </c>
      <c r="F915" s="37">
        <v>10</v>
      </c>
      <c r="G915" s="37">
        <v>12</v>
      </c>
      <c r="H915" s="37">
        <v>14</v>
      </c>
      <c r="I915" s="37" t="s">
        <v>8</v>
      </c>
      <c r="J915" s="37" t="s">
        <v>7</v>
      </c>
      <c r="K915" s="62">
        <f t="shared" si="14"/>
        <v>0.63636363636363635</v>
      </c>
    </row>
    <row r="916" spans="1:11" hidden="1" x14ac:dyDescent="0.35">
      <c r="A916" s="33">
        <v>30020001</v>
      </c>
      <c r="B916" s="36" t="s">
        <v>578</v>
      </c>
      <c r="C916" s="37" t="s">
        <v>86</v>
      </c>
      <c r="D916" s="38"/>
      <c r="E916" s="38" t="s">
        <v>68</v>
      </c>
      <c r="F916" s="37">
        <v>4</v>
      </c>
      <c r="G916" s="37">
        <v>2</v>
      </c>
      <c r="H916" s="37">
        <v>6</v>
      </c>
      <c r="I916" s="37" t="s">
        <v>8</v>
      </c>
      <c r="J916" s="37" t="s">
        <v>7</v>
      </c>
      <c r="K916" s="62">
        <f t="shared" si="14"/>
        <v>1</v>
      </c>
    </row>
    <row r="917" spans="1:11" hidden="1" x14ac:dyDescent="0.35">
      <c r="A917" s="33">
        <v>30020217</v>
      </c>
      <c r="B917" s="36" t="s">
        <v>579</v>
      </c>
      <c r="C917" s="37" t="s">
        <v>86</v>
      </c>
      <c r="D917" s="38"/>
      <c r="E917" s="38" t="s">
        <v>68</v>
      </c>
      <c r="F917" s="37">
        <v>2</v>
      </c>
      <c r="G917" s="37">
        <v>2</v>
      </c>
      <c r="H917" s="37">
        <v>1</v>
      </c>
      <c r="I917" s="37" t="s">
        <v>8</v>
      </c>
      <c r="J917" s="37" t="s">
        <v>7</v>
      </c>
      <c r="K917" s="62">
        <f t="shared" si="14"/>
        <v>0.25</v>
      </c>
    </row>
    <row r="918" spans="1:11" hidden="1" x14ac:dyDescent="0.35">
      <c r="A918" s="33">
        <v>30020483</v>
      </c>
      <c r="B918" s="36" t="s">
        <v>580</v>
      </c>
      <c r="C918" s="37" t="s">
        <v>86</v>
      </c>
      <c r="D918" s="38"/>
      <c r="E918" s="38" t="s">
        <v>68</v>
      </c>
      <c r="F918" s="37">
        <v>120</v>
      </c>
      <c r="G918" s="37">
        <v>200</v>
      </c>
      <c r="H918" s="37">
        <v>60</v>
      </c>
      <c r="I918" s="37" t="s">
        <v>24</v>
      </c>
      <c r="J918" s="37" t="s">
        <v>9</v>
      </c>
      <c r="K918" s="62">
        <f t="shared" si="14"/>
        <v>0.1875</v>
      </c>
    </row>
    <row r="919" spans="1:11" hidden="1" x14ac:dyDescent="0.35">
      <c r="A919" s="33">
        <v>30020488</v>
      </c>
      <c r="B919" s="36" t="s">
        <v>849</v>
      </c>
      <c r="C919" s="37" t="s">
        <v>86</v>
      </c>
      <c r="D919" s="38"/>
      <c r="E919" s="38" t="s">
        <v>68</v>
      </c>
      <c r="F919" s="37">
        <v>8</v>
      </c>
      <c r="G919" s="37">
        <v>4</v>
      </c>
      <c r="H919" s="37">
        <v>0</v>
      </c>
      <c r="I919" s="37" t="s">
        <v>8</v>
      </c>
      <c r="J919" s="37" t="s">
        <v>13</v>
      </c>
      <c r="K919" s="62">
        <f t="shared" si="14"/>
        <v>0</v>
      </c>
    </row>
    <row r="920" spans="1:11" hidden="1" x14ac:dyDescent="0.35">
      <c r="A920" s="33">
        <v>30020723</v>
      </c>
      <c r="B920" s="36" t="s">
        <v>1312</v>
      </c>
      <c r="C920" s="37" t="s">
        <v>86</v>
      </c>
      <c r="D920" s="38"/>
      <c r="E920" s="38" t="s">
        <v>68</v>
      </c>
      <c r="F920" s="37">
        <v>10</v>
      </c>
      <c r="G920" s="37">
        <v>20</v>
      </c>
      <c r="H920" s="37">
        <v>77</v>
      </c>
      <c r="I920" s="37" t="s">
        <v>10</v>
      </c>
      <c r="J920" s="37" t="s">
        <v>14</v>
      </c>
      <c r="K920" s="62">
        <f t="shared" si="14"/>
        <v>2.5666666666666669</v>
      </c>
    </row>
    <row r="921" spans="1:11" hidden="1" x14ac:dyDescent="0.35">
      <c r="A921" s="33">
        <v>30021141</v>
      </c>
      <c r="B921" s="36" t="s">
        <v>1051</v>
      </c>
      <c r="C921" s="37" t="s">
        <v>86</v>
      </c>
      <c r="D921" s="38"/>
      <c r="E921" s="38" t="s">
        <v>102</v>
      </c>
      <c r="F921" s="37">
        <v>3</v>
      </c>
      <c r="G921" s="37">
        <v>4</v>
      </c>
      <c r="H921" s="37">
        <v>4</v>
      </c>
      <c r="I921" s="37" t="s">
        <v>8</v>
      </c>
      <c r="J921" s="37" t="s">
        <v>7</v>
      </c>
      <c r="K921" s="62">
        <f t="shared" si="14"/>
        <v>0.5714285714285714</v>
      </c>
    </row>
    <row r="922" spans="1:11" hidden="1" x14ac:dyDescent="0.35">
      <c r="A922" s="33">
        <v>30021143</v>
      </c>
      <c r="B922" s="36" t="s">
        <v>1085</v>
      </c>
      <c r="C922" s="37" t="s">
        <v>86</v>
      </c>
      <c r="D922" s="38"/>
      <c r="E922" s="38" t="s">
        <v>102</v>
      </c>
      <c r="F922" s="37">
        <v>5</v>
      </c>
      <c r="G922" s="37">
        <v>4</v>
      </c>
      <c r="H922" s="37">
        <v>4</v>
      </c>
      <c r="I922" s="37" t="s">
        <v>8</v>
      </c>
      <c r="J922" s="37" t="s">
        <v>9</v>
      </c>
      <c r="K922" s="62">
        <f t="shared" si="14"/>
        <v>0.44444444444444442</v>
      </c>
    </row>
    <row r="923" spans="1:11" hidden="1" x14ac:dyDescent="0.35">
      <c r="A923" s="33">
        <v>30021204</v>
      </c>
      <c r="B923" s="36" t="s">
        <v>581</v>
      </c>
      <c r="C923" s="37" t="s">
        <v>86</v>
      </c>
      <c r="D923" s="38"/>
      <c r="E923" s="38" t="s">
        <v>68</v>
      </c>
      <c r="F923" s="37">
        <v>2</v>
      </c>
      <c r="G923" s="37">
        <v>4</v>
      </c>
      <c r="H923" s="37">
        <v>4</v>
      </c>
      <c r="I923" s="37" t="s">
        <v>8</v>
      </c>
      <c r="J923" s="37" t="s">
        <v>7</v>
      </c>
      <c r="K923" s="62">
        <f t="shared" si="14"/>
        <v>0.66666666666666663</v>
      </c>
    </row>
    <row r="924" spans="1:11" hidden="1" x14ac:dyDescent="0.35">
      <c r="A924" s="33">
        <v>30021359</v>
      </c>
      <c r="B924" s="36" t="s">
        <v>890</v>
      </c>
      <c r="C924" s="37" t="s">
        <v>86</v>
      </c>
      <c r="D924" s="38" t="s">
        <v>1225</v>
      </c>
      <c r="E924" s="38" t="s">
        <v>102</v>
      </c>
      <c r="F924" s="37">
        <v>201</v>
      </c>
      <c r="G924" s="37">
        <v>200</v>
      </c>
      <c r="H924" s="37">
        <v>289</v>
      </c>
      <c r="I924" s="37" t="s">
        <v>8</v>
      </c>
      <c r="J924" s="37" t="s">
        <v>7</v>
      </c>
      <c r="K924" s="62">
        <f t="shared" si="14"/>
        <v>0.72069825436408974</v>
      </c>
    </row>
    <row r="925" spans="1:11" hidden="1" x14ac:dyDescent="0.35">
      <c r="A925" s="33">
        <v>30021873</v>
      </c>
      <c r="B925" s="36" t="s">
        <v>1263</v>
      </c>
      <c r="C925" s="37" t="s">
        <v>86</v>
      </c>
      <c r="D925" s="38"/>
      <c r="E925" s="38" t="s">
        <v>68</v>
      </c>
      <c r="F925" s="37">
        <v>10</v>
      </c>
      <c r="G925" s="37">
        <v>30</v>
      </c>
      <c r="H925" s="37">
        <v>35</v>
      </c>
      <c r="I925" s="37" t="s">
        <v>8</v>
      </c>
      <c r="J925" s="37" t="s">
        <v>7</v>
      </c>
      <c r="K925" s="62">
        <f t="shared" si="14"/>
        <v>0.875</v>
      </c>
    </row>
    <row r="926" spans="1:11" hidden="1" x14ac:dyDescent="0.35">
      <c r="A926" s="33">
        <v>30022995</v>
      </c>
      <c r="B926" s="36" t="s">
        <v>850</v>
      </c>
      <c r="C926" s="37" t="s">
        <v>86</v>
      </c>
      <c r="D926" s="38"/>
      <c r="E926" s="38" t="s">
        <v>102</v>
      </c>
      <c r="F926" s="37">
        <v>1</v>
      </c>
      <c r="G926" s="37">
        <v>2</v>
      </c>
      <c r="H926" s="37">
        <v>1</v>
      </c>
      <c r="I926" s="37" t="s">
        <v>8</v>
      </c>
      <c r="J926" s="37" t="s">
        <v>7</v>
      </c>
      <c r="K926" s="62">
        <f t="shared" si="14"/>
        <v>0.33333333333333331</v>
      </c>
    </row>
    <row r="927" spans="1:11" hidden="1" x14ac:dyDescent="0.35">
      <c r="A927" s="33">
        <v>30023347</v>
      </c>
      <c r="B927" s="36" t="s">
        <v>851</v>
      </c>
      <c r="C927" s="37" t="s">
        <v>86</v>
      </c>
      <c r="D927" s="38" t="s">
        <v>1225</v>
      </c>
      <c r="E927" s="38" t="s">
        <v>102</v>
      </c>
      <c r="F927" s="37">
        <v>3</v>
      </c>
      <c r="G927" s="37">
        <v>2</v>
      </c>
      <c r="H927" s="37">
        <v>6</v>
      </c>
      <c r="I927" s="37" t="s">
        <v>8</v>
      </c>
      <c r="J927" s="37" t="s">
        <v>14</v>
      </c>
      <c r="K927" s="62">
        <f t="shared" si="14"/>
        <v>1.2</v>
      </c>
    </row>
    <row r="928" spans="1:11" hidden="1" x14ac:dyDescent="0.35">
      <c r="A928" s="33">
        <v>30023355</v>
      </c>
      <c r="B928" s="36" t="s">
        <v>582</v>
      </c>
      <c r="C928" s="37" t="s">
        <v>86</v>
      </c>
      <c r="D928" s="38"/>
      <c r="E928" s="38" t="s">
        <v>68</v>
      </c>
      <c r="F928" s="37">
        <v>20</v>
      </c>
      <c r="G928" s="37">
        <v>6</v>
      </c>
      <c r="H928" s="37">
        <v>23</v>
      </c>
      <c r="I928" s="37" t="s">
        <v>8</v>
      </c>
      <c r="J928" s="37" t="s">
        <v>7</v>
      </c>
      <c r="K928" s="62">
        <f t="shared" si="14"/>
        <v>0.88461538461538458</v>
      </c>
    </row>
    <row r="929" spans="1:11" hidden="1" x14ac:dyDescent="0.35">
      <c r="A929" s="33">
        <v>30023357</v>
      </c>
      <c r="B929" s="36" t="s">
        <v>583</v>
      </c>
      <c r="C929" s="37" t="s">
        <v>86</v>
      </c>
      <c r="D929" s="38"/>
      <c r="E929" s="38" t="s">
        <v>68</v>
      </c>
      <c r="F929" s="37">
        <v>10</v>
      </c>
      <c r="G929" s="37">
        <v>4</v>
      </c>
      <c r="H929" s="37">
        <v>9</v>
      </c>
      <c r="I929" s="37" t="s">
        <v>8</v>
      </c>
      <c r="J929" s="37" t="s">
        <v>7</v>
      </c>
      <c r="K929" s="62">
        <f t="shared" si="14"/>
        <v>0.6428571428571429</v>
      </c>
    </row>
    <row r="930" spans="1:11" hidden="1" x14ac:dyDescent="0.35">
      <c r="A930" s="33">
        <v>30023359</v>
      </c>
      <c r="B930" s="36" t="s">
        <v>584</v>
      </c>
      <c r="C930" s="37" t="s">
        <v>86</v>
      </c>
      <c r="D930" s="38"/>
      <c r="E930" s="38" t="s">
        <v>68</v>
      </c>
      <c r="F930" s="37">
        <v>10</v>
      </c>
      <c r="G930" s="37">
        <v>4</v>
      </c>
      <c r="H930" s="37">
        <v>12</v>
      </c>
      <c r="I930" s="37" t="s">
        <v>8</v>
      </c>
      <c r="J930" s="37" t="s">
        <v>7</v>
      </c>
      <c r="K930" s="62">
        <f t="shared" si="14"/>
        <v>0.8571428571428571</v>
      </c>
    </row>
    <row r="931" spans="1:11" hidden="1" x14ac:dyDescent="0.35">
      <c r="A931" s="33">
        <v>30023360</v>
      </c>
      <c r="B931" s="36" t="s">
        <v>1466</v>
      </c>
      <c r="C931" s="37" t="s">
        <v>86</v>
      </c>
      <c r="D931" s="38"/>
      <c r="E931" s="38" t="s">
        <v>68</v>
      </c>
      <c r="F931" s="37">
        <v>5</v>
      </c>
      <c r="G931" s="37">
        <v>2</v>
      </c>
      <c r="H931" s="37">
        <v>9</v>
      </c>
      <c r="I931" s="37" t="s">
        <v>8</v>
      </c>
      <c r="J931" s="37" t="s">
        <v>14</v>
      </c>
      <c r="K931" s="62">
        <f t="shared" si="14"/>
        <v>1.2857142857142858</v>
      </c>
    </row>
    <row r="932" spans="1:11" hidden="1" x14ac:dyDescent="0.35">
      <c r="A932" s="33">
        <v>30023361</v>
      </c>
      <c r="B932" s="36" t="s">
        <v>585</v>
      </c>
      <c r="C932" s="37" t="s">
        <v>86</v>
      </c>
      <c r="D932" s="38"/>
      <c r="E932" s="38" t="s">
        <v>68</v>
      </c>
      <c r="F932" s="37">
        <v>6</v>
      </c>
      <c r="G932" s="37">
        <v>2</v>
      </c>
      <c r="H932" s="37">
        <v>10</v>
      </c>
      <c r="I932" s="37" t="s">
        <v>8</v>
      </c>
      <c r="J932" s="37" t="s">
        <v>14</v>
      </c>
      <c r="K932" s="62">
        <f t="shared" si="14"/>
        <v>1.25</v>
      </c>
    </row>
    <row r="933" spans="1:11" hidden="1" x14ac:dyDescent="0.35">
      <c r="A933" s="33">
        <v>30023362</v>
      </c>
      <c r="B933" s="36" t="s">
        <v>1467</v>
      </c>
      <c r="C933" s="37" t="s">
        <v>86</v>
      </c>
      <c r="D933" s="38"/>
      <c r="E933" s="38" t="s">
        <v>68</v>
      </c>
      <c r="F933" s="37">
        <v>6</v>
      </c>
      <c r="G933" s="37">
        <v>2</v>
      </c>
      <c r="H933" s="37">
        <v>4</v>
      </c>
      <c r="I933" s="37" t="s">
        <v>8</v>
      </c>
      <c r="J933" s="37" t="s">
        <v>14</v>
      </c>
      <c r="K933" s="62">
        <f t="shared" si="14"/>
        <v>0.5</v>
      </c>
    </row>
    <row r="934" spans="1:11" hidden="1" x14ac:dyDescent="0.35">
      <c r="A934" s="33">
        <v>30023375</v>
      </c>
      <c r="B934" s="36" t="s">
        <v>586</v>
      </c>
      <c r="C934" s="37" t="s">
        <v>86</v>
      </c>
      <c r="D934" s="38"/>
      <c r="E934" s="38" t="s">
        <v>68</v>
      </c>
      <c r="F934" s="37">
        <v>20</v>
      </c>
      <c r="G934" s="37">
        <v>6</v>
      </c>
      <c r="H934" s="37">
        <v>33</v>
      </c>
      <c r="I934" s="37" t="s">
        <v>8</v>
      </c>
      <c r="J934" s="37" t="s">
        <v>14</v>
      </c>
      <c r="K934" s="62">
        <f t="shared" si="14"/>
        <v>1.2692307692307692</v>
      </c>
    </row>
    <row r="935" spans="1:11" x14ac:dyDescent="0.35">
      <c r="A935" s="33">
        <v>30023376</v>
      </c>
      <c r="B935" s="36" t="s">
        <v>587</v>
      </c>
      <c r="C935" s="37" t="s">
        <v>86</v>
      </c>
      <c r="D935" s="38"/>
      <c r="E935" s="38" t="s">
        <v>68</v>
      </c>
      <c r="F935" s="37">
        <v>2</v>
      </c>
      <c r="G935" s="37">
        <v>4</v>
      </c>
      <c r="H935" s="37">
        <v>65</v>
      </c>
      <c r="I935" s="37" t="s">
        <v>8</v>
      </c>
      <c r="J935" s="37" t="s">
        <v>14</v>
      </c>
      <c r="K935" s="62">
        <f t="shared" si="14"/>
        <v>10.833333333333334</v>
      </c>
    </row>
    <row r="936" spans="1:11" hidden="1" x14ac:dyDescent="0.35">
      <c r="A936" s="33">
        <v>30023377</v>
      </c>
      <c r="B936" s="36" t="s">
        <v>588</v>
      </c>
      <c r="C936" s="37" t="s">
        <v>86</v>
      </c>
      <c r="D936" s="38"/>
      <c r="E936" s="38" t="s">
        <v>68</v>
      </c>
      <c r="F936" s="37">
        <v>6</v>
      </c>
      <c r="G936" s="37">
        <v>10</v>
      </c>
      <c r="H936" s="37">
        <v>26</v>
      </c>
      <c r="I936" s="37" t="s">
        <v>8</v>
      </c>
      <c r="J936" s="37" t="s">
        <v>14</v>
      </c>
      <c r="K936" s="62">
        <f t="shared" si="14"/>
        <v>1.625</v>
      </c>
    </row>
    <row r="937" spans="1:11" hidden="1" x14ac:dyDescent="0.35">
      <c r="A937" s="33">
        <v>30023379</v>
      </c>
      <c r="B937" s="36" t="s">
        <v>589</v>
      </c>
      <c r="C937" s="37" t="s">
        <v>86</v>
      </c>
      <c r="D937" s="38"/>
      <c r="E937" s="38" t="s">
        <v>68</v>
      </c>
      <c r="F937" s="37">
        <v>10</v>
      </c>
      <c r="G937" s="37">
        <v>4</v>
      </c>
      <c r="H937" s="37">
        <v>11</v>
      </c>
      <c r="I937" s="37" t="s">
        <v>8</v>
      </c>
      <c r="J937" s="37" t="s">
        <v>7</v>
      </c>
      <c r="K937" s="62">
        <f t="shared" si="14"/>
        <v>0.7857142857142857</v>
      </c>
    </row>
    <row r="938" spans="1:11" hidden="1" x14ac:dyDescent="0.35">
      <c r="A938" s="33">
        <v>30023381</v>
      </c>
      <c r="B938" s="36" t="s">
        <v>1468</v>
      </c>
      <c r="C938" s="37" t="s">
        <v>86</v>
      </c>
      <c r="D938" s="38"/>
      <c r="E938" s="38" t="s">
        <v>68</v>
      </c>
      <c r="F938" s="37">
        <v>10</v>
      </c>
      <c r="G938" s="37">
        <v>10</v>
      </c>
      <c r="H938" s="37">
        <v>13</v>
      </c>
      <c r="I938" s="37" t="s">
        <v>8</v>
      </c>
      <c r="J938" s="37" t="s">
        <v>7</v>
      </c>
      <c r="K938" s="62">
        <f t="shared" si="14"/>
        <v>0.65</v>
      </c>
    </row>
    <row r="939" spans="1:11" hidden="1" x14ac:dyDescent="0.35">
      <c r="A939" s="33">
        <v>30023382</v>
      </c>
      <c r="B939" s="36" t="s">
        <v>1469</v>
      </c>
      <c r="C939" s="37" t="s">
        <v>86</v>
      </c>
      <c r="D939" s="38"/>
      <c r="E939" s="38" t="s">
        <v>68</v>
      </c>
      <c r="F939" s="37">
        <v>5</v>
      </c>
      <c r="G939" s="37">
        <v>2</v>
      </c>
      <c r="H939" s="37">
        <v>15</v>
      </c>
      <c r="I939" s="37" t="s">
        <v>8</v>
      </c>
      <c r="J939" s="37" t="s">
        <v>14</v>
      </c>
      <c r="K939" s="62">
        <f t="shared" si="14"/>
        <v>2.1428571428571428</v>
      </c>
    </row>
    <row r="940" spans="1:11" x14ac:dyDescent="0.35">
      <c r="A940" s="33">
        <v>30023407</v>
      </c>
      <c r="B940" s="36" t="s">
        <v>590</v>
      </c>
      <c r="C940" s="37" t="s">
        <v>86</v>
      </c>
      <c r="D940" s="38"/>
      <c r="E940" s="38" t="s">
        <v>68</v>
      </c>
      <c r="F940" s="37">
        <v>200</v>
      </c>
      <c r="G940" s="37">
        <v>200</v>
      </c>
      <c r="H940" s="37">
        <v>2675</v>
      </c>
      <c r="I940" s="37" t="s">
        <v>25</v>
      </c>
      <c r="J940" s="37" t="s">
        <v>14</v>
      </c>
      <c r="K940" s="62">
        <f t="shared" si="14"/>
        <v>6.6875</v>
      </c>
    </row>
    <row r="941" spans="1:11" hidden="1" x14ac:dyDescent="0.35">
      <c r="A941" s="33">
        <v>30023557</v>
      </c>
      <c r="B941" s="36" t="s">
        <v>591</v>
      </c>
      <c r="C941" s="37" t="s">
        <v>86</v>
      </c>
      <c r="D941" s="38" t="s">
        <v>1225</v>
      </c>
      <c r="E941" s="38" t="s">
        <v>102</v>
      </c>
      <c r="F941" s="37">
        <v>27</v>
      </c>
      <c r="G941" s="37">
        <v>26</v>
      </c>
      <c r="H941" s="37">
        <v>43</v>
      </c>
      <c r="I941" s="37" t="s">
        <v>8</v>
      </c>
      <c r="J941" s="37" t="s">
        <v>7</v>
      </c>
      <c r="K941" s="62">
        <f t="shared" si="14"/>
        <v>0.81132075471698117</v>
      </c>
    </row>
    <row r="942" spans="1:11" hidden="1" x14ac:dyDescent="0.35">
      <c r="A942" s="33">
        <v>30023656</v>
      </c>
      <c r="B942" s="36" t="s">
        <v>592</v>
      </c>
      <c r="C942" s="37" t="s">
        <v>86</v>
      </c>
      <c r="D942" s="38"/>
      <c r="E942" s="38" t="s">
        <v>68</v>
      </c>
      <c r="F942" s="37">
        <v>10</v>
      </c>
      <c r="G942" s="37">
        <v>20</v>
      </c>
      <c r="H942" s="37">
        <v>41</v>
      </c>
      <c r="I942" s="37" t="s">
        <v>8</v>
      </c>
      <c r="J942" s="37" t="s">
        <v>14</v>
      </c>
      <c r="K942" s="62">
        <f t="shared" si="14"/>
        <v>1.3666666666666667</v>
      </c>
    </row>
    <row r="943" spans="1:11" hidden="1" x14ac:dyDescent="0.35">
      <c r="A943" s="33">
        <v>30023784</v>
      </c>
      <c r="B943" s="36" t="s">
        <v>593</v>
      </c>
      <c r="C943" s="37" t="s">
        <v>86</v>
      </c>
      <c r="D943" s="38"/>
      <c r="E943" s="38" t="s">
        <v>68</v>
      </c>
      <c r="F943" s="37">
        <v>32</v>
      </c>
      <c r="G943" s="37">
        <v>32</v>
      </c>
      <c r="H943" s="37">
        <v>44</v>
      </c>
      <c r="I943" s="37" t="s">
        <v>24</v>
      </c>
      <c r="J943" s="37" t="s">
        <v>7</v>
      </c>
      <c r="K943" s="62">
        <f t="shared" si="14"/>
        <v>0.6875</v>
      </c>
    </row>
    <row r="944" spans="1:11" hidden="1" x14ac:dyDescent="0.35">
      <c r="A944" s="33">
        <v>30023839</v>
      </c>
      <c r="B944" s="36" t="s">
        <v>594</v>
      </c>
      <c r="C944" s="37" t="s">
        <v>86</v>
      </c>
      <c r="D944" s="38"/>
      <c r="E944" s="38" t="s">
        <v>68</v>
      </c>
      <c r="F944" s="37">
        <v>6</v>
      </c>
      <c r="G944" s="37">
        <v>4</v>
      </c>
      <c r="H944" s="37">
        <v>4</v>
      </c>
      <c r="I944" s="37" t="s">
        <v>8</v>
      </c>
      <c r="J944" s="37" t="s">
        <v>9</v>
      </c>
      <c r="K944" s="62">
        <f t="shared" si="14"/>
        <v>0.4</v>
      </c>
    </row>
    <row r="945" spans="1:11" hidden="1" x14ac:dyDescent="0.35">
      <c r="A945" s="33">
        <v>30023840</v>
      </c>
      <c r="B945" s="36" t="s">
        <v>595</v>
      </c>
      <c r="C945" s="37" t="s">
        <v>86</v>
      </c>
      <c r="D945" s="38"/>
      <c r="E945" s="38" t="s">
        <v>68</v>
      </c>
      <c r="F945" s="37">
        <v>16</v>
      </c>
      <c r="G945" s="37">
        <v>15</v>
      </c>
      <c r="H945" s="37">
        <v>17</v>
      </c>
      <c r="I945" s="37" t="s">
        <v>8</v>
      </c>
      <c r="J945" s="37" t="s">
        <v>7</v>
      </c>
      <c r="K945" s="62">
        <f t="shared" si="14"/>
        <v>0.54838709677419351</v>
      </c>
    </row>
    <row r="946" spans="1:11" hidden="1" x14ac:dyDescent="0.35">
      <c r="A946" s="33">
        <v>30023907</v>
      </c>
      <c r="B946" s="36" t="s">
        <v>596</v>
      </c>
      <c r="C946" s="37" t="s">
        <v>86</v>
      </c>
      <c r="D946" s="38"/>
      <c r="E946" s="38" t="s">
        <v>102</v>
      </c>
      <c r="F946" s="37">
        <v>13</v>
      </c>
      <c r="G946" s="37">
        <v>12</v>
      </c>
      <c r="H946" s="37">
        <v>41</v>
      </c>
      <c r="I946" s="37" t="s">
        <v>8</v>
      </c>
      <c r="J946" s="37" t="s">
        <v>14</v>
      </c>
      <c r="K946" s="62">
        <f t="shared" si="14"/>
        <v>1.64</v>
      </c>
    </row>
    <row r="947" spans="1:11" hidden="1" x14ac:dyDescent="0.35">
      <c r="A947" s="33">
        <v>30023956</v>
      </c>
      <c r="B947" s="36" t="s">
        <v>1154</v>
      </c>
      <c r="C947" s="37" t="s">
        <v>86</v>
      </c>
      <c r="D947" s="38" t="s">
        <v>1225</v>
      </c>
      <c r="E947" s="38" t="s">
        <v>102</v>
      </c>
      <c r="F947" s="37">
        <v>2</v>
      </c>
      <c r="G947" s="37">
        <v>1</v>
      </c>
      <c r="H947" s="37">
        <v>2</v>
      </c>
      <c r="I947" s="37" t="s">
        <v>8</v>
      </c>
      <c r="J947" s="37" t="s">
        <v>7</v>
      </c>
      <c r="K947" s="62">
        <f t="shared" si="14"/>
        <v>0.66666666666666663</v>
      </c>
    </row>
    <row r="948" spans="1:11" hidden="1" x14ac:dyDescent="0.35">
      <c r="A948" s="33">
        <v>30023958</v>
      </c>
      <c r="B948" s="36" t="s">
        <v>1155</v>
      </c>
      <c r="C948" s="37" t="s">
        <v>86</v>
      </c>
      <c r="D948" s="38" t="s">
        <v>1225</v>
      </c>
      <c r="E948" s="38" t="s">
        <v>102</v>
      </c>
      <c r="F948" s="37">
        <v>9</v>
      </c>
      <c r="G948" s="37">
        <v>8</v>
      </c>
      <c r="H948" s="37">
        <v>9</v>
      </c>
      <c r="I948" s="37" t="s">
        <v>8</v>
      </c>
      <c r="J948" s="37" t="s">
        <v>7</v>
      </c>
      <c r="K948" s="62">
        <f t="shared" si="14"/>
        <v>0.52941176470588236</v>
      </c>
    </row>
    <row r="949" spans="1:11" hidden="1" x14ac:dyDescent="0.35">
      <c r="A949" s="33">
        <v>30023959</v>
      </c>
      <c r="B949" s="36" t="s">
        <v>1156</v>
      </c>
      <c r="C949" s="37" t="s">
        <v>86</v>
      </c>
      <c r="D949" s="38" t="s">
        <v>1225</v>
      </c>
      <c r="E949" s="38" t="s">
        <v>102</v>
      </c>
      <c r="F949" s="37">
        <v>3</v>
      </c>
      <c r="G949" s="37">
        <v>2</v>
      </c>
      <c r="H949" s="37">
        <v>4</v>
      </c>
      <c r="I949" s="37" t="s">
        <v>8</v>
      </c>
      <c r="J949" s="37" t="s">
        <v>7</v>
      </c>
      <c r="K949" s="62">
        <f t="shared" si="14"/>
        <v>0.8</v>
      </c>
    </row>
    <row r="950" spans="1:11" hidden="1" x14ac:dyDescent="0.35">
      <c r="A950" s="33">
        <v>30023962</v>
      </c>
      <c r="B950" s="36" t="s">
        <v>1157</v>
      </c>
      <c r="C950" s="37" t="s">
        <v>86</v>
      </c>
      <c r="D950" s="38"/>
      <c r="E950" s="38" t="s">
        <v>102</v>
      </c>
      <c r="F950" s="37">
        <v>2</v>
      </c>
      <c r="G950" s="37">
        <v>1</v>
      </c>
      <c r="H950" s="37">
        <v>3</v>
      </c>
      <c r="I950" s="37" t="s">
        <v>8</v>
      </c>
      <c r="J950" s="37" t="s">
        <v>7</v>
      </c>
      <c r="K950" s="62">
        <f t="shared" si="14"/>
        <v>1</v>
      </c>
    </row>
    <row r="951" spans="1:11" hidden="1" x14ac:dyDescent="0.35">
      <c r="A951" s="33">
        <v>30023963</v>
      </c>
      <c r="B951" s="36" t="s">
        <v>1158</v>
      </c>
      <c r="C951" s="37" t="s">
        <v>86</v>
      </c>
      <c r="D951" s="38" t="s">
        <v>1225</v>
      </c>
      <c r="E951" s="38" t="s">
        <v>102</v>
      </c>
      <c r="F951" s="37">
        <v>12</v>
      </c>
      <c r="G951" s="37">
        <v>11</v>
      </c>
      <c r="H951" s="37">
        <v>13</v>
      </c>
      <c r="I951" s="37" t="s">
        <v>8</v>
      </c>
      <c r="J951" s="37" t="s">
        <v>7</v>
      </c>
      <c r="K951" s="62">
        <f t="shared" si="14"/>
        <v>0.56521739130434778</v>
      </c>
    </row>
    <row r="952" spans="1:11" hidden="1" x14ac:dyDescent="0.35">
      <c r="A952" s="33">
        <v>30023965</v>
      </c>
      <c r="B952" s="36" t="s">
        <v>1159</v>
      </c>
      <c r="C952" s="37" t="s">
        <v>86</v>
      </c>
      <c r="D952" s="38" t="s">
        <v>1225</v>
      </c>
      <c r="E952" s="38" t="s">
        <v>102</v>
      </c>
      <c r="F952" s="37">
        <v>6</v>
      </c>
      <c r="G952" s="37">
        <v>5</v>
      </c>
      <c r="H952" s="37">
        <v>6</v>
      </c>
      <c r="I952" s="37" t="s">
        <v>8</v>
      </c>
      <c r="J952" s="37" t="s">
        <v>7</v>
      </c>
      <c r="K952" s="62">
        <f t="shared" si="14"/>
        <v>0.54545454545454541</v>
      </c>
    </row>
    <row r="953" spans="1:11" hidden="1" x14ac:dyDescent="0.35">
      <c r="A953" s="33">
        <v>30024092</v>
      </c>
      <c r="B953" s="36" t="s">
        <v>1361</v>
      </c>
      <c r="C953" s="37" t="s">
        <v>86</v>
      </c>
      <c r="D953" s="38"/>
      <c r="E953" s="38" t="s">
        <v>68</v>
      </c>
      <c r="F953" s="37">
        <v>33</v>
      </c>
      <c r="G953" s="37">
        <v>54</v>
      </c>
      <c r="H953" s="37">
        <v>224</v>
      </c>
      <c r="I953" s="37" t="s">
        <v>8</v>
      </c>
      <c r="J953" s="37" t="s">
        <v>14</v>
      </c>
      <c r="K953" s="62">
        <f t="shared" si="14"/>
        <v>2.5747126436781609</v>
      </c>
    </row>
    <row r="954" spans="1:11" hidden="1" x14ac:dyDescent="0.35">
      <c r="A954" s="33">
        <v>30024775</v>
      </c>
      <c r="B954" s="36" t="s">
        <v>891</v>
      </c>
      <c r="C954" s="37" t="s">
        <v>86</v>
      </c>
      <c r="D954" s="38"/>
      <c r="E954" s="38" t="s">
        <v>102</v>
      </c>
      <c r="F954" s="37">
        <v>5</v>
      </c>
      <c r="G954" s="37">
        <v>4</v>
      </c>
      <c r="H954" s="37">
        <v>16</v>
      </c>
      <c r="I954" s="37" t="s">
        <v>8</v>
      </c>
      <c r="J954" s="37" t="s">
        <v>14</v>
      </c>
      <c r="K954" s="62">
        <f t="shared" si="14"/>
        <v>1.7777777777777777</v>
      </c>
    </row>
    <row r="955" spans="1:11" hidden="1" x14ac:dyDescent="0.35">
      <c r="A955" s="33">
        <v>30024776</v>
      </c>
      <c r="B955" s="36" t="s">
        <v>892</v>
      </c>
      <c r="C955" s="37" t="s">
        <v>86</v>
      </c>
      <c r="D955" s="38"/>
      <c r="E955" s="38" t="s">
        <v>102</v>
      </c>
      <c r="F955" s="37">
        <v>5</v>
      </c>
      <c r="G955" s="37">
        <v>4</v>
      </c>
      <c r="H955" s="37">
        <v>10</v>
      </c>
      <c r="I955" s="37" t="s">
        <v>8</v>
      </c>
      <c r="J955" s="37" t="s">
        <v>14</v>
      </c>
      <c r="K955" s="62">
        <f t="shared" si="14"/>
        <v>1.1111111111111112</v>
      </c>
    </row>
    <row r="956" spans="1:11" hidden="1" x14ac:dyDescent="0.35">
      <c r="A956" s="33">
        <v>30024780</v>
      </c>
      <c r="B956" s="36" t="s">
        <v>852</v>
      </c>
      <c r="C956" s="37" t="s">
        <v>86</v>
      </c>
      <c r="D956" s="38"/>
      <c r="E956" s="38" t="s">
        <v>102</v>
      </c>
      <c r="F956" s="37">
        <v>5</v>
      </c>
      <c r="G956" s="37">
        <v>4</v>
      </c>
      <c r="H956" s="37">
        <v>14</v>
      </c>
      <c r="I956" s="37" t="s">
        <v>8</v>
      </c>
      <c r="J956" s="37" t="s">
        <v>14</v>
      </c>
      <c r="K956" s="62">
        <f t="shared" si="14"/>
        <v>1.5555555555555556</v>
      </c>
    </row>
    <row r="957" spans="1:11" hidden="1" x14ac:dyDescent="0.35">
      <c r="A957" s="33">
        <v>30024781</v>
      </c>
      <c r="B957" s="36" t="s">
        <v>893</v>
      </c>
      <c r="C957" s="37" t="s">
        <v>86</v>
      </c>
      <c r="D957" s="38"/>
      <c r="E957" s="38" t="s">
        <v>102</v>
      </c>
      <c r="F957" s="37">
        <v>5</v>
      </c>
      <c r="G957" s="37">
        <v>4</v>
      </c>
      <c r="H957" s="37">
        <v>6</v>
      </c>
      <c r="I957" s="37" t="s">
        <v>8</v>
      </c>
      <c r="J957" s="37" t="s">
        <v>7</v>
      </c>
      <c r="K957" s="62">
        <f t="shared" si="14"/>
        <v>0.66666666666666663</v>
      </c>
    </row>
    <row r="958" spans="1:11" hidden="1" x14ac:dyDescent="0.35">
      <c r="A958" s="33">
        <v>30024782</v>
      </c>
      <c r="B958" s="36" t="s">
        <v>853</v>
      </c>
      <c r="C958" s="37" t="s">
        <v>86</v>
      </c>
      <c r="D958" s="38"/>
      <c r="E958" s="38" t="s">
        <v>102</v>
      </c>
      <c r="F958" s="37">
        <v>5</v>
      </c>
      <c r="G958" s="37">
        <v>4</v>
      </c>
      <c r="H958" s="37">
        <v>6</v>
      </c>
      <c r="I958" s="37" t="s">
        <v>8</v>
      </c>
      <c r="J958" s="37" t="s">
        <v>7</v>
      </c>
      <c r="K958" s="62">
        <f t="shared" si="14"/>
        <v>0.66666666666666663</v>
      </c>
    </row>
    <row r="959" spans="1:11" x14ac:dyDescent="0.35">
      <c r="A959" s="33">
        <v>30024783</v>
      </c>
      <c r="B959" s="36" t="s">
        <v>597</v>
      </c>
      <c r="C959" s="37" t="s">
        <v>86</v>
      </c>
      <c r="D959" s="38"/>
      <c r="E959" s="38" t="s">
        <v>68</v>
      </c>
      <c r="F959" s="37">
        <v>1</v>
      </c>
      <c r="G959" s="37">
        <v>1</v>
      </c>
      <c r="H959" s="37">
        <v>26</v>
      </c>
      <c r="I959" s="37" t="s">
        <v>8</v>
      </c>
      <c r="J959" s="37" t="s">
        <v>14</v>
      </c>
      <c r="K959" s="62">
        <f t="shared" si="14"/>
        <v>13</v>
      </c>
    </row>
    <row r="960" spans="1:11" hidden="1" x14ac:dyDescent="0.35">
      <c r="A960" s="33">
        <v>30024784</v>
      </c>
      <c r="B960" s="36" t="s">
        <v>1160</v>
      </c>
      <c r="C960" s="37" t="s">
        <v>86</v>
      </c>
      <c r="D960" s="38"/>
      <c r="E960" s="38" t="s">
        <v>102</v>
      </c>
      <c r="F960" s="37">
        <v>3</v>
      </c>
      <c r="G960" s="37">
        <v>2</v>
      </c>
      <c r="H960" s="37">
        <v>4</v>
      </c>
      <c r="I960" s="37" t="s">
        <v>8</v>
      </c>
      <c r="J960" s="37" t="s">
        <v>7</v>
      </c>
      <c r="K960" s="62">
        <f t="shared" si="14"/>
        <v>0.8</v>
      </c>
    </row>
    <row r="961" spans="1:11" hidden="1" x14ac:dyDescent="0.35">
      <c r="A961" s="33">
        <v>30024785</v>
      </c>
      <c r="B961" s="36" t="s">
        <v>894</v>
      </c>
      <c r="C961" s="37" t="s">
        <v>86</v>
      </c>
      <c r="D961" s="38"/>
      <c r="E961" s="38" t="s">
        <v>102</v>
      </c>
      <c r="F961" s="37">
        <v>5</v>
      </c>
      <c r="G961" s="37">
        <v>4</v>
      </c>
      <c r="H961" s="37">
        <v>16</v>
      </c>
      <c r="I961" s="37" t="s">
        <v>8</v>
      </c>
      <c r="J961" s="37" t="s">
        <v>14</v>
      </c>
      <c r="K961" s="62">
        <f t="shared" si="14"/>
        <v>1.7777777777777777</v>
      </c>
    </row>
    <row r="962" spans="1:11" hidden="1" x14ac:dyDescent="0.35">
      <c r="A962" s="33">
        <v>30024786</v>
      </c>
      <c r="B962" s="36" t="s">
        <v>895</v>
      </c>
      <c r="C962" s="37" t="s">
        <v>86</v>
      </c>
      <c r="D962" s="38" t="s">
        <v>1225</v>
      </c>
      <c r="E962" s="38" t="s">
        <v>102</v>
      </c>
      <c r="F962" s="37">
        <v>5</v>
      </c>
      <c r="G962" s="37">
        <v>4</v>
      </c>
      <c r="H962" s="37">
        <v>7</v>
      </c>
      <c r="I962" s="37" t="s">
        <v>8</v>
      </c>
      <c r="J962" s="37" t="s">
        <v>7</v>
      </c>
      <c r="K962" s="62">
        <f t="shared" si="14"/>
        <v>0.77777777777777779</v>
      </c>
    </row>
    <row r="963" spans="1:11" hidden="1" x14ac:dyDescent="0.35">
      <c r="A963" s="33">
        <v>30024787</v>
      </c>
      <c r="B963" s="36" t="s">
        <v>896</v>
      </c>
      <c r="C963" s="37" t="s">
        <v>86</v>
      </c>
      <c r="D963" s="38" t="s">
        <v>1225</v>
      </c>
      <c r="E963" s="38" t="s">
        <v>102</v>
      </c>
      <c r="F963" s="37">
        <v>5</v>
      </c>
      <c r="G963" s="37">
        <v>4</v>
      </c>
      <c r="H963" s="37">
        <v>7</v>
      </c>
      <c r="I963" s="37" t="s">
        <v>8</v>
      </c>
      <c r="J963" s="37" t="s">
        <v>7</v>
      </c>
      <c r="K963" s="62">
        <f t="shared" si="14"/>
        <v>0.77777777777777779</v>
      </c>
    </row>
    <row r="964" spans="1:11" hidden="1" x14ac:dyDescent="0.35">
      <c r="A964" s="33">
        <v>30024790</v>
      </c>
      <c r="B964" s="36" t="s">
        <v>854</v>
      </c>
      <c r="C964" s="37" t="s">
        <v>86</v>
      </c>
      <c r="D964" s="38" t="s">
        <v>1225</v>
      </c>
      <c r="E964" s="38" t="s">
        <v>102</v>
      </c>
      <c r="F964" s="37">
        <v>5</v>
      </c>
      <c r="G964" s="37">
        <v>4</v>
      </c>
      <c r="H964" s="37">
        <v>10</v>
      </c>
      <c r="I964" s="37" t="s">
        <v>8</v>
      </c>
      <c r="J964" s="37" t="s">
        <v>14</v>
      </c>
      <c r="K964" s="62">
        <f t="shared" si="14"/>
        <v>1.1111111111111112</v>
      </c>
    </row>
    <row r="965" spans="1:11" hidden="1" x14ac:dyDescent="0.35">
      <c r="A965" s="33">
        <v>30024791</v>
      </c>
      <c r="B965" s="36" t="s">
        <v>897</v>
      </c>
      <c r="C965" s="37" t="s">
        <v>86</v>
      </c>
      <c r="D965" s="38"/>
      <c r="E965" s="38" t="s">
        <v>102</v>
      </c>
      <c r="F965" s="37">
        <v>5</v>
      </c>
      <c r="G965" s="37">
        <v>4</v>
      </c>
      <c r="H965" s="37">
        <v>8</v>
      </c>
      <c r="I965" s="37" t="s">
        <v>8</v>
      </c>
      <c r="J965" s="37" t="s">
        <v>7</v>
      </c>
      <c r="K965" s="62">
        <f t="shared" si="14"/>
        <v>0.88888888888888884</v>
      </c>
    </row>
    <row r="966" spans="1:11" hidden="1" x14ac:dyDescent="0.35">
      <c r="A966" s="33">
        <v>30024792</v>
      </c>
      <c r="B966" s="36" t="s">
        <v>855</v>
      </c>
      <c r="C966" s="37" t="s">
        <v>86</v>
      </c>
      <c r="D966" s="38"/>
      <c r="E966" s="38" t="s">
        <v>102</v>
      </c>
      <c r="F966" s="37">
        <v>5</v>
      </c>
      <c r="G966" s="37">
        <v>4</v>
      </c>
      <c r="H966" s="37">
        <v>10</v>
      </c>
      <c r="I966" s="37" t="s">
        <v>8</v>
      </c>
      <c r="J966" s="37" t="s">
        <v>14</v>
      </c>
      <c r="K966" s="62">
        <f t="shared" si="14"/>
        <v>1.1111111111111112</v>
      </c>
    </row>
    <row r="967" spans="1:11" hidden="1" x14ac:dyDescent="0.35">
      <c r="A967" s="33">
        <v>30024794</v>
      </c>
      <c r="B967" s="36" t="s">
        <v>1161</v>
      </c>
      <c r="C967" s="37" t="s">
        <v>86</v>
      </c>
      <c r="D967" s="38" t="s">
        <v>1225</v>
      </c>
      <c r="E967" s="38" t="s">
        <v>102</v>
      </c>
      <c r="F967" s="37">
        <v>3</v>
      </c>
      <c r="G967" s="37">
        <v>2</v>
      </c>
      <c r="H967" s="37">
        <v>5</v>
      </c>
      <c r="I967" s="37" t="s">
        <v>8</v>
      </c>
      <c r="J967" s="37" t="s">
        <v>7</v>
      </c>
      <c r="K967" s="62">
        <f t="shared" si="14"/>
        <v>1</v>
      </c>
    </row>
    <row r="968" spans="1:11" hidden="1" x14ac:dyDescent="0.35">
      <c r="A968" s="33">
        <v>30024795</v>
      </c>
      <c r="B968" s="36" t="s">
        <v>856</v>
      </c>
      <c r="C968" s="37" t="s">
        <v>86</v>
      </c>
      <c r="D968" s="38"/>
      <c r="E968" s="38" t="s">
        <v>102</v>
      </c>
      <c r="F968" s="37">
        <v>5</v>
      </c>
      <c r="G968" s="37">
        <v>4</v>
      </c>
      <c r="H968" s="37">
        <v>8</v>
      </c>
      <c r="I968" s="37" t="s">
        <v>8</v>
      </c>
      <c r="J968" s="37" t="s">
        <v>7</v>
      </c>
      <c r="K968" s="62">
        <f t="shared" si="14"/>
        <v>0.88888888888888884</v>
      </c>
    </row>
    <row r="969" spans="1:11" hidden="1" x14ac:dyDescent="0.35">
      <c r="A969" s="33">
        <v>30024796</v>
      </c>
      <c r="B969" s="36" t="s">
        <v>1061</v>
      </c>
      <c r="C969" s="37" t="s">
        <v>86</v>
      </c>
      <c r="D969" s="38"/>
      <c r="E969" s="38" t="s">
        <v>102</v>
      </c>
      <c r="F969" s="37">
        <v>5</v>
      </c>
      <c r="G969" s="37">
        <v>4</v>
      </c>
      <c r="H969" s="37">
        <v>14</v>
      </c>
      <c r="I969" s="37" t="s">
        <v>8</v>
      </c>
      <c r="J969" s="37" t="s">
        <v>14</v>
      </c>
      <c r="K969" s="62">
        <f t="shared" ref="K969:K1032" si="15">H969/(F969+G969)</f>
        <v>1.5555555555555556</v>
      </c>
    </row>
    <row r="970" spans="1:11" hidden="1" x14ac:dyDescent="0.35">
      <c r="A970" s="33">
        <v>30024855</v>
      </c>
      <c r="B970" s="36" t="s">
        <v>898</v>
      </c>
      <c r="C970" s="37" t="s">
        <v>86</v>
      </c>
      <c r="D970" s="38" t="s">
        <v>1225</v>
      </c>
      <c r="E970" s="38" t="s">
        <v>102</v>
      </c>
      <c r="F970" s="37">
        <v>2</v>
      </c>
      <c r="G970" s="37">
        <v>2</v>
      </c>
      <c r="H970" s="37">
        <v>3</v>
      </c>
      <c r="I970" s="37" t="s">
        <v>8</v>
      </c>
      <c r="J970" s="37" t="s">
        <v>7</v>
      </c>
      <c r="K970" s="62">
        <f t="shared" si="15"/>
        <v>0.75</v>
      </c>
    </row>
    <row r="971" spans="1:11" hidden="1" x14ac:dyDescent="0.35">
      <c r="A971" s="33">
        <v>30024865</v>
      </c>
      <c r="B971" s="36" t="s">
        <v>899</v>
      </c>
      <c r="C971" s="37" t="s">
        <v>86</v>
      </c>
      <c r="D971" s="38" t="s">
        <v>1225</v>
      </c>
      <c r="E971" s="38" t="s">
        <v>102</v>
      </c>
      <c r="F971" s="37">
        <v>2</v>
      </c>
      <c r="G971" s="37">
        <v>2</v>
      </c>
      <c r="H971" s="37">
        <v>2</v>
      </c>
      <c r="I971" s="37" t="s">
        <v>8</v>
      </c>
      <c r="J971" s="37" t="s">
        <v>7</v>
      </c>
      <c r="K971" s="62">
        <f t="shared" si="15"/>
        <v>0.5</v>
      </c>
    </row>
    <row r="972" spans="1:11" hidden="1" x14ac:dyDescent="0.35">
      <c r="A972" s="33">
        <v>30024867</v>
      </c>
      <c r="B972" s="36" t="s">
        <v>598</v>
      </c>
      <c r="C972" s="37" t="s">
        <v>86</v>
      </c>
      <c r="D972" s="38"/>
      <c r="E972" s="38" t="s">
        <v>68</v>
      </c>
      <c r="F972" s="37">
        <v>1</v>
      </c>
      <c r="G972" s="37">
        <v>1</v>
      </c>
      <c r="H972" s="37">
        <v>9</v>
      </c>
      <c r="I972" s="37" t="s">
        <v>8</v>
      </c>
      <c r="J972" s="37" t="s">
        <v>14</v>
      </c>
      <c r="K972" s="62">
        <f t="shared" si="15"/>
        <v>4.5</v>
      </c>
    </row>
    <row r="973" spans="1:11" hidden="1" x14ac:dyDescent="0.35">
      <c r="A973" s="33">
        <v>30024868</v>
      </c>
      <c r="B973" s="36" t="s">
        <v>900</v>
      </c>
      <c r="C973" s="37" t="s">
        <v>86</v>
      </c>
      <c r="D973" s="38"/>
      <c r="E973" s="38" t="s">
        <v>102</v>
      </c>
      <c r="F973" s="37">
        <v>2</v>
      </c>
      <c r="G973" s="37">
        <v>2</v>
      </c>
      <c r="H973" s="37">
        <v>4</v>
      </c>
      <c r="I973" s="37" t="s">
        <v>8</v>
      </c>
      <c r="J973" s="37" t="s">
        <v>7</v>
      </c>
      <c r="K973" s="62">
        <f t="shared" si="15"/>
        <v>1</v>
      </c>
    </row>
    <row r="974" spans="1:11" hidden="1" x14ac:dyDescent="0.35">
      <c r="A974" s="33">
        <v>30024869</v>
      </c>
      <c r="B974" s="36" t="s">
        <v>857</v>
      </c>
      <c r="C974" s="37" t="s">
        <v>86</v>
      </c>
      <c r="D974" s="38"/>
      <c r="E974" s="38" t="s">
        <v>102</v>
      </c>
      <c r="F974" s="37">
        <v>5</v>
      </c>
      <c r="G974" s="37">
        <v>4</v>
      </c>
      <c r="H974" s="37">
        <v>6</v>
      </c>
      <c r="I974" s="37" t="s">
        <v>8</v>
      </c>
      <c r="J974" s="37" t="s">
        <v>7</v>
      </c>
      <c r="K974" s="62">
        <f t="shared" si="15"/>
        <v>0.66666666666666663</v>
      </c>
    </row>
    <row r="975" spans="1:11" hidden="1" x14ac:dyDescent="0.35">
      <c r="A975" s="33">
        <v>30024870</v>
      </c>
      <c r="B975" s="36" t="s">
        <v>901</v>
      </c>
      <c r="C975" s="37" t="s">
        <v>86</v>
      </c>
      <c r="D975" s="38"/>
      <c r="E975" s="38" t="s">
        <v>102</v>
      </c>
      <c r="F975" s="37">
        <v>9</v>
      </c>
      <c r="G975" s="37">
        <v>8</v>
      </c>
      <c r="H975" s="37">
        <v>49</v>
      </c>
      <c r="I975" s="37" t="s">
        <v>8</v>
      </c>
      <c r="J975" s="37" t="s">
        <v>14</v>
      </c>
      <c r="K975" s="62">
        <f t="shared" si="15"/>
        <v>2.8823529411764706</v>
      </c>
    </row>
    <row r="976" spans="1:11" hidden="1" x14ac:dyDescent="0.35">
      <c r="A976" s="33">
        <v>30024881</v>
      </c>
      <c r="B976" s="36" t="s">
        <v>599</v>
      </c>
      <c r="C976" s="37" t="s">
        <v>86</v>
      </c>
      <c r="D976" s="38"/>
      <c r="E976" s="38" t="s">
        <v>68</v>
      </c>
      <c r="F976" s="37">
        <v>4</v>
      </c>
      <c r="G976" s="37">
        <v>16</v>
      </c>
      <c r="H976" s="37">
        <v>16</v>
      </c>
      <c r="I976" s="37" t="s">
        <v>8</v>
      </c>
      <c r="J976" s="37" t="s">
        <v>7</v>
      </c>
      <c r="K976" s="62">
        <f t="shared" si="15"/>
        <v>0.8</v>
      </c>
    </row>
    <row r="977" spans="1:11" hidden="1" x14ac:dyDescent="0.35">
      <c r="A977" s="33">
        <v>30024886</v>
      </c>
      <c r="B977" s="36" t="s">
        <v>600</v>
      </c>
      <c r="C977" s="37" t="s">
        <v>86</v>
      </c>
      <c r="D977" s="38"/>
      <c r="E977" s="38" t="s">
        <v>68</v>
      </c>
      <c r="F977" s="37">
        <v>8</v>
      </c>
      <c r="G977" s="37">
        <v>10</v>
      </c>
      <c r="H977" s="37">
        <v>1</v>
      </c>
      <c r="I977" s="37" t="s">
        <v>8</v>
      </c>
      <c r="J977" s="37" t="s">
        <v>9</v>
      </c>
      <c r="K977" s="62">
        <f t="shared" si="15"/>
        <v>5.5555555555555552E-2</v>
      </c>
    </row>
    <row r="978" spans="1:11" hidden="1" x14ac:dyDescent="0.35">
      <c r="A978" s="33">
        <v>30024895</v>
      </c>
      <c r="B978" s="36" t="s">
        <v>601</v>
      </c>
      <c r="C978" s="37" t="s">
        <v>86</v>
      </c>
      <c r="D978" s="38"/>
      <c r="E978" s="38" t="s">
        <v>68</v>
      </c>
      <c r="F978" s="37">
        <v>4</v>
      </c>
      <c r="G978" s="37">
        <v>4</v>
      </c>
      <c r="H978" s="37">
        <v>5</v>
      </c>
      <c r="I978" s="37" t="s">
        <v>8</v>
      </c>
      <c r="J978" s="37" t="s">
        <v>7</v>
      </c>
      <c r="K978" s="62">
        <f t="shared" si="15"/>
        <v>0.625</v>
      </c>
    </row>
    <row r="979" spans="1:11" hidden="1" x14ac:dyDescent="0.35">
      <c r="A979" s="33">
        <v>30024898</v>
      </c>
      <c r="B979" s="36" t="s">
        <v>1052</v>
      </c>
      <c r="C979" s="37" t="s">
        <v>86</v>
      </c>
      <c r="D979" s="38"/>
      <c r="E979" s="38" t="s">
        <v>102</v>
      </c>
      <c r="F979" s="37">
        <v>3</v>
      </c>
      <c r="G979" s="37">
        <v>2</v>
      </c>
      <c r="H979" s="37">
        <v>3</v>
      </c>
      <c r="I979" s="37" t="s">
        <v>8</v>
      </c>
      <c r="J979" s="37" t="s">
        <v>7</v>
      </c>
      <c r="K979" s="62">
        <f t="shared" si="15"/>
        <v>0.6</v>
      </c>
    </row>
    <row r="980" spans="1:11" hidden="1" x14ac:dyDescent="0.35">
      <c r="A980" s="33">
        <v>30024995</v>
      </c>
      <c r="B980" s="36" t="s">
        <v>1349</v>
      </c>
      <c r="C980" s="37" t="s">
        <v>86</v>
      </c>
      <c r="D980" s="38"/>
      <c r="E980" s="38" t="s">
        <v>68</v>
      </c>
      <c r="F980" s="37">
        <v>2</v>
      </c>
      <c r="G980" s="37">
        <v>4</v>
      </c>
      <c r="H980" s="37">
        <v>4</v>
      </c>
      <c r="I980" s="37" t="s">
        <v>8</v>
      </c>
      <c r="J980" s="37" t="s">
        <v>7</v>
      </c>
      <c r="K980" s="62">
        <f t="shared" si="15"/>
        <v>0.66666666666666663</v>
      </c>
    </row>
    <row r="981" spans="1:11" hidden="1" x14ac:dyDescent="0.35">
      <c r="A981" s="33">
        <v>30025328</v>
      </c>
      <c r="B981" s="36" t="s">
        <v>602</v>
      </c>
      <c r="C981" s="37" t="s">
        <v>86</v>
      </c>
      <c r="D981" s="38"/>
      <c r="E981" s="38" t="s">
        <v>68</v>
      </c>
      <c r="F981" s="37">
        <v>2</v>
      </c>
      <c r="G981" s="37">
        <v>3</v>
      </c>
      <c r="H981" s="37">
        <v>5</v>
      </c>
      <c r="I981" s="37" t="s">
        <v>8</v>
      </c>
      <c r="J981" s="37" t="s">
        <v>7</v>
      </c>
      <c r="K981" s="62">
        <f t="shared" si="15"/>
        <v>1</v>
      </c>
    </row>
    <row r="982" spans="1:11" hidden="1" x14ac:dyDescent="0.35">
      <c r="A982" s="33">
        <v>30026143</v>
      </c>
      <c r="B982" s="36" t="s">
        <v>603</v>
      </c>
      <c r="C982" s="37" t="s">
        <v>86</v>
      </c>
      <c r="D982" s="38"/>
      <c r="E982" s="38" t="s">
        <v>68</v>
      </c>
      <c r="F982" s="37">
        <v>2</v>
      </c>
      <c r="G982" s="37">
        <v>2</v>
      </c>
      <c r="H982" s="37">
        <v>3</v>
      </c>
      <c r="I982" s="37" t="s">
        <v>8</v>
      </c>
      <c r="J982" s="37" t="s">
        <v>7</v>
      </c>
      <c r="K982" s="62">
        <f t="shared" si="15"/>
        <v>0.75</v>
      </c>
    </row>
    <row r="983" spans="1:11" hidden="1" x14ac:dyDescent="0.35">
      <c r="A983" s="33">
        <v>30026243</v>
      </c>
      <c r="B983" s="36" t="s">
        <v>604</v>
      </c>
      <c r="C983" s="37" t="s">
        <v>86</v>
      </c>
      <c r="D983" s="38"/>
      <c r="E983" s="38" t="s">
        <v>68</v>
      </c>
      <c r="F983" s="37">
        <v>80</v>
      </c>
      <c r="G983" s="37">
        <v>80</v>
      </c>
      <c r="H983" s="37">
        <v>103</v>
      </c>
      <c r="I983" s="37" t="s">
        <v>8</v>
      </c>
      <c r="J983" s="37" t="s">
        <v>7</v>
      </c>
      <c r="K983" s="62">
        <f t="shared" si="15"/>
        <v>0.64375000000000004</v>
      </c>
    </row>
    <row r="984" spans="1:11" hidden="1" x14ac:dyDescent="0.35">
      <c r="A984" s="33">
        <v>30026273</v>
      </c>
      <c r="B984" s="36" t="s">
        <v>605</v>
      </c>
      <c r="C984" s="37" t="s">
        <v>86</v>
      </c>
      <c r="D984" s="38"/>
      <c r="E984" s="38" t="s">
        <v>68</v>
      </c>
      <c r="F984" s="37">
        <v>6</v>
      </c>
      <c r="G984" s="37">
        <v>4</v>
      </c>
      <c r="H984" s="37">
        <v>10</v>
      </c>
      <c r="I984" s="37" t="s">
        <v>8</v>
      </c>
      <c r="J984" s="37" t="s">
        <v>7</v>
      </c>
      <c r="K984" s="62">
        <f t="shared" si="15"/>
        <v>1</v>
      </c>
    </row>
    <row r="985" spans="1:11" hidden="1" x14ac:dyDescent="0.35">
      <c r="A985" s="33">
        <v>30026837</v>
      </c>
      <c r="B985" s="36" t="s">
        <v>1289</v>
      </c>
      <c r="C985" s="37" t="s">
        <v>86</v>
      </c>
      <c r="D985" s="38"/>
      <c r="E985" s="38" t="s">
        <v>68</v>
      </c>
      <c r="F985" s="37">
        <v>2</v>
      </c>
      <c r="G985" s="37">
        <v>2</v>
      </c>
      <c r="H985" s="37">
        <v>5</v>
      </c>
      <c r="I985" s="37" t="s">
        <v>10</v>
      </c>
      <c r="J985" s="37" t="s">
        <v>14</v>
      </c>
      <c r="K985" s="62">
        <f t="shared" si="15"/>
        <v>1.25</v>
      </c>
    </row>
    <row r="986" spans="1:11" hidden="1" x14ac:dyDescent="0.35">
      <c r="A986" s="33">
        <v>30026908</v>
      </c>
      <c r="B986" s="36" t="s">
        <v>606</v>
      </c>
      <c r="C986" s="37" t="s">
        <v>86</v>
      </c>
      <c r="D986" s="38"/>
      <c r="E986" s="38" t="s">
        <v>68</v>
      </c>
      <c r="F986" s="37">
        <v>10</v>
      </c>
      <c r="G986" s="37">
        <v>10</v>
      </c>
      <c r="H986" s="37">
        <v>15</v>
      </c>
      <c r="I986" s="37" t="s">
        <v>8</v>
      </c>
      <c r="J986" s="37" t="s">
        <v>7</v>
      </c>
      <c r="K986" s="62">
        <f t="shared" si="15"/>
        <v>0.75</v>
      </c>
    </row>
    <row r="987" spans="1:11" hidden="1" x14ac:dyDescent="0.35">
      <c r="A987" s="33">
        <v>30027269</v>
      </c>
      <c r="B987" s="36" t="s">
        <v>607</v>
      </c>
      <c r="C987" s="37" t="s">
        <v>86</v>
      </c>
      <c r="D987" s="38"/>
      <c r="E987" s="38" t="s">
        <v>68</v>
      </c>
      <c r="F987" s="37">
        <v>3</v>
      </c>
      <c r="G987" s="37">
        <v>2</v>
      </c>
      <c r="H987" s="37">
        <v>3</v>
      </c>
      <c r="I987" s="37" t="s">
        <v>8</v>
      </c>
      <c r="J987" s="37" t="s">
        <v>9</v>
      </c>
      <c r="K987" s="62">
        <f t="shared" si="15"/>
        <v>0.6</v>
      </c>
    </row>
    <row r="988" spans="1:11" x14ac:dyDescent="0.35">
      <c r="A988" s="33">
        <v>30027382</v>
      </c>
      <c r="B988" s="36" t="s">
        <v>608</v>
      </c>
      <c r="C988" s="37" t="s">
        <v>86</v>
      </c>
      <c r="D988" s="38"/>
      <c r="E988" s="38" t="s">
        <v>68</v>
      </c>
      <c r="F988" s="37">
        <v>1</v>
      </c>
      <c r="G988" s="37">
        <v>1</v>
      </c>
      <c r="H988" s="37">
        <v>67</v>
      </c>
      <c r="I988" s="37" t="s">
        <v>8</v>
      </c>
      <c r="J988" s="37" t="s">
        <v>14</v>
      </c>
      <c r="K988" s="62">
        <f t="shared" si="15"/>
        <v>33.5</v>
      </c>
    </row>
    <row r="989" spans="1:11" hidden="1" x14ac:dyDescent="0.35">
      <c r="A989" s="33">
        <v>30028040</v>
      </c>
      <c r="B989" s="36" t="s">
        <v>1487</v>
      </c>
      <c r="C989" s="37" t="s">
        <v>86</v>
      </c>
      <c r="D989" s="38"/>
      <c r="E989" s="38" t="s">
        <v>68</v>
      </c>
      <c r="F989" s="37">
        <v>2</v>
      </c>
      <c r="G989" s="37">
        <v>2</v>
      </c>
      <c r="H989" s="37">
        <v>6</v>
      </c>
      <c r="I989" s="37" t="s">
        <v>8</v>
      </c>
      <c r="J989" s="37" t="s">
        <v>14</v>
      </c>
      <c r="K989" s="62">
        <f t="shared" si="15"/>
        <v>1.5</v>
      </c>
    </row>
    <row r="990" spans="1:11" hidden="1" x14ac:dyDescent="0.35">
      <c r="A990" s="33">
        <v>30028518</v>
      </c>
      <c r="B990" s="36" t="s">
        <v>1370</v>
      </c>
      <c r="C990" s="37" t="s">
        <v>86</v>
      </c>
      <c r="D990" s="38"/>
      <c r="E990" s="38" t="s">
        <v>68</v>
      </c>
      <c r="F990" s="37">
        <v>4</v>
      </c>
      <c r="G990" s="37">
        <v>4</v>
      </c>
      <c r="H990" s="37">
        <v>6</v>
      </c>
      <c r="I990" s="37" t="s">
        <v>8</v>
      </c>
      <c r="J990" s="37" t="s">
        <v>13</v>
      </c>
      <c r="K990" s="62">
        <f t="shared" si="15"/>
        <v>0.75</v>
      </c>
    </row>
    <row r="991" spans="1:11" hidden="1" x14ac:dyDescent="0.35">
      <c r="A991" s="33">
        <v>30028519</v>
      </c>
      <c r="B991" s="36" t="s">
        <v>609</v>
      </c>
      <c r="C991" s="37" t="s">
        <v>86</v>
      </c>
      <c r="D991" s="38"/>
      <c r="E991" s="38" t="s">
        <v>68</v>
      </c>
      <c r="F991" s="37">
        <v>2</v>
      </c>
      <c r="G991" s="37">
        <v>2</v>
      </c>
      <c r="H991" s="37">
        <v>2</v>
      </c>
      <c r="I991" s="37" t="s">
        <v>8</v>
      </c>
      <c r="J991" s="37" t="s">
        <v>7</v>
      </c>
      <c r="K991" s="62">
        <f t="shared" si="15"/>
        <v>0.5</v>
      </c>
    </row>
    <row r="992" spans="1:11" hidden="1" x14ac:dyDescent="0.35">
      <c r="A992" s="33">
        <v>30028581</v>
      </c>
      <c r="B992" s="36" t="s">
        <v>610</v>
      </c>
      <c r="C992" s="37" t="s">
        <v>86</v>
      </c>
      <c r="D992" s="38"/>
      <c r="E992" s="38" t="s">
        <v>68</v>
      </c>
      <c r="F992" s="37">
        <v>2</v>
      </c>
      <c r="G992" s="37">
        <v>2</v>
      </c>
      <c r="H992" s="37">
        <v>2</v>
      </c>
      <c r="I992" s="37" t="s">
        <v>8</v>
      </c>
      <c r="J992" s="37" t="s">
        <v>7</v>
      </c>
      <c r="K992" s="62">
        <f t="shared" si="15"/>
        <v>0.5</v>
      </c>
    </row>
    <row r="993" spans="1:11" hidden="1" x14ac:dyDescent="0.35">
      <c r="A993" s="33">
        <v>30029182</v>
      </c>
      <c r="B993" s="36" t="s">
        <v>1350</v>
      </c>
      <c r="C993" s="37" t="s">
        <v>86</v>
      </c>
      <c r="D993" s="38"/>
      <c r="E993" s="38" t="s">
        <v>68</v>
      </c>
      <c r="F993" s="37">
        <v>2</v>
      </c>
      <c r="G993" s="37">
        <v>4</v>
      </c>
      <c r="H993" s="37">
        <v>10</v>
      </c>
      <c r="I993" s="37" t="s">
        <v>8</v>
      </c>
      <c r="J993" s="37" t="s">
        <v>14</v>
      </c>
      <c r="K993" s="62">
        <f t="shared" si="15"/>
        <v>1.6666666666666667</v>
      </c>
    </row>
    <row r="994" spans="1:11" hidden="1" x14ac:dyDescent="0.35">
      <c r="A994" s="33">
        <v>30029241</v>
      </c>
      <c r="B994" s="36" t="s">
        <v>611</v>
      </c>
      <c r="C994" s="37" t="s">
        <v>86</v>
      </c>
      <c r="D994" s="38"/>
      <c r="E994" s="38" t="s">
        <v>68</v>
      </c>
      <c r="F994" s="37">
        <v>2</v>
      </c>
      <c r="G994" s="37">
        <v>1</v>
      </c>
      <c r="H994" s="37">
        <v>2</v>
      </c>
      <c r="I994" s="37" t="s">
        <v>8</v>
      </c>
      <c r="J994" s="37" t="s">
        <v>7</v>
      </c>
      <c r="K994" s="62">
        <f t="shared" si="15"/>
        <v>0.66666666666666663</v>
      </c>
    </row>
    <row r="995" spans="1:11" hidden="1" x14ac:dyDescent="0.35">
      <c r="A995" s="33">
        <v>30029403</v>
      </c>
      <c r="B995" s="36" t="s">
        <v>612</v>
      </c>
      <c r="C995" s="37" t="s">
        <v>86</v>
      </c>
      <c r="D995" s="38"/>
      <c r="E995" s="38" t="s">
        <v>68</v>
      </c>
      <c r="F995" s="37">
        <v>2</v>
      </c>
      <c r="G995" s="37">
        <v>3</v>
      </c>
      <c r="H995" s="37">
        <v>2</v>
      </c>
      <c r="I995" s="37" t="s">
        <v>8</v>
      </c>
      <c r="J995" s="37" t="s">
        <v>7</v>
      </c>
      <c r="K995" s="62">
        <f t="shared" si="15"/>
        <v>0.4</v>
      </c>
    </row>
    <row r="996" spans="1:11" hidden="1" x14ac:dyDescent="0.35">
      <c r="A996" s="33">
        <v>30029699</v>
      </c>
      <c r="B996" s="36" t="s">
        <v>1162</v>
      </c>
      <c r="C996" s="37" t="s">
        <v>86</v>
      </c>
      <c r="D996" s="38"/>
      <c r="E996" s="38" t="s">
        <v>102</v>
      </c>
      <c r="F996" s="37">
        <v>3</v>
      </c>
      <c r="G996" s="37">
        <v>2</v>
      </c>
      <c r="H996" s="37">
        <v>3</v>
      </c>
      <c r="I996" s="37" t="s">
        <v>8</v>
      </c>
      <c r="J996" s="37" t="s">
        <v>7</v>
      </c>
      <c r="K996" s="62">
        <f t="shared" si="15"/>
        <v>0.6</v>
      </c>
    </row>
    <row r="997" spans="1:11" hidden="1" x14ac:dyDescent="0.35">
      <c r="A997" s="33">
        <v>30029757</v>
      </c>
      <c r="B997" s="36" t="s">
        <v>1163</v>
      </c>
      <c r="C997" s="37" t="s">
        <v>86</v>
      </c>
      <c r="D997" s="38" t="s">
        <v>1225</v>
      </c>
      <c r="E997" s="38" t="s">
        <v>102</v>
      </c>
      <c r="F997" s="37">
        <v>5</v>
      </c>
      <c r="G997" s="37">
        <v>4</v>
      </c>
      <c r="H997" s="37">
        <v>8</v>
      </c>
      <c r="I997" s="37" t="s">
        <v>8</v>
      </c>
      <c r="J997" s="37" t="s">
        <v>7</v>
      </c>
      <c r="K997" s="62">
        <f t="shared" si="15"/>
        <v>0.88888888888888884</v>
      </c>
    </row>
    <row r="998" spans="1:11" hidden="1" x14ac:dyDescent="0.35">
      <c r="A998" s="33">
        <v>30029870</v>
      </c>
      <c r="B998" s="36" t="s">
        <v>613</v>
      </c>
      <c r="C998" s="37" t="s">
        <v>86</v>
      </c>
      <c r="D998" s="38"/>
      <c r="E998" s="38" t="s">
        <v>68</v>
      </c>
      <c r="F998" s="37">
        <v>9</v>
      </c>
      <c r="G998" s="37">
        <v>4</v>
      </c>
      <c r="H998" s="37">
        <v>10</v>
      </c>
      <c r="I998" s="37" t="s">
        <v>8</v>
      </c>
      <c r="J998" s="37" t="s">
        <v>7</v>
      </c>
      <c r="K998" s="62">
        <f t="shared" si="15"/>
        <v>0.76923076923076927</v>
      </c>
    </row>
    <row r="999" spans="1:11" hidden="1" x14ac:dyDescent="0.35">
      <c r="A999" s="33">
        <v>30029871</v>
      </c>
      <c r="B999" s="36" t="s">
        <v>614</v>
      </c>
      <c r="C999" s="37" t="s">
        <v>86</v>
      </c>
      <c r="D999" s="38"/>
      <c r="E999" s="38" t="s">
        <v>68</v>
      </c>
      <c r="F999" s="37">
        <v>6</v>
      </c>
      <c r="G999" s="37">
        <v>10</v>
      </c>
      <c r="H999" s="37">
        <v>14</v>
      </c>
      <c r="I999" s="37" t="s">
        <v>8</v>
      </c>
      <c r="J999" s="37" t="s">
        <v>7</v>
      </c>
      <c r="K999" s="62">
        <f t="shared" si="15"/>
        <v>0.875</v>
      </c>
    </row>
    <row r="1000" spans="1:11" hidden="1" x14ac:dyDescent="0.35">
      <c r="A1000" s="33">
        <v>30029906</v>
      </c>
      <c r="B1000" s="36" t="s">
        <v>615</v>
      </c>
      <c r="C1000" s="37" t="s">
        <v>86</v>
      </c>
      <c r="D1000" s="38"/>
      <c r="E1000" s="38" t="s">
        <v>68</v>
      </c>
      <c r="F1000" s="37">
        <v>6</v>
      </c>
      <c r="G1000" s="37">
        <v>10</v>
      </c>
      <c r="H1000" s="37">
        <v>14</v>
      </c>
      <c r="I1000" s="37" t="s">
        <v>8</v>
      </c>
      <c r="J1000" s="37" t="s">
        <v>7</v>
      </c>
      <c r="K1000" s="62">
        <f t="shared" si="15"/>
        <v>0.875</v>
      </c>
    </row>
    <row r="1001" spans="1:11" hidden="1" x14ac:dyDescent="0.35">
      <c r="A1001" s="33">
        <v>30029934</v>
      </c>
      <c r="B1001" s="36" t="s">
        <v>1164</v>
      </c>
      <c r="C1001" s="37" t="s">
        <v>86</v>
      </c>
      <c r="D1001" s="38" t="s">
        <v>1225</v>
      </c>
      <c r="E1001" s="38" t="s">
        <v>102</v>
      </c>
      <c r="F1001" s="37">
        <v>2</v>
      </c>
      <c r="G1001" s="37">
        <v>2</v>
      </c>
      <c r="H1001" s="37">
        <v>2</v>
      </c>
      <c r="I1001" s="37" t="s">
        <v>8</v>
      </c>
      <c r="J1001" s="37" t="s">
        <v>7</v>
      </c>
      <c r="K1001" s="62">
        <f t="shared" si="15"/>
        <v>0.5</v>
      </c>
    </row>
    <row r="1002" spans="1:11" hidden="1" x14ac:dyDescent="0.35">
      <c r="A1002" s="33">
        <v>30029941</v>
      </c>
      <c r="B1002" s="36" t="s">
        <v>616</v>
      </c>
      <c r="C1002" s="37" t="s">
        <v>86</v>
      </c>
      <c r="D1002" s="38"/>
      <c r="E1002" s="38" t="s">
        <v>68</v>
      </c>
      <c r="F1002" s="37">
        <v>50</v>
      </c>
      <c r="G1002" s="37">
        <v>50</v>
      </c>
      <c r="H1002" s="37">
        <v>45</v>
      </c>
      <c r="I1002" s="37" t="s">
        <v>25</v>
      </c>
      <c r="J1002" s="37" t="s">
        <v>9</v>
      </c>
      <c r="K1002" s="62">
        <f t="shared" si="15"/>
        <v>0.45</v>
      </c>
    </row>
    <row r="1003" spans="1:11" hidden="1" x14ac:dyDescent="0.35">
      <c r="A1003" s="33">
        <v>30030170</v>
      </c>
      <c r="B1003" s="36" t="s">
        <v>617</v>
      </c>
      <c r="C1003" s="37" t="s">
        <v>86</v>
      </c>
      <c r="D1003" s="38"/>
      <c r="E1003" s="38" t="s">
        <v>68</v>
      </c>
      <c r="F1003" s="37">
        <v>2</v>
      </c>
      <c r="G1003" s="37">
        <v>3</v>
      </c>
      <c r="H1003" s="37">
        <v>0</v>
      </c>
      <c r="I1003" s="37" t="s">
        <v>8</v>
      </c>
      <c r="J1003" s="37" t="s">
        <v>13</v>
      </c>
      <c r="K1003" s="62">
        <f t="shared" si="15"/>
        <v>0</v>
      </c>
    </row>
    <row r="1004" spans="1:11" hidden="1" x14ac:dyDescent="0.35">
      <c r="A1004" s="33">
        <v>30030171</v>
      </c>
      <c r="B1004" s="36" t="s">
        <v>1400</v>
      </c>
      <c r="C1004" s="37" t="s">
        <v>86</v>
      </c>
      <c r="D1004" s="38"/>
      <c r="E1004" s="38" t="s">
        <v>102</v>
      </c>
      <c r="F1004" s="37">
        <v>2</v>
      </c>
      <c r="G1004" s="37">
        <v>1</v>
      </c>
      <c r="H1004" s="37">
        <v>2</v>
      </c>
      <c r="I1004" s="37" t="s">
        <v>8</v>
      </c>
      <c r="J1004" s="37" t="s">
        <v>7</v>
      </c>
      <c r="K1004" s="62">
        <f t="shared" si="15"/>
        <v>0.66666666666666663</v>
      </c>
    </row>
    <row r="1005" spans="1:11" hidden="1" x14ac:dyDescent="0.35">
      <c r="A1005" s="33">
        <v>30030284</v>
      </c>
      <c r="B1005" s="36" t="s">
        <v>902</v>
      </c>
      <c r="C1005" s="37" t="s">
        <v>86</v>
      </c>
      <c r="D1005" s="38"/>
      <c r="E1005" s="38" t="s">
        <v>102</v>
      </c>
      <c r="F1005" s="37">
        <v>2</v>
      </c>
      <c r="G1005" s="37">
        <v>1</v>
      </c>
      <c r="H1005" s="37">
        <v>2</v>
      </c>
      <c r="I1005" s="37" t="s">
        <v>8</v>
      </c>
      <c r="J1005" s="37" t="s">
        <v>7</v>
      </c>
      <c r="K1005" s="62">
        <f t="shared" si="15"/>
        <v>0.66666666666666663</v>
      </c>
    </row>
    <row r="1006" spans="1:11" hidden="1" x14ac:dyDescent="0.35">
      <c r="A1006" s="33">
        <v>30030285</v>
      </c>
      <c r="B1006" s="36" t="s">
        <v>903</v>
      </c>
      <c r="C1006" s="37" t="s">
        <v>86</v>
      </c>
      <c r="D1006" s="38" t="s">
        <v>1225</v>
      </c>
      <c r="E1006" s="38" t="s">
        <v>102</v>
      </c>
      <c r="F1006" s="37">
        <v>2</v>
      </c>
      <c r="G1006" s="37">
        <v>1</v>
      </c>
      <c r="H1006" s="37">
        <v>3</v>
      </c>
      <c r="I1006" s="37" t="s">
        <v>8</v>
      </c>
      <c r="J1006" s="37" t="s">
        <v>7</v>
      </c>
      <c r="K1006" s="62">
        <f t="shared" si="15"/>
        <v>1</v>
      </c>
    </row>
    <row r="1007" spans="1:11" hidden="1" x14ac:dyDescent="0.35">
      <c r="A1007" s="33">
        <v>30030288</v>
      </c>
      <c r="B1007" s="36" t="s">
        <v>904</v>
      </c>
      <c r="C1007" s="37" t="s">
        <v>86</v>
      </c>
      <c r="D1007" s="38"/>
      <c r="E1007" s="38" t="s">
        <v>102</v>
      </c>
      <c r="F1007" s="37">
        <v>3</v>
      </c>
      <c r="G1007" s="37">
        <v>3</v>
      </c>
      <c r="H1007" s="37">
        <v>5</v>
      </c>
      <c r="I1007" s="37" t="s">
        <v>8</v>
      </c>
      <c r="J1007" s="37" t="s">
        <v>7</v>
      </c>
      <c r="K1007" s="62">
        <f t="shared" si="15"/>
        <v>0.83333333333333337</v>
      </c>
    </row>
    <row r="1008" spans="1:11" hidden="1" x14ac:dyDescent="0.35">
      <c r="A1008" s="33">
        <v>30030293</v>
      </c>
      <c r="B1008" s="36" t="s">
        <v>905</v>
      </c>
      <c r="C1008" s="37" t="s">
        <v>86</v>
      </c>
      <c r="D1008" s="38"/>
      <c r="E1008" s="38" t="s">
        <v>102</v>
      </c>
      <c r="F1008" s="37">
        <v>3</v>
      </c>
      <c r="G1008" s="37">
        <v>2</v>
      </c>
      <c r="H1008" s="37">
        <v>6</v>
      </c>
      <c r="I1008" s="37" t="s">
        <v>8</v>
      </c>
      <c r="J1008" s="37" t="s">
        <v>14</v>
      </c>
      <c r="K1008" s="62">
        <f t="shared" si="15"/>
        <v>1.2</v>
      </c>
    </row>
    <row r="1009" spans="1:11" hidden="1" x14ac:dyDescent="0.35">
      <c r="A1009" s="33">
        <v>30030294</v>
      </c>
      <c r="B1009" s="36" t="s">
        <v>906</v>
      </c>
      <c r="C1009" s="37" t="s">
        <v>86</v>
      </c>
      <c r="D1009" s="38" t="s">
        <v>1225</v>
      </c>
      <c r="E1009" s="38" t="s">
        <v>102</v>
      </c>
      <c r="F1009" s="37">
        <v>2</v>
      </c>
      <c r="G1009" s="37">
        <v>2</v>
      </c>
      <c r="H1009" s="37">
        <v>4</v>
      </c>
      <c r="I1009" s="37" t="s">
        <v>8</v>
      </c>
      <c r="J1009" s="37" t="s">
        <v>7</v>
      </c>
      <c r="K1009" s="62">
        <f t="shared" si="15"/>
        <v>1</v>
      </c>
    </row>
    <row r="1010" spans="1:11" hidden="1" x14ac:dyDescent="0.35">
      <c r="A1010" s="33">
        <v>30030296</v>
      </c>
      <c r="B1010" s="36" t="s">
        <v>907</v>
      </c>
      <c r="C1010" s="37" t="s">
        <v>86</v>
      </c>
      <c r="D1010" s="38"/>
      <c r="E1010" s="38" t="s">
        <v>102</v>
      </c>
      <c r="F1010" s="37">
        <v>2</v>
      </c>
      <c r="G1010" s="37">
        <v>2</v>
      </c>
      <c r="H1010" s="37">
        <v>2</v>
      </c>
      <c r="I1010" s="37" t="s">
        <v>8</v>
      </c>
      <c r="J1010" s="37" t="s">
        <v>7</v>
      </c>
      <c r="K1010" s="62">
        <f t="shared" si="15"/>
        <v>0.5</v>
      </c>
    </row>
    <row r="1011" spans="1:11" hidden="1" x14ac:dyDescent="0.35">
      <c r="A1011" s="33">
        <v>30030298</v>
      </c>
      <c r="B1011" s="36" t="s">
        <v>908</v>
      </c>
      <c r="C1011" s="37" t="s">
        <v>86</v>
      </c>
      <c r="D1011" s="38" t="s">
        <v>1225</v>
      </c>
      <c r="E1011" s="38" t="s">
        <v>102</v>
      </c>
      <c r="F1011" s="37">
        <v>2</v>
      </c>
      <c r="G1011" s="37">
        <v>1</v>
      </c>
      <c r="H1011" s="37">
        <v>3</v>
      </c>
      <c r="I1011" s="37" t="s">
        <v>8</v>
      </c>
      <c r="J1011" s="37" t="s">
        <v>7</v>
      </c>
      <c r="K1011" s="62">
        <f t="shared" si="15"/>
        <v>1</v>
      </c>
    </row>
    <row r="1012" spans="1:11" x14ac:dyDescent="0.35">
      <c r="A1012" s="33">
        <v>30030652</v>
      </c>
      <c r="B1012" s="36" t="s">
        <v>618</v>
      </c>
      <c r="C1012" s="37" t="s">
        <v>86</v>
      </c>
      <c r="D1012" s="38"/>
      <c r="E1012" s="38" t="s">
        <v>68</v>
      </c>
      <c r="F1012" s="37">
        <v>3</v>
      </c>
      <c r="G1012" s="37">
        <v>4</v>
      </c>
      <c r="H1012" s="37">
        <v>112</v>
      </c>
      <c r="I1012" s="37" t="s">
        <v>8</v>
      </c>
      <c r="J1012" s="37" t="s">
        <v>14</v>
      </c>
      <c r="K1012" s="62">
        <f t="shared" si="15"/>
        <v>16</v>
      </c>
    </row>
    <row r="1013" spans="1:11" x14ac:dyDescent="0.35">
      <c r="A1013" s="33">
        <v>30030663</v>
      </c>
      <c r="B1013" s="36" t="s">
        <v>1401</v>
      </c>
      <c r="C1013" s="37" t="s">
        <v>86</v>
      </c>
      <c r="D1013" s="38"/>
      <c r="E1013" s="38" t="s">
        <v>68</v>
      </c>
      <c r="F1013" s="37">
        <v>2</v>
      </c>
      <c r="G1013" s="37">
        <v>3</v>
      </c>
      <c r="H1013" s="37">
        <v>424</v>
      </c>
      <c r="I1013" s="37" t="s">
        <v>8</v>
      </c>
      <c r="J1013" s="37" t="s">
        <v>14</v>
      </c>
      <c r="K1013" s="62">
        <f t="shared" si="15"/>
        <v>84.8</v>
      </c>
    </row>
    <row r="1014" spans="1:11" hidden="1" x14ac:dyDescent="0.35">
      <c r="A1014" s="33">
        <v>30030711</v>
      </c>
      <c r="B1014" s="36" t="s">
        <v>909</v>
      </c>
      <c r="C1014" s="37" t="s">
        <v>86</v>
      </c>
      <c r="D1014" s="38" t="s">
        <v>1225</v>
      </c>
      <c r="E1014" s="38" t="s">
        <v>102</v>
      </c>
      <c r="F1014" s="37">
        <v>2</v>
      </c>
      <c r="G1014" s="37">
        <v>2</v>
      </c>
      <c r="H1014" s="37">
        <v>1</v>
      </c>
      <c r="I1014" s="37" t="s">
        <v>8</v>
      </c>
      <c r="J1014" s="37" t="s">
        <v>9</v>
      </c>
      <c r="K1014" s="62">
        <f t="shared" si="15"/>
        <v>0.25</v>
      </c>
    </row>
    <row r="1015" spans="1:11" hidden="1" x14ac:dyDescent="0.35">
      <c r="A1015" s="33">
        <v>30030714</v>
      </c>
      <c r="B1015" s="36" t="s">
        <v>1086</v>
      </c>
      <c r="C1015" s="37" t="s">
        <v>86</v>
      </c>
      <c r="D1015" s="38" t="s">
        <v>1225</v>
      </c>
      <c r="E1015" s="38" t="s">
        <v>102</v>
      </c>
      <c r="F1015" s="37">
        <v>2</v>
      </c>
      <c r="G1015" s="37">
        <v>1</v>
      </c>
      <c r="H1015" s="37">
        <v>3</v>
      </c>
      <c r="I1015" s="37" t="s">
        <v>8</v>
      </c>
      <c r="J1015" s="37" t="s">
        <v>7</v>
      </c>
      <c r="K1015" s="62">
        <f t="shared" si="15"/>
        <v>1</v>
      </c>
    </row>
    <row r="1016" spans="1:11" hidden="1" x14ac:dyDescent="0.35">
      <c r="A1016" s="33">
        <v>30030765</v>
      </c>
      <c r="B1016" s="36" t="s">
        <v>1351</v>
      </c>
      <c r="C1016" s="37" t="s">
        <v>86</v>
      </c>
      <c r="D1016" s="38"/>
      <c r="E1016" s="38" t="s">
        <v>68</v>
      </c>
      <c r="F1016" s="37">
        <v>1</v>
      </c>
      <c r="G1016" s="37">
        <v>2</v>
      </c>
      <c r="H1016" s="37">
        <v>1</v>
      </c>
      <c r="I1016" s="37" t="s">
        <v>8</v>
      </c>
      <c r="J1016" s="37" t="s">
        <v>7</v>
      </c>
      <c r="K1016" s="62">
        <f t="shared" si="15"/>
        <v>0.33333333333333331</v>
      </c>
    </row>
    <row r="1017" spans="1:11" hidden="1" x14ac:dyDescent="0.35">
      <c r="A1017" s="33">
        <v>30030969</v>
      </c>
      <c r="B1017" s="36" t="s">
        <v>619</v>
      </c>
      <c r="C1017" s="37" t="s">
        <v>86</v>
      </c>
      <c r="D1017" s="38"/>
      <c r="E1017" s="38" t="s">
        <v>68</v>
      </c>
      <c r="F1017" s="37">
        <v>3</v>
      </c>
      <c r="G1017" s="37">
        <v>4</v>
      </c>
      <c r="H1017" s="37">
        <v>3</v>
      </c>
      <c r="I1017" s="37" t="s">
        <v>8</v>
      </c>
      <c r="J1017" s="37" t="s">
        <v>7</v>
      </c>
      <c r="K1017" s="62">
        <f t="shared" si="15"/>
        <v>0.42857142857142855</v>
      </c>
    </row>
    <row r="1018" spans="1:11" hidden="1" x14ac:dyDescent="0.35">
      <c r="A1018" s="33">
        <v>30031074</v>
      </c>
      <c r="B1018" s="36" t="s">
        <v>1272</v>
      </c>
      <c r="C1018" s="37" t="s">
        <v>86</v>
      </c>
      <c r="D1018" s="38"/>
      <c r="E1018" s="38" t="s">
        <v>68</v>
      </c>
      <c r="F1018" s="37">
        <v>4</v>
      </c>
      <c r="G1018" s="37">
        <v>2</v>
      </c>
      <c r="H1018" s="37">
        <v>3</v>
      </c>
      <c r="I1018" s="37" t="s">
        <v>8</v>
      </c>
      <c r="J1018" s="37" t="s">
        <v>9</v>
      </c>
      <c r="K1018" s="62">
        <f t="shared" si="15"/>
        <v>0.5</v>
      </c>
    </row>
    <row r="1019" spans="1:11" hidden="1" x14ac:dyDescent="0.35">
      <c r="A1019" s="33">
        <v>30031092</v>
      </c>
      <c r="B1019" s="36" t="s">
        <v>1053</v>
      </c>
      <c r="C1019" s="37" t="s">
        <v>86</v>
      </c>
      <c r="D1019" s="38"/>
      <c r="E1019" s="38" t="s">
        <v>102</v>
      </c>
      <c r="F1019" s="37">
        <v>5</v>
      </c>
      <c r="G1019" s="37">
        <v>4</v>
      </c>
      <c r="H1019" s="37">
        <v>10</v>
      </c>
      <c r="I1019" s="37" t="s">
        <v>8</v>
      </c>
      <c r="J1019" s="37" t="s">
        <v>14</v>
      </c>
      <c r="K1019" s="62">
        <f t="shared" si="15"/>
        <v>1.1111111111111112</v>
      </c>
    </row>
    <row r="1020" spans="1:11" hidden="1" x14ac:dyDescent="0.35">
      <c r="A1020" s="33">
        <v>30031213</v>
      </c>
      <c r="B1020" s="36" t="s">
        <v>1165</v>
      </c>
      <c r="C1020" s="37" t="s">
        <v>86</v>
      </c>
      <c r="D1020" s="38"/>
      <c r="E1020" s="38" t="s">
        <v>102</v>
      </c>
      <c r="F1020" s="37">
        <v>3</v>
      </c>
      <c r="G1020" s="37">
        <v>2</v>
      </c>
      <c r="H1020" s="37">
        <v>3</v>
      </c>
      <c r="I1020" s="37" t="s">
        <v>8</v>
      </c>
      <c r="J1020" s="37" t="s">
        <v>7</v>
      </c>
      <c r="K1020" s="62">
        <f t="shared" si="15"/>
        <v>0.6</v>
      </c>
    </row>
    <row r="1021" spans="1:11" hidden="1" x14ac:dyDescent="0.35">
      <c r="A1021" s="33">
        <v>30031228</v>
      </c>
      <c r="B1021" s="36" t="s">
        <v>620</v>
      </c>
      <c r="C1021" s="37" t="s">
        <v>86</v>
      </c>
      <c r="D1021" s="38"/>
      <c r="E1021" s="38" t="s">
        <v>68</v>
      </c>
      <c r="F1021" s="37">
        <v>4</v>
      </c>
      <c r="G1021" s="37">
        <v>4</v>
      </c>
      <c r="H1021" s="37">
        <v>7</v>
      </c>
      <c r="I1021" s="37" t="s">
        <v>8</v>
      </c>
      <c r="J1021" s="37" t="s">
        <v>7</v>
      </c>
      <c r="K1021" s="62">
        <f t="shared" si="15"/>
        <v>0.875</v>
      </c>
    </row>
    <row r="1022" spans="1:11" hidden="1" x14ac:dyDescent="0.35">
      <c r="A1022" s="33">
        <v>30031233</v>
      </c>
      <c r="B1022" s="36" t="s">
        <v>1352</v>
      </c>
      <c r="C1022" s="37" t="s">
        <v>86</v>
      </c>
      <c r="D1022" s="38"/>
      <c r="E1022" s="38" t="s">
        <v>68</v>
      </c>
      <c r="F1022" s="37">
        <v>2</v>
      </c>
      <c r="G1022" s="37">
        <v>4</v>
      </c>
      <c r="H1022" s="37">
        <v>7</v>
      </c>
      <c r="I1022" s="37" t="s">
        <v>8</v>
      </c>
      <c r="J1022" s="37" t="s">
        <v>14</v>
      </c>
      <c r="K1022" s="62">
        <f t="shared" si="15"/>
        <v>1.1666666666666667</v>
      </c>
    </row>
    <row r="1023" spans="1:11" hidden="1" x14ac:dyDescent="0.35">
      <c r="A1023" s="33">
        <v>30031278</v>
      </c>
      <c r="B1023" s="36" t="s">
        <v>621</v>
      </c>
      <c r="C1023" s="37" t="s">
        <v>86</v>
      </c>
      <c r="D1023" s="38"/>
      <c r="E1023" s="38" t="s">
        <v>68</v>
      </c>
      <c r="F1023" s="37">
        <v>2</v>
      </c>
      <c r="G1023" s="37">
        <v>3</v>
      </c>
      <c r="H1023" s="37">
        <v>15</v>
      </c>
      <c r="I1023" s="37" t="s">
        <v>8</v>
      </c>
      <c r="J1023" s="37" t="s">
        <v>14</v>
      </c>
      <c r="K1023" s="62">
        <f t="shared" si="15"/>
        <v>3</v>
      </c>
    </row>
    <row r="1024" spans="1:11" hidden="1" x14ac:dyDescent="0.35">
      <c r="A1024" s="33">
        <v>30031432</v>
      </c>
      <c r="B1024" s="36" t="s">
        <v>858</v>
      </c>
      <c r="C1024" s="37" t="s">
        <v>86</v>
      </c>
      <c r="D1024" s="38"/>
      <c r="E1024" s="38" t="s">
        <v>102</v>
      </c>
      <c r="F1024" s="37">
        <v>1</v>
      </c>
      <c r="G1024" s="37">
        <v>2</v>
      </c>
      <c r="H1024" s="37">
        <v>3</v>
      </c>
      <c r="I1024" s="37" t="s">
        <v>8</v>
      </c>
      <c r="J1024" s="37" t="s">
        <v>7</v>
      </c>
      <c r="K1024" s="62">
        <f t="shared" si="15"/>
        <v>1</v>
      </c>
    </row>
    <row r="1025" spans="1:11" hidden="1" x14ac:dyDescent="0.35">
      <c r="A1025" s="33">
        <v>30031445</v>
      </c>
      <c r="B1025" s="36" t="s">
        <v>859</v>
      </c>
      <c r="C1025" s="37" t="s">
        <v>86</v>
      </c>
      <c r="D1025" s="38"/>
      <c r="E1025" s="38" t="s">
        <v>102</v>
      </c>
      <c r="F1025" s="37">
        <v>1</v>
      </c>
      <c r="G1025" s="37">
        <v>2</v>
      </c>
      <c r="H1025" s="37">
        <v>4</v>
      </c>
      <c r="I1025" s="37" t="s">
        <v>8</v>
      </c>
      <c r="J1025" s="37" t="s">
        <v>14</v>
      </c>
      <c r="K1025" s="62">
        <f t="shared" si="15"/>
        <v>1.3333333333333333</v>
      </c>
    </row>
    <row r="1026" spans="1:11" hidden="1" x14ac:dyDescent="0.35">
      <c r="A1026" s="33">
        <v>30031744</v>
      </c>
      <c r="B1026" s="36" t="s">
        <v>1166</v>
      </c>
      <c r="C1026" s="37" t="s">
        <v>86</v>
      </c>
      <c r="D1026" s="38" t="s">
        <v>1225</v>
      </c>
      <c r="E1026" s="38" t="s">
        <v>102</v>
      </c>
      <c r="F1026" s="37">
        <v>1</v>
      </c>
      <c r="G1026" s="37">
        <v>2</v>
      </c>
      <c r="H1026" s="37">
        <v>0</v>
      </c>
      <c r="I1026" s="37" t="s">
        <v>8</v>
      </c>
      <c r="J1026" s="37" t="s">
        <v>13</v>
      </c>
      <c r="K1026" s="62">
        <f t="shared" si="15"/>
        <v>0</v>
      </c>
    </row>
    <row r="1027" spans="1:11" hidden="1" x14ac:dyDescent="0.35">
      <c r="A1027" s="33">
        <v>30032033</v>
      </c>
      <c r="B1027" s="36" t="s">
        <v>1313</v>
      </c>
      <c r="C1027" s="37" t="s">
        <v>86</v>
      </c>
      <c r="D1027" s="38"/>
      <c r="E1027" s="38" t="s">
        <v>68</v>
      </c>
      <c r="F1027" s="37">
        <v>1</v>
      </c>
      <c r="G1027" s="37">
        <v>2</v>
      </c>
      <c r="H1027" s="37">
        <v>5</v>
      </c>
      <c r="I1027" s="37" t="s">
        <v>8</v>
      </c>
      <c r="J1027" s="37" t="s">
        <v>14</v>
      </c>
      <c r="K1027" s="62">
        <f t="shared" si="15"/>
        <v>1.6666666666666667</v>
      </c>
    </row>
    <row r="1028" spans="1:11" hidden="1" x14ac:dyDescent="0.35">
      <c r="A1028" s="33">
        <v>30032263</v>
      </c>
      <c r="B1028" s="36" t="s">
        <v>622</v>
      </c>
      <c r="C1028" s="37" t="s">
        <v>86</v>
      </c>
      <c r="D1028" s="38"/>
      <c r="E1028" s="38" t="s">
        <v>68</v>
      </c>
      <c r="F1028" s="37">
        <v>10</v>
      </c>
      <c r="G1028" s="37">
        <v>10</v>
      </c>
      <c r="H1028" s="37">
        <v>16</v>
      </c>
      <c r="I1028" s="37" t="s">
        <v>8</v>
      </c>
      <c r="J1028" s="37" t="s">
        <v>7</v>
      </c>
      <c r="K1028" s="62">
        <f t="shared" si="15"/>
        <v>0.8</v>
      </c>
    </row>
    <row r="1029" spans="1:11" hidden="1" x14ac:dyDescent="0.35">
      <c r="A1029" s="33">
        <v>30032318</v>
      </c>
      <c r="B1029" s="36" t="s">
        <v>1505</v>
      </c>
      <c r="C1029" s="37" t="s">
        <v>86</v>
      </c>
      <c r="D1029" s="38"/>
      <c r="E1029" s="38" t="s">
        <v>68</v>
      </c>
      <c r="F1029" s="37">
        <v>2</v>
      </c>
      <c r="G1029" s="37">
        <v>1</v>
      </c>
      <c r="H1029" s="37">
        <v>2</v>
      </c>
      <c r="I1029" s="37" t="s">
        <v>8</v>
      </c>
      <c r="J1029" s="37" t="s">
        <v>7</v>
      </c>
      <c r="K1029" s="62">
        <f t="shared" si="15"/>
        <v>0.66666666666666663</v>
      </c>
    </row>
    <row r="1030" spans="1:11" hidden="1" x14ac:dyDescent="0.35">
      <c r="A1030" s="33">
        <v>30032474</v>
      </c>
      <c r="B1030" s="36" t="s">
        <v>623</v>
      </c>
      <c r="C1030" s="37" t="s">
        <v>86</v>
      </c>
      <c r="D1030" s="38"/>
      <c r="E1030" s="38" t="s">
        <v>68</v>
      </c>
      <c r="F1030" s="37">
        <v>2</v>
      </c>
      <c r="G1030" s="37">
        <v>2</v>
      </c>
      <c r="H1030" s="37">
        <v>2</v>
      </c>
      <c r="I1030" s="37" t="s">
        <v>8</v>
      </c>
      <c r="J1030" s="37" t="s">
        <v>7</v>
      </c>
      <c r="K1030" s="62">
        <f t="shared" si="15"/>
        <v>0.5</v>
      </c>
    </row>
    <row r="1031" spans="1:11" hidden="1" x14ac:dyDescent="0.35">
      <c r="A1031" s="33">
        <v>30032475</v>
      </c>
      <c r="B1031" s="36" t="s">
        <v>624</v>
      </c>
      <c r="C1031" s="37" t="s">
        <v>86</v>
      </c>
      <c r="D1031" s="38"/>
      <c r="E1031" s="38" t="s">
        <v>68</v>
      </c>
      <c r="F1031" s="37">
        <v>1</v>
      </c>
      <c r="G1031" s="37">
        <v>1</v>
      </c>
      <c r="H1031" s="37">
        <v>1</v>
      </c>
      <c r="I1031" s="37" t="s">
        <v>8</v>
      </c>
      <c r="J1031" s="37" t="s">
        <v>7</v>
      </c>
      <c r="K1031" s="62">
        <f t="shared" si="15"/>
        <v>0.5</v>
      </c>
    </row>
    <row r="1032" spans="1:11" hidden="1" x14ac:dyDescent="0.35">
      <c r="A1032" s="33">
        <v>30032476</v>
      </c>
      <c r="B1032" s="36" t="s">
        <v>625</v>
      </c>
      <c r="C1032" s="37" t="s">
        <v>86</v>
      </c>
      <c r="D1032" s="38"/>
      <c r="E1032" s="38" t="s">
        <v>68</v>
      </c>
      <c r="F1032" s="37">
        <v>1</v>
      </c>
      <c r="G1032" s="37">
        <v>1</v>
      </c>
      <c r="H1032" s="37">
        <v>1</v>
      </c>
      <c r="I1032" s="37" t="s">
        <v>8</v>
      </c>
      <c r="J1032" s="37" t="s">
        <v>7</v>
      </c>
      <c r="K1032" s="62">
        <f t="shared" si="15"/>
        <v>0.5</v>
      </c>
    </row>
    <row r="1033" spans="1:11" hidden="1" x14ac:dyDescent="0.35">
      <c r="A1033" s="33">
        <v>30032493</v>
      </c>
      <c r="B1033" s="36" t="s">
        <v>910</v>
      </c>
      <c r="C1033" s="37" t="s">
        <v>86</v>
      </c>
      <c r="D1033" s="38" t="s">
        <v>1225</v>
      </c>
      <c r="E1033" s="38" t="s">
        <v>102</v>
      </c>
      <c r="F1033" s="37">
        <v>2</v>
      </c>
      <c r="G1033" s="37">
        <v>2</v>
      </c>
      <c r="H1033" s="37">
        <v>4</v>
      </c>
      <c r="I1033" s="37" t="s">
        <v>8</v>
      </c>
      <c r="J1033" s="37" t="s">
        <v>7</v>
      </c>
      <c r="K1033" s="62">
        <f t="shared" ref="K1033:K1096" si="16">H1033/(F1033+G1033)</f>
        <v>1</v>
      </c>
    </row>
    <row r="1034" spans="1:11" hidden="1" x14ac:dyDescent="0.35">
      <c r="A1034" s="33">
        <v>30032494</v>
      </c>
      <c r="B1034" s="36" t="s">
        <v>911</v>
      </c>
      <c r="C1034" s="37" t="s">
        <v>86</v>
      </c>
      <c r="D1034" s="38" t="s">
        <v>1225</v>
      </c>
      <c r="E1034" s="38" t="s">
        <v>102</v>
      </c>
      <c r="F1034" s="37">
        <v>2</v>
      </c>
      <c r="G1034" s="37">
        <v>1</v>
      </c>
      <c r="H1034" s="37">
        <v>4</v>
      </c>
      <c r="I1034" s="37" t="s">
        <v>8</v>
      </c>
      <c r="J1034" s="37" t="s">
        <v>14</v>
      </c>
      <c r="K1034" s="62">
        <f t="shared" si="16"/>
        <v>1.3333333333333333</v>
      </c>
    </row>
    <row r="1035" spans="1:11" hidden="1" x14ac:dyDescent="0.35">
      <c r="A1035" s="33">
        <v>30032495</v>
      </c>
      <c r="B1035" s="36" t="s">
        <v>912</v>
      </c>
      <c r="C1035" s="37" t="s">
        <v>86</v>
      </c>
      <c r="D1035" s="38"/>
      <c r="E1035" s="38" t="s">
        <v>102</v>
      </c>
      <c r="F1035" s="37">
        <v>2</v>
      </c>
      <c r="G1035" s="37">
        <v>1</v>
      </c>
      <c r="H1035" s="37">
        <v>2</v>
      </c>
      <c r="I1035" s="37" t="s">
        <v>8</v>
      </c>
      <c r="J1035" s="37" t="s">
        <v>7</v>
      </c>
      <c r="K1035" s="62">
        <f t="shared" si="16"/>
        <v>0.66666666666666663</v>
      </c>
    </row>
    <row r="1036" spans="1:11" hidden="1" x14ac:dyDescent="0.35">
      <c r="A1036" s="33">
        <v>30032817</v>
      </c>
      <c r="B1036" s="36" t="s">
        <v>626</v>
      </c>
      <c r="C1036" s="37" t="s">
        <v>86</v>
      </c>
      <c r="D1036" s="38"/>
      <c r="E1036" s="38" t="s">
        <v>68</v>
      </c>
      <c r="F1036" s="37">
        <v>1</v>
      </c>
      <c r="G1036" s="37">
        <v>1</v>
      </c>
      <c r="H1036" s="37">
        <v>7</v>
      </c>
      <c r="I1036" s="37" t="s">
        <v>8</v>
      </c>
      <c r="J1036" s="37" t="s">
        <v>14</v>
      </c>
      <c r="K1036" s="62">
        <f t="shared" si="16"/>
        <v>3.5</v>
      </c>
    </row>
    <row r="1037" spans="1:11" hidden="1" x14ac:dyDescent="0.35">
      <c r="A1037" s="33">
        <v>30033307</v>
      </c>
      <c r="B1037" s="36" t="s">
        <v>1453</v>
      </c>
      <c r="C1037" s="37" t="s">
        <v>86</v>
      </c>
      <c r="D1037" s="38"/>
      <c r="E1037" s="38" t="s">
        <v>68</v>
      </c>
      <c r="F1037" s="37">
        <v>2</v>
      </c>
      <c r="G1037" s="37">
        <v>4</v>
      </c>
      <c r="H1037" s="37">
        <v>8</v>
      </c>
      <c r="I1037" s="37" t="s">
        <v>8</v>
      </c>
      <c r="J1037" s="37" t="s">
        <v>14</v>
      </c>
      <c r="K1037" s="62">
        <f t="shared" si="16"/>
        <v>1.3333333333333333</v>
      </c>
    </row>
    <row r="1038" spans="1:11" hidden="1" x14ac:dyDescent="0.35">
      <c r="A1038" s="33">
        <v>30033491</v>
      </c>
      <c r="B1038" s="36" t="s">
        <v>1290</v>
      </c>
      <c r="C1038" s="37" t="s">
        <v>86</v>
      </c>
      <c r="D1038" s="38"/>
      <c r="E1038" s="38" t="s">
        <v>68</v>
      </c>
      <c r="F1038" s="37">
        <v>2</v>
      </c>
      <c r="G1038" s="37">
        <v>2</v>
      </c>
      <c r="H1038" s="37">
        <v>3</v>
      </c>
      <c r="I1038" s="37" t="s">
        <v>8</v>
      </c>
      <c r="J1038" s="37" t="s">
        <v>7</v>
      </c>
      <c r="K1038" s="62">
        <f t="shared" si="16"/>
        <v>0.75</v>
      </c>
    </row>
    <row r="1039" spans="1:11" hidden="1" x14ac:dyDescent="0.35">
      <c r="A1039" s="33">
        <v>30033798</v>
      </c>
      <c r="B1039" s="36" t="s">
        <v>1314</v>
      </c>
      <c r="C1039" s="37" t="s">
        <v>86</v>
      </c>
      <c r="D1039" s="38"/>
      <c r="E1039" s="38" t="s">
        <v>68</v>
      </c>
      <c r="F1039" s="37">
        <v>2</v>
      </c>
      <c r="G1039" s="37">
        <v>2</v>
      </c>
      <c r="H1039" s="37">
        <v>1</v>
      </c>
      <c r="I1039" s="37" t="s">
        <v>8</v>
      </c>
      <c r="J1039" s="37" t="s">
        <v>7</v>
      </c>
      <c r="K1039" s="62">
        <f t="shared" si="16"/>
        <v>0.25</v>
      </c>
    </row>
    <row r="1040" spans="1:11" hidden="1" x14ac:dyDescent="0.35">
      <c r="A1040" s="33">
        <v>30033806</v>
      </c>
      <c r="B1040" s="36" t="s">
        <v>1315</v>
      </c>
      <c r="C1040" s="37" t="s">
        <v>86</v>
      </c>
      <c r="D1040" s="38"/>
      <c r="E1040" s="38" t="s">
        <v>68</v>
      </c>
      <c r="F1040" s="37">
        <v>2</v>
      </c>
      <c r="G1040" s="37">
        <v>2</v>
      </c>
      <c r="H1040" s="37">
        <v>2</v>
      </c>
      <c r="I1040" s="37" t="s">
        <v>8</v>
      </c>
      <c r="J1040" s="37" t="s">
        <v>9</v>
      </c>
      <c r="K1040" s="62">
        <f t="shared" si="16"/>
        <v>0.5</v>
      </c>
    </row>
    <row r="1041" spans="1:11" hidden="1" x14ac:dyDescent="0.35">
      <c r="A1041" s="33">
        <v>30033822</v>
      </c>
      <c r="B1041" s="36" t="s">
        <v>627</v>
      </c>
      <c r="C1041" s="37" t="s">
        <v>86</v>
      </c>
      <c r="D1041" s="38"/>
      <c r="E1041" s="38" t="s">
        <v>68</v>
      </c>
      <c r="F1041" s="37">
        <v>9</v>
      </c>
      <c r="G1041" s="37">
        <v>15</v>
      </c>
      <c r="H1041" s="37">
        <v>79</v>
      </c>
      <c r="I1041" s="37" t="s">
        <v>8</v>
      </c>
      <c r="J1041" s="37" t="s">
        <v>14</v>
      </c>
      <c r="K1041" s="62">
        <f t="shared" si="16"/>
        <v>3.2916666666666665</v>
      </c>
    </row>
    <row r="1042" spans="1:11" hidden="1" x14ac:dyDescent="0.35">
      <c r="A1042" s="33">
        <v>30033823</v>
      </c>
      <c r="B1042" s="36" t="s">
        <v>628</v>
      </c>
      <c r="C1042" s="37" t="s">
        <v>86</v>
      </c>
      <c r="D1042" s="38"/>
      <c r="E1042" s="38" t="s">
        <v>68</v>
      </c>
      <c r="F1042" s="37">
        <v>2</v>
      </c>
      <c r="G1042" s="37">
        <v>2</v>
      </c>
      <c r="H1042" s="37">
        <v>3</v>
      </c>
      <c r="I1042" s="37" t="s">
        <v>8</v>
      </c>
      <c r="J1042" s="37" t="s">
        <v>7</v>
      </c>
      <c r="K1042" s="62">
        <f t="shared" si="16"/>
        <v>0.75</v>
      </c>
    </row>
    <row r="1043" spans="1:11" hidden="1" x14ac:dyDescent="0.35">
      <c r="A1043" s="33">
        <v>30033824</v>
      </c>
      <c r="B1043" s="36" t="s">
        <v>629</v>
      </c>
      <c r="C1043" s="37" t="s">
        <v>86</v>
      </c>
      <c r="D1043" s="38"/>
      <c r="E1043" s="38" t="s">
        <v>68</v>
      </c>
      <c r="F1043" s="37">
        <v>2</v>
      </c>
      <c r="G1043" s="37">
        <v>3</v>
      </c>
      <c r="H1043" s="37">
        <v>6</v>
      </c>
      <c r="I1043" s="37" t="s">
        <v>8</v>
      </c>
      <c r="J1043" s="37" t="s">
        <v>14</v>
      </c>
      <c r="K1043" s="62">
        <f t="shared" si="16"/>
        <v>1.2</v>
      </c>
    </row>
    <row r="1044" spans="1:11" hidden="1" x14ac:dyDescent="0.35">
      <c r="A1044" s="33">
        <v>30033825</v>
      </c>
      <c r="B1044" s="36" t="s">
        <v>630</v>
      </c>
      <c r="C1044" s="37" t="s">
        <v>86</v>
      </c>
      <c r="D1044" s="38"/>
      <c r="E1044" s="38" t="s">
        <v>68</v>
      </c>
      <c r="F1044" s="37">
        <v>4</v>
      </c>
      <c r="G1044" s="37">
        <v>6</v>
      </c>
      <c r="H1044" s="37">
        <v>18</v>
      </c>
      <c r="I1044" s="37" t="s">
        <v>8</v>
      </c>
      <c r="J1044" s="37" t="s">
        <v>14</v>
      </c>
      <c r="K1044" s="62">
        <f t="shared" si="16"/>
        <v>1.8</v>
      </c>
    </row>
    <row r="1045" spans="1:11" hidden="1" x14ac:dyDescent="0.35">
      <c r="A1045" s="33">
        <v>30033826</v>
      </c>
      <c r="B1045" s="36" t="s">
        <v>631</v>
      </c>
      <c r="C1045" s="37" t="s">
        <v>86</v>
      </c>
      <c r="D1045" s="38"/>
      <c r="E1045" s="38" t="s">
        <v>68</v>
      </c>
      <c r="F1045" s="37">
        <v>4</v>
      </c>
      <c r="G1045" s="37">
        <v>6</v>
      </c>
      <c r="H1045" s="37">
        <v>7</v>
      </c>
      <c r="I1045" s="37" t="s">
        <v>8</v>
      </c>
      <c r="J1045" s="37" t="s">
        <v>7</v>
      </c>
      <c r="K1045" s="62">
        <f t="shared" si="16"/>
        <v>0.7</v>
      </c>
    </row>
    <row r="1046" spans="1:11" hidden="1" x14ac:dyDescent="0.35">
      <c r="A1046" s="33">
        <v>30033827</v>
      </c>
      <c r="B1046" s="36" t="s">
        <v>632</v>
      </c>
      <c r="C1046" s="37" t="s">
        <v>86</v>
      </c>
      <c r="D1046" s="38"/>
      <c r="E1046" s="38" t="s">
        <v>68</v>
      </c>
      <c r="F1046" s="37">
        <v>5</v>
      </c>
      <c r="G1046" s="37">
        <v>7</v>
      </c>
      <c r="H1046" s="37">
        <v>6</v>
      </c>
      <c r="I1046" s="37" t="s">
        <v>8</v>
      </c>
      <c r="J1046" s="37" t="s">
        <v>9</v>
      </c>
      <c r="K1046" s="62">
        <f t="shared" si="16"/>
        <v>0.5</v>
      </c>
    </row>
    <row r="1047" spans="1:11" hidden="1" x14ac:dyDescent="0.35">
      <c r="A1047" s="33">
        <v>30033829</v>
      </c>
      <c r="B1047" s="36" t="s">
        <v>633</v>
      </c>
      <c r="C1047" s="37" t="s">
        <v>86</v>
      </c>
      <c r="D1047" s="38"/>
      <c r="E1047" s="38" t="s">
        <v>68</v>
      </c>
      <c r="F1047" s="37">
        <v>4</v>
      </c>
      <c r="G1047" s="37">
        <v>6</v>
      </c>
      <c r="H1047" s="37">
        <v>8</v>
      </c>
      <c r="I1047" s="37" t="s">
        <v>8</v>
      </c>
      <c r="J1047" s="37" t="s">
        <v>7</v>
      </c>
      <c r="K1047" s="62">
        <f t="shared" si="16"/>
        <v>0.8</v>
      </c>
    </row>
    <row r="1048" spans="1:11" hidden="1" x14ac:dyDescent="0.35">
      <c r="A1048" s="33">
        <v>30033830</v>
      </c>
      <c r="B1048" s="36" t="s">
        <v>634</v>
      </c>
      <c r="C1048" s="37" t="s">
        <v>86</v>
      </c>
      <c r="D1048" s="38"/>
      <c r="E1048" s="38" t="s">
        <v>68</v>
      </c>
      <c r="F1048" s="37">
        <v>1</v>
      </c>
      <c r="G1048" s="37">
        <v>1</v>
      </c>
      <c r="H1048" s="37">
        <v>2</v>
      </c>
      <c r="I1048" s="37" t="s">
        <v>8</v>
      </c>
      <c r="J1048" s="37" t="s">
        <v>7</v>
      </c>
      <c r="K1048" s="62">
        <f t="shared" si="16"/>
        <v>1</v>
      </c>
    </row>
    <row r="1049" spans="1:11" hidden="1" x14ac:dyDescent="0.35">
      <c r="A1049" s="33">
        <v>30033831</v>
      </c>
      <c r="B1049" s="36" t="s">
        <v>635</v>
      </c>
      <c r="C1049" s="37" t="s">
        <v>86</v>
      </c>
      <c r="D1049" s="38"/>
      <c r="E1049" s="38" t="s">
        <v>68</v>
      </c>
      <c r="F1049" s="37">
        <v>4</v>
      </c>
      <c r="G1049" s="37">
        <v>8</v>
      </c>
      <c r="H1049" s="37">
        <v>16</v>
      </c>
      <c r="I1049" s="37" t="s">
        <v>8</v>
      </c>
      <c r="J1049" s="37" t="s">
        <v>14</v>
      </c>
      <c r="K1049" s="62">
        <f t="shared" si="16"/>
        <v>1.3333333333333333</v>
      </c>
    </row>
    <row r="1050" spans="1:11" hidden="1" x14ac:dyDescent="0.35">
      <c r="A1050" s="33">
        <v>30033930</v>
      </c>
      <c r="B1050" s="36" t="s">
        <v>913</v>
      </c>
      <c r="C1050" s="37" t="s">
        <v>86</v>
      </c>
      <c r="D1050" s="38" t="s">
        <v>1225</v>
      </c>
      <c r="E1050" s="38" t="s">
        <v>102</v>
      </c>
      <c r="F1050" s="37">
        <v>2</v>
      </c>
      <c r="G1050" s="37">
        <v>2</v>
      </c>
      <c r="H1050" s="37">
        <v>3</v>
      </c>
      <c r="I1050" s="37" t="s">
        <v>8</v>
      </c>
      <c r="J1050" s="37" t="s">
        <v>7</v>
      </c>
      <c r="K1050" s="62">
        <f t="shared" si="16"/>
        <v>0.75</v>
      </c>
    </row>
    <row r="1051" spans="1:11" hidden="1" x14ac:dyDescent="0.35">
      <c r="A1051" s="33">
        <v>30033948</v>
      </c>
      <c r="B1051" s="36" t="s">
        <v>636</v>
      </c>
      <c r="C1051" s="37" t="s">
        <v>86</v>
      </c>
      <c r="D1051" s="38"/>
      <c r="E1051" s="38" t="s">
        <v>68</v>
      </c>
      <c r="F1051" s="37">
        <v>2</v>
      </c>
      <c r="G1051" s="37">
        <v>2</v>
      </c>
      <c r="H1051" s="37">
        <v>3</v>
      </c>
      <c r="I1051" s="37" t="s">
        <v>8</v>
      </c>
      <c r="J1051" s="37" t="s">
        <v>7</v>
      </c>
      <c r="K1051" s="62">
        <f t="shared" si="16"/>
        <v>0.75</v>
      </c>
    </row>
    <row r="1052" spans="1:11" hidden="1" x14ac:dyDescent="0.35">
      <c r="A1052" s="33">
        <v>30034647</v>
      </c>
      <c r="B1052" s="36" t="s">
        <v>1353</v>
      </c>
      <c r="C1052" s="37" t="s">
        <v>86</v>
      </c>
      <c r="D1052" s="38"/>
      <c r="E1052" s="38" t="s">
        <v>68</v>
      </c>
      <c r="F1052" s="37">
        <v>2</v>
      </c>
      <c r="G1052" s="37">
        <v>4</v>
      </c>
      <c r="H1052" s="37">
        <v>5</v>
      </c>
      <c r="I1052" s="37" t="s">
        <v>8</v>
      </c>
      <c r="J1052" s="37" t="s">
        <v>7</v>
      </c>
      <c r="K1052" s="62">
        <f t="shared" si="16"/>
        <v>0.83333333333333337</v>
      </c>
    </row>
    <row r="1053" spans="1:11" hidden="1" x14ac:dyDescent="0.35">
      <c r="A1053" s="33">
        <v>30034648</v>
      </c>
      <c r="B1053" s="36" t="s">
        <v>1316</v>
      </c>
      <c r="C1053" s="37" t="s">
        <v>86</v>
      </c>
      <c r="D1053" s="38"/>
      <c r="E1053" s="38" t="s">
        <v>68</v>
      </c>
      <c r="F1053" s="37">
        <v>2</v>
      </c>
      <c r="G1053" s="37">
        <v>4</v>
      </c>
      <c r="H1053" s="37">
        <v>6</v>
      </c>
      <c r="I1053" s="37" t="s">
        <v>8</v>
      </c>
      <c r="J1053" s="37" t="s">
        <v>7</v>
      </c>
      <c r="K1053" s="62">
        <f t="shared" si="16"/>
        <v>1</v>
      </c>
    </row>
    <row r="1054" spans="1:11" hidden="1" x14ac:dyDescent="0.35">
      <c r="A1054" s="33">
        <v>30035667</v>
      </c>
      <c r="B1054" s="36" t="s">
        <v>1317</v>
      </c>
      <c r="C1054" s="37" t="s">
        <v>86</v>
      </c>
      <c r="D1054" s="38"/>
      <c r="E1054" s="38" t="s">
        <v>68</v>
      </c>
      <c r="F1054" s="37">
        <v>10</v>
      </c>
      <c r="G1054" s="37">
        <v>20</v>
      </c>
      <c r="H1054" s="37">
        <v>19</v>
      </c>
      <c r="I1054" s="37" t="s">
        <v>8</v>
      </c>
      <c r="J1054" s="37" t="s">
        <v>7</v>
      </c>
      <c r="K1054" s="62">
        <f t="shared" si="16"/>
        <v>0.6333333333333333</v>
      </c>
    </row>
    <row r="1055" spans="1:11" hidden="1" x14ac:dyDescent="0.35">
      <c r="A1055" s="33">
        <v>30036125</v>
      </c>
      <c r="B1055" s="36" t="s">
        <v>637</v>
      </c>
      <c r="C1055" s="37" t="s">
        <v>86</v>
      </c>
      <c r="D1055" s="38"/>
      <c r="E1055" s="38" t="s">
        <v>68</v>
      </c>
      <c r="F1055" s="37">
        <v>3</v>
      </c>
      <c r="G1055" s="37">
        <v>4</v>
      </c>
      <c r="H1055" s="37">
        <v>1</v>
      </c>
      <c r="I1055" s="37" t="s">
        <v>8</v>
      </c>
      <c r="J1055" s="37" t="s">
        <v>9</v>
      </c>
      <c r="K1055" s="62">
        <f t="shared" si="16"/>
        <v>0.14285714285714285</v>
      </c>
    </row>
    <row r="1056" spans="1:11" hidden="1" x14ac:dyDescent="0.35">
      <c r="A1056" s="33">
        <v>30036258</v>
      </c>
      <c r="B1056" s="36" t="s">
        <v>638</v>
      </c>
      <c r="C1056" s="37" t="s">
        <v>86</v>
      </c>
      <c r="D1056" s="38"/>
      <c r="E1056" s="38" t="s">
        <v>68</v>
      </c>
      <c r="F1056" s="37">
        <v>9</v>
      </c>
      <c r="G1056" s="37">
        <v>4</v>
      </c>
      <c r="H1056" s="37">
        <v>9</v>
      </c>
      <c r="I1056" s="37" t="s">
        <v>8</v>
      </c>
      <c r="J1056" s="37" t="s">
        <v>7</v>
      </c>
      <c r="K1056" s="62">
        <f t="shared" si="16"/>
        <v>0.69230769230769229</v>
      </c>
    </row>
    <row r="1057" spans="1:11" hidden="1" x14ac:dyDescent="0.35">
      <c r="A1057" s="33">
        <v>30036413</v>
      </c>
      <c r="B1057" s="36" t="s">
        <v>1536</v>
      </c>
      <c r="C1057" s="37" t="s">
        <v>86</v>
      </c>
      <c r="D1057" s="38"/>
      <c r="E1057" s="38" t="s">
        <v>68</v>
      </c>
      <c r="F1057" s="37">
        <v>2</v>
      </c>
      <c r="G1057" s="37">
        <v>1</v>
      </c>
      <c r="H1057" s="37">
        <v>8</v>
      </c>
      <c r="I1057" s="37" t="s">
        <v>8</v>
      </c>
      <c r="J1057" s="37" t="s">
        <v>7</v>
      </c>
      <c r="K1057" s="62">
        <f t="shared" si="16"/>
        <v>2.6666666666666665</v>
      </c>
    </row>
    <row r="1058" spans="1:11" hidden="1" x14ac:dyDescent="0.35">
      <c r="A1058" s="33">
        <v>30036418</v>
      </c>
      <c r="B1058" s="36" t="s">
        <v>1537</v>
      </c>
      <c r="C1058" s="37" t="s">
        <v>86</v>
      </c>
      <c r="D1058" s="38"/>
      <c r="E1058" s="38" t="s">
        <v>68</v>
      </c>
      <c r="F1058" s="37">
        <v>4</v>
      </c>
      <c r="G1058" s="37">
        <v>2</v>
      </c>
      <c r="H1058" s="37">
        <v>10</v>
      </c>
      <c r="I1058" s="37" t="s">
        <v>8</v>
      </c>
      <c r="J1058" s="37" t="s">
        <v>7</v>
      </c>
      <c r="K1058" s="62">
        <f t="shared" si="16"/>
        <v>1.6666666666666667</v>
      </c>
    </row>
    <row r="1059" spans="1:11" hidden="1" x14ac:dyDescent="0.35">
      <c r="A1059" s="33">
        <v>30036419</v>
      </c>
      <c r="B1059" s="36" t="s">
        <v>1538</v>
      </c>
      <c r="C1059" s="37" t="s">
        <v>86</v>
      </c>
      <c r="D1059" s="38"/>
      <c r="E1059" s="38" t="s">
        <v>68</v>
      </c>
      <c r="F1059" s="37">
        <v>4</v>
      </c>
      <c r="G1059" s="37">
        <v>2</v>
      </c>
      <c r="H1059" s="37">
        <v>9</v>
      </c>
      <c r="I1059" s="37" t="s">
        <v>8</v>
      </c>
      <c r="J1059" s="37" t="s">
        <v>9</v>
      </c>
      <c r="K1059" s="62">
        <f t="shared" si="16"/>
        <v>1.5</v>
      </c>
    </row>
    <row r="1060" spans="1:11" hidden="1" x14ac:dyDescent="0.35">
      <c r="A1060" s="33">
        <v>30036425</v>
      </c>
      <c r="B1060" s="36" t="s">
        <v>639</v>
      </c>
      <c r="C1060" s="37" t="s">
        <v>86</v>
      </c>
      <c r="D1060" s="38"/>
      <c r="E1060" s="38" t="s">
        <v>68</v>
      </c>
      <c r="F1060" s="37">
        <v>11</v>
      </c>
      <c r="G1060" s="37">
        <v>10</v>
      </c>
      <c r="H1060" s="37">
        <v>18</v>
      </c>
      <c r="I1060" s="37" t="s">
        <v>8</v>
      </c>
      <c r="J1060" s="37" t="s">
        <v>7</v>
      </c>
      <c r="K1060" s="62">
        <f t="shared" si="16"/>
        <v>0.8571428571428571</v>
      </c>
    </row>
    <row r="1061" spans="1:11" hidden="1" x14ac:dyDescent="0.35">
      <c r="A1061" s="33">
        <v>30036426</v>
      </c>
      <c r="B1061" s="36" t="s">
        <v>1054</v>
      </c>
      <c r="C1061" s="37" t="s">
        <v>86</v>
      </c>
      <c r="D1061" s="38"/>
      <c r="E1061" s="38" t="s">
        <v>68</v>
      </c>
      <c r="F1061" s="37">
        <v>7</v>
      </c>
      <c r="G1061" s="37">
        <v>6</v>
      </c>
      <c r="H1061" s="37">
        <v>8</v>
      </c>
      <c r="I1061" s="37" t="s">
        <v>8</v>
      </c>
      <c r="J1061" s="37" t="s">
        <v>7</v>
      </c>
      <c r="K1061" s="62">
        <f t="shared" si="16"/>
        <v>0.61538461538461542</v>
      </c>
    </row>
    <row r="1062" spans="1:11" hidden="1" x14ac:dyDescent="0.35">
      <c r="A1062" s="33">
        <v>30036576</v>
      </c>
      <c r="B1062" s="36" t="s">
        <v>640</v>
      </c>
      <c r="C1062" s="37" t="s">
        <v>86</v>
      </c>
      <c r="D1062" s="38"/>
      <c r="E1062" s="38" t="s">
        <v>68</v>
      </c>
      <c r="F1062" s="37">
        <v>60</v>
      </c>
      <c r="G1062" s="37">
        <v>80</v>
      </c>
      <c r="H1062" s="37">
        <v>80</v>
      </c>
      <c r="I1062" s="37" t="s">
        <v>24</v>
      </c>
      <c r="J1062" s="37" t="s">
        <v>7</v>
      </c>
      <c r="K1062" s="62">
        <f t="shared" si="16"/>
        <v>0.5714285714285714</v>
      </c>
    </row>
    <row r="1063" spans="1:11" hidden="1" x14ac:dyDescent="0.35">
      <c r="A1063" s="33">
        <v>30037793</v>
      </c>
      <c r="B1063" s="36" t="s">
        <v>641</v>
      </c>
      <c r="C1063" s="37" t="s">
        <v>86</v>
      </c>
      <c r="D1063" s="38"/>
      <c r="E1063" s="38" t="s">
        <v>68</v>
      </c>
      <c r="F1063" s="37">
        <v>2</v>
      </c>
      <c r="G1063" s="37">
        <v>4</v>
      </c>
      <c r="H1063" s="37">
        <v>10</v>
      </c>
      <c r="I1063" s="37" t="s">
        <v>8</v>
      </c>
      <c r="J1063" s="37" t="s">
        <v>14</v>
      </c>
      <c r="K1063" s="62">
        <f t="shared" si="16"/>
        <v>1.6666666666666667</v>
      </c>
    </row>
    <row r="1064" spans="1:11" hidden="1" x14ac:dyDescent="0.35">
      <c r="A1064" s="33">
        <v>30037797</v>
      </c>
      <c r="B1064" s="36" t="s">
        <v>1055</v>
      </c>
      <c r="C1064" s="37" t="s">
        <v>86</v>
      </c>
      <c r="D1064" s="38"/>
      <c r="E1064" s="38" t="s">
        <v>102</v>
      </c>
      <c r="F1064" s="37">
        <v>201</v>
      </c>
      <c r="G1064" s="37">
        <v>200</v>
      </c>
      <c r="H1064" s="37">
        <v>202</v>
      </c>
      <c r="I1064" s="37" t="s">
        <v>8</v>
      </c>
      <c r="J1064" s="37" t="s">
        <v>7</v>
      </c>
      <c r="K1064" s="62">
        <f t="shared" si="16"/>
        <v>0.50374064837905241</v>
      </c>
    </row>
    <row r="1065" spans="1:11" hidden="1" x14ac:dyDescent="0.35">
      <c r="A1065" s="33">
        <v>30037859</v>
      </c>
      <c r="B1065" s="36" t="s">
        <v>642</v>
      </c>
      <c r="C1065" s="37" t="s">
        <v>86</v>
      </c>
      <c r="D1065" s="38"/>
      <c r="E1065" s="38" t="s">
        <v>68</v>
      </c>
      <c r="F1065" s="37">
        <v>2</v>
      </c>
      <c r="G1065" s="37">
        <v>1</v>
      </c>
      <c r="H1065" s="37">
        <v>2</v>
      </c>
      <c r="I1065" s="37" t="s">
        <v>8</v>
      </c>
      <c r="J1065" s="37" t="s">
        <v>7</v>
      </c>
      <c r="K1065" s="62">
        <f t="shared" si="16"/>
        <v>0.66666666666666663</v>
      </c>
    </row>
    <row r="1066" spans="1:11" hidden="1" x14ac:dyDescent="0.35">
      <c r="A1066" s="33">
        <v>30037868</v>
      </c>
      <c r="B1066" s="36" t="s">
        <v>643</v>
      </c>
      <c r="C1066" s="37" t="s">
        <v>86</v>
      </c>
      <c r="D1066" s="38"/>
      <c r="E1066" s="38" t="s">
        <v>68</v>
      </c>
      <c r="F1066" s="37">
        <v>2</v>
      </c>
      <c r="G1066" s="37">
        <v>2</v>
      </c>
      <c r="H1066" s="37">
        <v>4</v>
      </c>
      <c r="I1066" s="37" t="s">
        <v>8</v>
      </c>
      <c r="J1066" s="37" t="s">
        <v>9</v>
      </c>
      <c r="K1066" s="62">
        <f t="shared" si="16"/>
        <v>1</v>
      </c>
    </row>
    <row r="1067" spans="1:11" hidden="1" x14ac:dyDescent="0.35">
      <c r="A1067" s="33">
        <v>30037869</v>
      </c>
      <c r="B1067" s="36" t="s">
        <v>644</v>
      </c>
      <c r="C1067" s="37" t="s">
        <v>86</v>
      </c>
      <c r="D1067" s="38"/>
      <c r="E1067" s="38" t="s">
        <v>68</v>
      </c>
      <c r="F1067" s="37">
        <v>2</v>
      </c>
      <c r="G1067" s="37">
        <v>1</v>
      </c>
      <c r="H1067" s="37">
        <v>2</v>
      </c>
      <c r="I1067" s="37" t="s">
        <v>8</v>
      </c>
      <c r="J1067" s="37" t="s">
        <v>7</v>
      </c>
      <c r="K1067" s="62">
        <f t="shared" si="16"/>
        <v>0.66666666666666663</v>
      </c>
    </row>
    <row r="1068" spans="1:11" hidden="1" x14ac:dyDescent="0.35">
      <c r="A1068" s="33">
        <v>30037870</v>
      </c>
      <c r="B1068" s="36" t="s">
        <v>645</v>
      </c>
      <c r="C1068" s="37" t="s">
        <v>86</v>
      </c>
      <c r="D1068" s="38"/>
      <c r="E1068" s="38" t="s">
        <v>68</v>
      </c>
      <c r="F1068" s="37">
        <v>3</v>
      </c>
      <c r="G1068" s="37">
        <v>5</v>
      </c>
      <c r="H1068" s="37">
        <v>2</v>
      </c>
      <c r="I1068" s="37" t="s">
        <v>8</v>
      </c>
      <c r="J1068" s="37" t="s">
        <v>9</v>
      </c>
      <c r="K1068" s="62">
        <f t="shared" si="16"/>
        <v>0.25</v>
      </c>
    </row>
    <row r="1069" spans="1:11" hidden="1" x14ac:dyDescent="0.35">
      <c r="A1069" s="33">
        <v>30038088</v>
      </c>
      <c r="B1069" s="36" t="s">
        <v>1255</v>
      </c>
      <c r="C1069" s="37" t="s">
        <v>86</v>
      </c>
      <c r="D1069" s="38"/>
      <c r="E1069" s="38" t="s">
        <v>68</v>
      </c>
      <c r="F1069" s="37">
        <v>2</v>
      </c>
      <c r="G1069" s="37">
        <v>1</v>
      </c>
      <c r="H1069" s="37">
        <v>1</v>
      </c>
      <c r="I1069" s="37" t="s">
        <v>8</v>
      </c>
      <c r="J1069" s="37" t="s">
        <v>13</v>
      </c>
      <c r="K1069" s="62">
        <f t="shared" si="16"/>
        <v>0.33333333333333331</v>
      </c>
    </row>
    <row r="1070" spans="1:11" hidden="1" x14ac:dyDescent="0.35">
      <c r="A1070" s="33">
        <v>30038349</v>
      </c>
      <c r="B1070" s="36" t="s">
        <v>1167</v>
      </c>
      <c r="C1070" s="37" t="s">
        <v>86</v>
      </c>
      <c r="D1070" s="38"/>
      <c r="E1070" s="38" t="s">
        <v>102</v>
      </c>
      <c r="F1070" s="37">
        <v>3</v>
      </c>
      <c r="G1070" s="37">
        <v>2</v>
      </c>
      <c r="H1070" s="37">
        <v>23</v>
      </c>
      <c r="I1070" s="37" t="s">
        <v>8</v>
      </c>
      <c r="J1070" s="37" t="s">
        <v>14</v>
      </c>
      <c r="K1070" s="62">
        <f t="shared" si="16"/>
        <v>4.5999999999999996</v>
      </c>
    </row>
    <row r="1071" spans="1:11" hidden="1" x14ac:dyDescent="0.35">
      <c r="A1071" s="33">
        <v>30038358</v>
      </c>
      <c r="B1071" s="36" t="s">
        <v>1509</v>
      </c>
      <c r="C1071" s="37" t="s">
        <v>86</v>
      </c>
      <c r="D1071" s="38"/>
      <c r="E1071" s="38" t="s">
        <v>68</v>
      </c>
      <c r="F1071" s="37">
        <v>6</v>
      </c>
      <c r="G1071" s="37">
        <v>6</v>
      </c>
      <c r="H1071" s="37">
        <v>5</v>
      </c>
      <c r="I1071" s="37" t="s">
        <v>8</v>
      </c>
      <c r="J1071" s="37" t="s">
        <v>9</v>
      </c>
      <c r="K1071" s="62">
        <f t="shared" si="16"/>
        <v>0.41666666666666669</v>
      </c>
    </row>
    <row r="1072" spans="1:11" hidden="1" x14ac:dyDescent="0.35">
      <c r="A1072" s="33">
        <v>30038374</v>
      </c>
      <c r="B1072" s="36" t="s">
        <v>860</v>
      </c>
      <c r="C1072" s="37" t="s">
        <v>86</v>
      </c>
      <c r="D1072" s="38"/>
      <c r="E1072" s="38" t="s">
        <v>102</v>
      </c>
      <c r="F1072" s="37">
        <v>3</v>
      </c>
      <c r="G1072" s="37">
        <v>2</v>
      </c>
      <c r="H1072" s="37">
        <v>4</v>
      </c>
      <c r="I1072" s="37" t="s">
        <v>8</v>
      </c>
      <c r="J1072" s="37" t="s">
        <v>7</v>
      </c>
      <c r="K1072" s="62">
        <f t="shared" si="16"/>
        <v>0.8</v>
      </c>
    </row>
    <row r="1073" spans="1:11" hidden="1" x14ac:dyDescent="0.35">
      <c r="A1073" s="33">
        <v>30038441</v>
      </c>
      <c r="B1073" s="36" t="s">
        <v>646</v>
      </c>
      <c r="C1073" s="37" t="s">
        <v>86</v>
      </c>
      <c r="D1073" s="38"/>
      <c r="E1073" s="38" t="s">
        <v>68</v>
      </c>
      <c r="F1073" s="37">
        <v>4000</v>
      </c>
      <c r="G1073" s="37">
        <v>4000</v>
      </c>
      <c r="H1073" s="37">
        <v>2600</v>
      </c>
      <c r="I1073" s="37" t="s">
        <v>24</v>
      </c>
      <c r="J1073" s="37" t="s">
        <v>9</v>
      </c>
      <c r="K1073" s="62">
        <f t="shared" si="16"/>
        <v>0.32500000000000001</v>
      </c>
    </row>
    <row r="1074" spans="1:11" hidden="1" x14ac:dyDescent="0.35">
      <c r="A1074" s="33">
        <v>30038471</v>
      </c>
      <c r="B1074" s="36" t="s">
        <v>1318</v>
      </c>
      <c r="C1074" s="37" t="s">
        <v>86</v>
      </c>
      <c r="D1074" s="38"/>
      <c r="E1074" s="38" t="s">
        <v>68</v>
      </c>
      <c r="F1074" s="37">
        <v>2</v>
      </c>
      <c r="G1074" s="37">
        <v>2</v>
      </c>
      <c r="H1074" s="37">
        <v>5</v>
      </c>
      <c r="I1074" s="37" t="s">
        <v>8</v>
      </c>
      <c r="J1074" s="37" t="s">
        <v>14</v>
      </c>
      <c r="K1074" s="62">
        <f t="shared" si="16"/>
        <v>1.25</v>
      </c>
    </row>
    <row r="1075" spans="1:11" hidden="1" x14ac:dyDescent="0.35">
      <c r="A1075" s="33">
        <v>30038497</v>
      </c>
      <c r="B1075" s="36" t="s">
        <v>647</v>
      </c>
      <c r="C1075" s="37" t="s">
        <v>86</v>
      </c>
      <c r="D1075" s="38"/>
      <c r="E1075" s="38" t="s">
        <v>68</v>
      </c>
      <c r="F1075" s="37">
        <v>12</v>
      </c>
      <c r="G1075" s="37">
        <v>20</v>
      </c>
      <c r="H1075" s="37">
        <v>10</v>
      </c>
      <c r="I1075" s="37" t="s">
        <v>8</v>
      </c>
      <c r="J1075" s="37" t="s">
        <v>7</v>
      </c>
      <c r="K1075" s="62">
        <f t="shared" si="16"/>
        <v>0.3125</v>
      </c>
    </row>
    <row r="1076" spans="1:11" hidden="1" x14ac:dyDescent="0.35">
      <c r="A1076" s="33">
        <v>30038525</v>
      </c>
      <c r="B1076" s="36" t="s">
        <v>648</v>
      </c>
      <c r="C1076" s="37" t="s">
        <v>86</v>
      </c>
      <c r="D1076" s="38"/>
      <c r="E1076" s="38" t="s">
        <v>68</v>
      </c>
      <c r="F1076" s="37">
        <v>5</v>
      </c>
      <c r="G1076" s="37">
        <v>10</v>
      </c>
      <c r="H1076" s="37">
        <v>17</v>
      </c>
      <c r="I1076" s="37" t="s">
        <v>8</v>
      </c>
      <c r="J1076" s="37" t="s">
        <v>14</v>
      </c>
      <c r="K1076" s="62">
        <f t="shared" si="16"/>
        <v>1.1333333333333333</v>
      </c>
    </row>
    <row r="1077" spans="1:11" hidden="1" x14ac:dyDescent="0.35">
      <c r="A1077" s="33">
        <v>30038526</v>
      </c>
      <c r="B1077" s="36" t="s">
        <v>649</v>
      </c>
      <c r="C1077" s="37" t="s">
        <v>86</v>
      </c>
      <c r="D1077" s="38"/>
      <c r="E1077" s="38" t="s">
        <v>68</v>
      </c>
      <c r="F1077" s="37">
        <v>7</v>
      </c>
      <c r="G1077" s="37">
        <v>12</v>
      </c>
      <c r="H1077" s="37">
        <v>9</v>
      </c>
      <c r="I1077" s="37" t="s">
        <v>8</v>
      </c>
      <c r="J1077" s="37" t="s">
        <v>7</v>
      </c>
      <c r="K1077" s="62">
        <f t="shared" si="16"/>
        <v>0.47368421052631576</v>
      </c>
    </row>
    <row r="1078" spans="1:11" hidden="1" x14ac:dyDescent="0.35">
      <c r="A1078" s="33">
        <v>30038598</v>
      </c>
      <c r="B1078" s="36" t="s">
        <v>650</v>
      </c>
      <c r="C1078" s="37" t="s">
        <v>86</v>
      </c>
      <c r="D1078" s="38"/>
      <c r="E1078" s="38" t="s">
        <v>68</v>
      </c>
      <c r="F1078" s="37">
        <v>2</v>
      </c>
      <c r="G1078" s="37">
        <v>2</v>
      </c>
      <c r="H1078" s="37">
        <v>0</v>
      </c>
      <c r="I1078" s="37" t="s">
        <v>8</v>
      </c>
      <c r="J1078" s="37" t="s">
        <v>13</v>
      </c>
      <c r="K1078" s="62">
        <f t="shared" si="16"/>
        <v>0</v>
      </c>
    </row>
    <row r="1079" spans="1:11" hidden="1" x14ac:dyDescent="0.35">
      <c r="A1079" s="33">
        <v>30039030</v>
      </c>
      <c r="B1079" s="36" t="s">
        <v>1340</v>
      </c>
      <c r="C1079" s="37" t="s">
        <v>86</v>
      </c>
      <c r="D1079" s="38"/>
      <c r="E1079" s="38" t="s">
        <v>68</v>
      </c>
      <c r="F1079" s="37">
        <v>4</v>
      </c>
      <c r="G1079" s="37">
        <v>6</v>
      </c>
      <c r="H1079" s="37">
        <v>6</v>
      </c>
      <c r="I1079" s="37" t="s">
        <v>8</v>
      </c>
      <c r="J1079" s="37" t="s">
        <v>7</v>
      </c>
      <c r="K1079" s="62">
        <f t="shared" si="16"/>
        <v>0.6</v>
      </c>
    </row>
    <row r="1080" spans="1:11" hidden="1" x14ac:dyDescent="0.35">
      <c r="A1080" s="33">
        <v>30039031</v>
      </c>
      <c r="B1080" s="36" t="s">
        <v>651</v>
      </c>
      <c r="C1080" s="37" t="s">
        <v>86</v>
      </c>
      <c r="D1080" s="38"/>
      <c r="E1080" s="38" t="s">
        <v>68</v>
      </c>
      <c r="F1080" s="37">
        <v>2</v>
      </c>
      <c r="G1080" s="37">
        <v>1</v>
      </c>
      <c r="H1080" s="37">
        <v>2</v>
      </c>
      <c r="I1080" s="37" t="s">
        <v>8</v>
      </c>
      <c r="J1080" s="37" t="s">
        <v>7</v>
      </c>
      <c r="K1080" s="62">
        <f t="shared" si="16"/>
        <v>0.66666666666666663</v>
      </c>
    </row>
    <row r="1081" spans="1:11" hidden="1" x14ac:dyDescent="0.35">
      <c r="A1081" s="33">
        <v>30039035</v>
      </c>
      <c r="B1081" s="36" t="s">
        <v>652</v>
      </c>
      <c r="C1081" s="37" t="s">
        <v>86</v>
      </c>
      <c r="D1081" s="38"/>
      <c r="E1081" s="38" t="s">
        <v>68</v>
      </c>
      <c r="F1081" s="37">
        <v>2</v>
      </c>
      <c r="G1081" s="37">
        <v>4</v>
      </c>
      <c r="H1081" s="37">
        <v>0</v>
      </c>
      <c r="I1081" s="37" t="s">
        <v>8</v>
      </c>
      <c r="J1081" s="37" t="s">
        <v>13</v>
      </c>
      <c r="K1081" s="62">
        <f t="shared" si="16"/>
        <v>0</v>
      </c>
    </row>
    <row r="1082" spans="1:11" hidden="1" x14ac:dyDescent="0.35">
      <c r="A1082" s="33">
        <v>30039144</v>
      </c>
      <c r="B1082" s="36" t="s">
        <v>861</v>
      </c>
      <c r="C1082" s="37" t="s">
        <v>86</v>
      </c>
      <c r="D1082" s="38"/>
      <c r="E1082" s="38" t="s">
        <v>102</v>
      </c>
      <c r="F1082" s="37">
        <v>1</v>
      </c>
      <c r="G1082" s="37">
        <v>2</v>
      </c>
      <c r="H1082" s="37">
        <v>3</v>
      </c>
      <c r="I1082" s="37" t="s">
        <v>8</v>
      </c>
      <c r="J1082" s="37" t="s">
        <v>7</v>
      </c>
      <c r="K1082" s="62">
        <f t="shared" si="16"/>
        <v>1</v>
      </c>
    </row>
    <row r="1083" spans="1:11" hidden="1" x14ac:dyDescent="0.35">
      <c r="A1083" s="33">
        <v>30039193</v>
      </c>
      <c r="B1083" s="36" t="s">
        <v>914</v>
      </c>
      <c r="C1083" s="37" t="s">
        <v>86</v>
      </c>
      <c r="D1083" s="38" t="s">
        <v>1225</v>
      </c>
      <c r="E1083" s="38" t="s">
        <v>102</v>
      </c>
      <c r="F1083" s="37">
        <v>2</v>
      </c>
      <c r="G1083" s="37">
        <v>2</v>
      </c>
      <c r="H1083" s="37">
        <v>0</v>
      </c>
      <c r="I1083" s="37" t="s">
        <v>8</v>
      </c>
      <c r="J1083" s="37" t="s">
        <v>13</v>
      </c>
      <c r="K1083" s="62">
        <f t="shared" si="16"/>
        <v>0</v>
      </c>
    </row>
    <row r="1084" spans="1:11" hidden="1" x14ac:dyDescent="0.35">
      <c r="A1084" s="33">
        <v>30039203</v>
      </c>
      <c r="B1084" s="36" t="s">
        <v>915</v>
      </c>
      <c r="C1084" s="37" t="s">
        <v>86</v>
      </c>
      <c r="D1084" s="38"/>
      <c r="E1084" s="38" t="s">
        <v>102</v>
      </c>
      <c r="F1084" s="37">
        <v>49</v>
      </c>
      <c r="G1084" s="37">
        <v>48</v>
      </c>
      <c r="H1084" s="37">
        <v>48</v>
      </c>
      <c r="I1084" s="37" t="s">
        <v>8</v>
      </c>
      <c r="J1084" s="37" t="s">
        <v>9</v>
      </c>
      <c r="K1084" s="62">
        <f t="shared" si="16"/>
        <v>0.49484536082474229</v>
      </c>
    </row>
    <row r="1085" spans="1:11" hidden="1" x14ac:dyDescent="0.35">
      <c r="A1085" s="33">
        <v>30039344</v>
      </c>
      <c r="B1085" s="36" t="s">
        <v>1418</v>
      </c>
      <c r="C1085" s="37" t="s">
        <v>86</v>
      </c>
      <c r="D1085" s="38"/>
      <c r="E1085" s="38" t="s">
        <v>68</v>
      </c>
      <c r="F1085" s="37">
        <v>1</v>
      </c>
      <c r="G1085" s="37">
        <v>2</v>
      </c>
      <c r="H1085" s="37">
        <v>4</v>
      </c>
      <c r="I1085" s="37" t="s">
        <v>8</v>
      </c>
      <c r="J1085" s="37" t="s">
        <v>14</v>
      </c>
      <c r="K1085" s="62">
        <f t="shared" si="16"/>
        <v>1.3333333333333333</v>
      </c>
    </row>
    <row r="1086" spans="1:11" hidden="1" x14ac:dyDescent="0.35">
      <c r="A1086" s="33">
        <v>30039698</v>
      </c>
      <c r="B1086" s="36" t="s">
        <v>653</v>
      </c>
      <c r="C1086" s="37" t="s">
        <v>86</v>
      </c>
      <c r="D1086" s="38"/>
      <c r="E1086" s="38" t="s">
        <v>68</v>
      </c>
      <c r="F1086" s="37">
        <v>2</v>
      </c>
      <c r="G1086" s="37">
        <v>3</v>
      </c>
      <c r="H1086" s="37">
        <v>4</v>
      </c>
      <c r="I1086" s="37" t="s">
        <v>8</v>
      </c>
      <c r="J1086" s="37" t="s">
        <v>7</v>
      </c>
      <c r="K1086" s="62">
        <f t="shared" si="16"/>
        <v>0.8</v>
      </c>
    </row>
    <row r="1087" spans="1:11" hidden="1" x14ac:dyDescent="0.35">
      <c r="A1087" s="33">
        <v>30039710</v>
      </c>
      <c r="B1087" s="36" t="s">
        <v>654</v>
      </c>
      <c r="C1087" s="37" t="s">
        <v>86</v>
      </c>
      <c r="D1087" s="38"/>
      <c r="E1087" s="38" t="s">
        <v>68</v>
      </c>
      <c r="F1087" s="37">
        <v>4</v>
      </c>
      <c r="G1087" s="37">
        <v>7</v>
      </c>
      <c r="H1087" s="37">
        <v>6</v>
      </c>
      <c r="I1087" s="37" t="s">
        <v>8</v>
      </c>
      <c r="J1087" s="37" t="s">
        <v>9</v>
      </c>
      <c r="K1087" s="62">
        <f t="shared" si="16"/>
        <v>0.54545454545454541</v>
      </c>
    </row>
    <row r="1088" spans="1:11" hidden="1" x14ac:dyDescent="0.35">
      <c r="A1088" s="33">
        <v>30039711</v>
      </c>
      <c r="B1088" s="36" t="s">
        <v>655</v>
      </c>
      <c r="C1088" s="37" t="s">
        <v>86</v>
      </c>
      <c r="D1088" s="38"/>
      <c r="E1088" s="38" t="s">
        <v>68</v>
      </c>
      <c r="F1088" s="37">
        <v>2</v>
      </c>
      <c r="G1088" s="37">
        <v>3</v>
      </c>
      <c r="H1088" s="37">
        <v>3</v>
      </c>
      <c r="I1088" s="37" t="s">
        <v>8</v>
      </c>
      <c r="J1088" s="37" t="s">
        <v>7</v>
      </c>
      <c r="K1088" s="62">
        <f t="shared" si="16"/>
        <v>0.6</v>
      </c>
    </row>
    <row r="1089" spans="1:11" hidden="1" x14ac:dyDescent="0.35">
      <c r="A1089" s="33">
        <v>30039714</v>
      </c>
      <c r="B1089" s="36" t="s">
        <v>656</v>
      </c>
      <c r="C1089" s="37" t="s">
        <v>86</v>
      </c>
      <c r="D1089" s="38"/>
      <c r="E1089" s="38" t="s">
        <v>68</v>
      </c>
      <c r="F1089" s="37">
        <v>10</v>
      </c>
      <c r="G1089" s="37">
        <v>6</v>
      </c>
      <c r="H1089" s="37">
        <v>8</v>
      </c>
      <c r="I1089" s="37" t="s">
        <v>8</v>
      </c>
      <c r="J1089" s="37" t="s">
        <v>9</v>
      </c>
      <c r="K1089" s="62">
        <f t="shared" si="16"/>
        <v>0.5</v>
      </c>
    </row>
    <row r="1090" spans="1:11" hidden="1" x14ac:dyDescent="0.35">
      <c r="A1090" s="33">
        <v>30039715</v>
      </c>
      <c r="B1090" s="36" t="s">
        <v>657</v>
      </c>
      <c r="C1090" s="37" t="s">
        <v>86</v>
      </c>
      <c r="D1090" s="38"/>
      <c r="E1090" s="38" t="s">
        <v>68</v>
      </c>
      <c r="F1090" s="37">
        <v>3</v>
      </c>
      <c r="G1090" s="37">
        <v>5</v>
      </c>
      <c r="H1090" s="37">
        <v>3</v>
      </c>
      <c r="I1090" s="37" t="s">
        <v>8</v>
      </c>
      <c r="J1090" s="37" t="s">
        <v>7</v>
      </c>
      <c r="K1090" s="62">
        <f t="shared" si="16"/>
        <v>0.375</v>
      </c>
    </row>
    <row r="1091" spans="1:11" hidden="1" x14ac:dyDescent="0.35">
      <c r="A1091" s="33">
        <v>30039716</v>
      </c>
      <c r="B1091" s="36" t="s">
        <v>658</v>
      </c>
      <c r="C1091" s="37" t="s">
        <v>86</v>
      </c>
      <c r="D1091" s="38"/>
      <c r="E1091" s="38" t="s">
        <v>68</v>
      </c>
      <c r="F1091" s="37">
        <v>5</v>
      </c>
      <c r="G1091" s="37">
        <v>10</v>
      </c>
      <c r="H1091" s="37">
        <v>12</v>
      </c>
      <c r="I1091" s="37" t="s">
        <v>8</v>
      </c>
      <c r="J1091" s="37" t="s">
        <v>7</v>
      </c>
      <c r="K1091" s="62">
        <f t="shared" si="16"/>
        <v>0.8</v>
      </c>
    </row>
    <row r="1092" spans="1:11" hidden="1" x14ac:dyDescent="0.35">
      <c r="A1092" s="33">
        <v>30039717</v>
      </c>
      <c r="B1092" s="36" t="s">
        <v>659</v>
      </c>
      <c r="C1092" s="37" t="s">
        <v>86</v>
      </c>
      <c r="D1092" s="38"/>
      <c r="E1092" s="38" t="s">
        <v>68</v>
      </c>
      <c r="F1092" s="37">
        <v>7</v>
      </c>
      <c r="G1092" s="37">
        <v>12</v>
      </c>
      <c r="H1092" s="37">
        <v>12</v>
      </c>
      <c r="I1092" s="37" t="s">
        <v>8</v>
      </c>
      <c r="J1092" s="37" t="s">
        <v>9</v>
      </c>
      <c r="K1092" s="62">
        <f t="shared" si="16"/>
        <v>0.63157894736842102</v>
      </c>
    </row>
    <row r="1093" spans="1:11" hidden="1" x14ac:dyDescent="0.35">
      <c r="A1093" s="33">
        <v>30039718</v>
      </c>
      <c r="B1093" s="36" t="s">
        <v>660</v>
      </c>
      <c r="C1093" s="37" t="s">
        <v>86</v>
      </c>
      <c r="D1093" s="38"/>
      <c r="E1093" s="38" t="s">
        <v>68</v>
      </c>
      <c r="F1093" s="37">
        <v>3</v>
      </c>
      <c r="G1093" s="37">
        <v>5</v>
      </c>
      <c r="H1093" s="37">
        <v>7</v>
      </c>
      <c r="I1093" s="37" t="s">
        <v>8</v>
      </c>
      <c r="J1093" s="37" t="s">
        <v>7</v>
      </c>
      <c r="K1093" s="62">
        <f t="shared" si="16"/>
        <v>0.875</v>
      </c>
    </row>
    <row r="1094" spans="1:11" hidden="1" x14ac:dyDescent="0.35">
      <c r="A1094" s="33">
        <v>30039719</v>
      </c>
      <c r="B1094" s="36" t="s">
        <v>1268</v>
      </c>
      <c r="C1094" s="37" t="s">
        <v>86</v>
      </c>
      <c r="D1094" s="38"/>
      <c r="E1094" s="38" t="s">
        <v>68</v>
      </c>
      <c r="F1094" s="37">
        <v>5</v>
      </c>
      <c r="G1094" s="37">
        <v>8</v>
      </c>
      <c r="H1094" s="37">
        <v>0</v>
      </c>
      <c r="I1094" s="37" t="s">
        <v>8</v>
      </c>
      <c r="J1094" s="37" t="s">
        <v>13</v>
      </c>
      <c r="K1094" s="62">
        <f t="shared" si="16"/>
        <v>0</v>
      </c>
    </row>
    <row r="1095" spans="1:11" hidden="1" x14ac:dyDescent="0.35">
      <c r="A1095" s="33">
        <v>30039720</v>
      </c>
      <c r="B1095" s="36" t="s">
        <v>661</v>
      </c>
      <c r="C1095" s="37" t="s">
        <v>86</v>
      </c>
      <c r="D1095" s="38"/>
      <c r="E1095" s="38" t="s">
        <v>68</v>
      </c>
      <c r="F1095" s="37">
        <v>4</v>
      </c>
      <c r="G1095" s="37">
        <v>7</v>
      </c>
      <c r="H1095" s="37">
        <v>24</v>
      </c>
      <c r="I1095" s="37" t="s">
        <v>8</v>
      </c>
      <c r="J1095" s="37" t="s">
        <v>14</v>
      </c>
      <c r="K1095" s="62">
        <f t="shared" si="16"/>
        <v>2.1818181818181817</v>
      </c>
    </row>
    <row r="1096" spans="1:11" hidden="1" x14ac:dyDescent="0.35">
      <c r="A1096" s="33">
        <v>30039721</v>
      </c>
      <c r="B1096" s="36" t="s">
        <v>662</v>
      </c>
      <c r="C1096" s="37" t="s">
        <v>86</v>
      </c>
      <c r="D1096" s="38"/>
      <c r="E1096" s="38" t="s">
        <v>68</v>
      </c>
      <c r="F1096" s="37">
        <v>10</v>
      </c>
      <c r="G1096" s="37">
        <v>6</v>
      </c>
      <c r="H1096" s="37">
        <v>12</v>
      </c>
      <c r="I1096" s="37" t="s">
        <v>8</v>
      </c>
      <c r="J1096" s="37" t="s">
        <v>7</v>
      </c>
      <c r="K1096" s="62">
        <f t="shared" si="16"/>
        <v>0.75</v>
      </c>
    </row>
    <row r="1097" spans="1:11" hidden="1" x14ac:dyDescent="0.35">
      <c r="A1097" s="33">
        <v>30039722</v>
      </c>
      <c r="B1097" s="36" t="s">
        <v>663</v>
      </c>
      <c r="C1097" s="37" t="s">
        <v>86</v>
      </c>
      <c r="D1097" s="38"/>
      <c r="E1097" s="38" t="s">
        <v>68</v>
      </c>
      <c r="F1097" s="37">
        <v>8</v>
      </c>
      <c r="G1097" s="37">
        <v>8</v>
      </c>
      <c r="H1097" s="37">
        <v>9</v>
      </c>
      <c r="I1097" s="37" t="s">
        <v>8</v>
      </c>
      <c r="J1097" s="37" t="s">
        <v>7</v>
      </c>
      <c r="K1097" s="62">
        <f t="shared" ref="K1097:K1160" si="17">H1097/(F1097+G1097)</f>
        <v>0.5625</v>
      </c>
    </row>
    <row r="1098" spans="1:11" hidden="1" x14ac:dyDescent="0.35">
      <c r="A1098" s="33">
        <v>30039723</v>
      </c>
      <c r="B1098" s="36" t="s">
        <v>664</v>
      </c>
      <c r="C1098" s="37" t="s">
        <v>86</v>
      </c>
      <c r="D1098" s="38"/>
      <c r="E1098" s="38" t="s">
        <v>68</v>
      </c>
      <c r="F1098" s="37">
        <v>15</v>
      </c>
      <c r="G1098" s="37">
        <v>20</v>
      </c>
      <c r="H1098" s="37">
        <v>22</v>
      </c>
      <c r="I1098" s="37" t="s">
        <v>8</v>
      </c>
      <c r="J1098" s="37" t="s">
        <v>7</v>
      </c>
      <c r="K1098" s="62">
        <f t="shared" si="17"/>
        <v>0.62857142857142856</v>
      </c>
    </row>
    <row r="1099" spans="1:11" hidden="1" x14ac:dyDescent="0.35">
      <c r="A1099" s="33">
        <v>30039724</v>
      </c>
      <c r="B1099" s="36" t="s">
        <v>665</v>
      </c>
      <c r="C1099" s="37" t="s">
        <v>86</v>
      </c>
      <c r="D1099" s="38"/>
      <c r="E1099" s="38" t="s">
        <v>68</v>
      </c>
      <c r="F1099" s="37">
        <v>15</v>
      </c>
      <c r="G1099" s="37">
        <v>20</v>
      </c>
      <c r="H1099" s="37">
        <v>23</v>
      </c>
      <c r="I1099" s="37" t="s">
        <v>8</v>
      </c>
      <c r="J1099" s="37" t="s">
        <v>7</v>
      </c>
      <c r="K1099" s="62">
        <f t="shared" si="17"/>
        <v>0.65714285714285714</v>
      </c>
    </row>
    <row r="1100" spans="1:11" hidden="1" x14ac:dyDescent="0.35">
      <c r="A1100" s="33">
        <v>30039725</v>
      </c>
      <c r="B1100" s="36" t="s">
        <v>666</v>
      </c>
      <c r="C1100" s="37" t="s">
        <v>86</v>
      </c>
      <c r="D1100" s="38"/>
      <c r="E1100" s="38" t="s">
        <v>68</v>
      </c>
      <c r="F1100" s="37">
        <v>8</v>
      </c>
      <c r="G1100" s="37">
        <v>8</v>
      </c>
      <c r="H1100" s="37">
        <v>9</v>
      </c>
      <c r="I1100" s="37" t="s">
        <v>8</v>
      </c>
      <c r="J1100" s="37" t="s">
        <v>7</v>
      </c>
      <c r="K1100" s="62">
        <f t="shared" si="17"/>
        <v>0.5625</v>
      </c>
    </row>
    <row r="1101" spans="1:11" hidden="1" x14ac:dyDescent="0.35">
      <c r="A1101" s="33">
        <v>30039857</v>
      </c>
      <c r="B1101" s="36" t="s">
        <v>667</v>
      </c>
      <c r="C1101" s="37" t="s">
        <v>86</v>
      </c>
      <c r="D1101" s="38"/>
      <c r="E1101" s="38" t="s">
        <v>68</v>
      </c>
      <c r="F1101" s="37">
        <v>30</v>
      </c>
      <c r="G1101" s="37">
        <v>50</v>
      </c>
      <c r="H1101" s="37">
        <v>195</v>
      </c>
      <c r="I1101" s="37" t="s">
        <v>8</v>
      </c>
      <c r="J1101" s="37" t="s">
        <v>14</v>
      </c>
      <c r="K1101" s="62">
        <f t="shared" si="17"/>
        <v>2.4375</v>
      </c>
    </row>
    <row r="1102" spans="1:11" hidden="1" x14ac:dyDescent="0.35">
      <c r="A1102" s="33">
        <v>30040054</v>
      </c>
      <c r="B1102" s="36" t="s">
        <v>668</v>
      </c>
      <c r="C1102" s="37" t="s">
        <v>86</v>
      </c>
      <c r="D1102" s="38"/>
      <c r="E1102" s="38" t="s">
        <v>68</v>
      </c>
      <c r="F1102" s="37">
        <v>30</v>
      </c>
      <c r="G1102" s="37">
        <v>50</v>
      </c>
      <c r="H1102" s="37">
        <v>40</v>
      </c>
      <c r="I1102" s="37" t="s">
        <v>8</v>
      </c>
      <c r="J1102" s="37" t="s">
        <v>13</v>
      </c>
      <c r="K1102" s="62">
        <f t="shared" si="17"/>
        <v>0.5</v>
      </c>
    </row>
    <row r="1103" spans="1:11" hidden="1" x14ac:dyDescent="0.35">
      <c r="A1103" s="33">
        <v>30040061</v>
      </c>
      <c r="B1103" s="36" t="s">
        <v>669</v>
      </c>
      <c r="C1103" s="37" t="s">
        <v>86</v>
      </c>
      <c r="D1103" s="38"/>
      <c r="E1103" s="38" t="s">
        <v>68</v>
      </c>
      <c r="F1103" s="37">
        <v>10</v>
      </c>
      <c r="G1103" s="37">
        <v>10</v>
      </c>
      <c r="H1103" s="37">
        <v>18</v>
      </c>
      <c r="I1103" s="37" t="s">
        <v>8</v>
      </c>
      <c r="J1103" s="37" t="s">
        <v>7</v>
      </c>
      <c r="K1103" s="62">
        <f t="shared" si="17"/>
        <v>0.9</v>
      </c>
    </row>
    <row r="1104" spans="1:11" hidden="1" x14ac:dyDescent="0.35">
      <c r="A1104" s="33">
        <v>30040066</v>
      </c>
      <c r="B1104" s="36" t="s">
        <v>670</v>
      </c>
      <c r="C1104" s="37" t="s">
        <v>86</v>
      </c>
      <c r="D1104" s="38"/>
      <c r="E1104" s="38" t="s">
        <v>68</v>
      </c>
      <c r="F1104" s="37">
        <v>2</v>
      </c>
      <c r="G1104" s="37">
        <v>2</v>
      </c>
      <c r="H1104" s="37">
        <v>2</v>
      </c>
      <c r="I1104" s="37" t="s">
        <v>8</v>
      </c>
      <c r="J1104" s="37" t="s">
        <v>7</v>
      </c>
      <c r="K1104" s="62">
        <f t="shared" si="17"/>
        <v>0.5</v>
      </c>
    </row>
    <row r="1105" spans="1:11" hidden="1" x14ac:dyDescent="0.35">
      <c r="A1105" s="33">
        <v>30040334</v>
      </c>
      <c r="B1105" s="36" t="s">
        <v>671</v>
      </c>
      <c r="C1105" s="37" t="s">
        <v>86</v>
      </c>
      <c r="D1105" s="38"/>
      <c r="E1105" s="38" t="s">
        <v>68</v>
      </c>
      <c r="F1105" s="37">
        <v>2</v>
      </c>
      <c r="G1105" s="37">
        <v>2</v>
      </c>
      <c r="H1105" s="37">
        <v>7</v>
      </c>
      <c r="I1105" s="37" t="s">
        <v>8</v>
      </c>
      <c r="J1105" s="37" t="s">
        <v>14</v>
      </c>
      <c r="K1105" s="62">
        <f t="shared" si="17"/>
        <v>1.75</v>
      </c>
    </row>
    <row r="1106" spans="1:11" hidden="1" x14ac:dyDescent="0.35">
      <c r="A1106" s="33">
        <v>30040335</v>
      </c>
      <c r="B1106" s="36" t="s">
        <v>672</v>
      </c>
      <c r="C1106" s="37" t="s">
        <v>86</v>
      </c>
      <c r="D1106" s="38"/>
      <c r="E1106" s="38" t="s">
        <v>68</v>
      </c>
      <c r="F1106" s="37">
        <v>6</v>
      </c>
      <c r="G1106" s="37">
        <v>10</v>
      </c>
      <c r="H1106" s="37">
        <v>8</v>
      </c>
      <c r="I1106" s="37" t="s">
        <v>8</v>
      </c>
      <c r="J1106" s="37" t="s">
        <v>7</v>
      </c>
      <c r="K1106" s="62">
        <f t="shared" si="17"/>
        <v>0.5</v>
      </c>
    </row>
    <row r="1107" spans="1:11" hidden="1" x14ac:dyDescent="0.35">
      <c r="A1107" s="33">
        <v>30040399</v>
      </c>
      <c r="B1107" s="36" t="s">
        <v>673</v>
      </c>
      <c r="C1107" s="37" t="s">
        <v>86</v>
      </c>
      <c r="D1107" s="38"/>
      <c r="E1107" s="38" t="s">
        <v>68</v>
      </c>
      <c r="F1107" s="37">
        <v>2</v>
      </c>
      <c r="G1107" s="37">
        <v>2</v>
      </c>
      <c r="H1107" s="37">
        <v>10</v>
      </c>
      <c r="I1107" s="37" t="s">
        <v>8</v>
      </c>
      <c r="J1107" s="37" t="s">
        <v>14</v>
      </c>
      <c r="K1107" s="62">
        <f t="shared" si="17"/>
        <v>2.5</v>
      </c>
    </row>
    <row r="1108" spans="1:11" hidden="1" x14ac:dyDescent="0.35">
      <c r="A1108" s="33">
        <v>30040401</v>
      </c>
      <c r="B1108" s="36" t="s">
        <v>674</v>
      </c>
      <c r="C1108" s="37" t="s">
        <v>86</v>
      </c>
      <c r="D1108" s="38"/>
      <c r="E1108" s="38" t="s">
        <v>68</v>
      </c>
      <c r="F1108" s="37">
        <v>2</v>
      </c>
      <c r="G1108" s="37">
        <v>3</v>
      </c>
      <c r="H1108" s="37">
        <v>3</v>
      </c>
      <c r="I1108" s="37" t="s">
        <v>8</v>
      </c>
      <c r="J1108" s="37" t="s">
        <v>7</v>
      </c>
      <c r="K1108" s="62">
        <f t="shared" si="17"/>
        <v>0.6</v>
      </c>
    </row>
    <row r="1109" spans="1:11" x14ac:dyDescent="0.35">
      <c r="A1109" s="33">
        <v>30040531</v>
      </c>
      <c r="B1109" s="36" t="s">
        <v>675</v>
      </c>
      <c r="C1109" s="37" t="s">
        <v>86</v>
      </c>
      <c r="D1109" s="38"/>
      <c r="E1109" s="38" t="s">
        <v>68</v>
      </c>
      <c r="F1109" s="37">
        <v>2</v>
      </c>
      <c r="G1109" s="37">
        <v>2</v>
      </c>
      <c r="H1109" s="37">
        <v>25</v>
      </c>
      <c r="I1109" s="37" t="s">
        <v>8</v>
      </c>
      <c r="J1109" s="37" t="s">
        <v>14</v>
      </c>
      <c r="K1109" s="62">
        <f t="shared" si="17"/>
        <v>6.25</v>
      </c>
    </row>
    <row r="1110" spans="1:11" hidden="1" x14ac:dyDescent="0.35">
      <c r="A1110" s="33">
        <v>30040533</v>
      </c>
      <c r="B1110" s="36" t="s">
        <v>676</v>
      </c>
      <c r="C1110" s="37" t="s">
        <v>86</v>
      </c>
      <c r="D1110" s="38"/>
      <c r="E1110" s="38" t="s">
        <v>68</v>
      </c>
      <c r="F1110" s="37">
        <v>2</v>
      </c>
      <c r="G1110" s="37">
        <v>2</v>
      </c>
      <c r="H1110" s="37">
        <v>2</v>
      </c>
      <c r="I1110" s="37" t="s">
        <v>8</v>
      </c>
      <c r="J1110" s="37" t="s">
        <v>7</v>
      </c>
      <c r="K1110" s="62">
        <f t="shared" si="17"/>
        <v>0.5</v>
      </c>
    </row>
    <row r="1111" spans="1:11" hidden="1" x14ac:dyDescent="0.35">
      <c r="A1111" s="33">
        <v>30040586</v>
      </c>
      <c r="B1111" s="36" t="s">
        <v>59</v>
      </c>
      <c r="C1111" s="37" t="s">
        <v>86</v>
      </c>
      <c r="D1111" s="38"/>
      <c r="E1111" s="38" t="s">
        <v>68</v>
      </c>
      <c r="F1111" s="37">
        <v>5</v>
      </c>
      <c r="G1111" s="37">
        <v>4</v>
      </c>
      <c r="H1111" s="37">
        <v>6</v>
      </c>
      <c r="I1111" s="37" t="s">
        <v>8</v>
      </c>
      <c r="J1111" s="37" t="s">
        <v>7</v>
      </c>
      <c r="K1111" s="62">
        <f t="shared" si="17"/>
        <v>0.66666666666666663</v>
      </c>
    </row>
    <row r="1112" spans="1:11" hidden="1" x14ac:dyDescent="0.35">
      <c r="A1112" s="33">
        <v>30040587</v>
      </c>
      <c r="B1112" s="36" t="s">
        <v>60</v>
      </c>
      <c r="C1112" s="37" t="s">
        <v>86</v>
      </c>
      <c r="D1112" s="38"/>
      <c r="E1112" s="38" t="s">
        <v>68</v>
      </c>
      <c r="F1112" s="37">
        <v>5</v>
      </c>
      <c r="G1112" s="37">
        <v>4</v>
      </c>
      <c r="H1112" s="37">
        <v>7</v>
      </c>
      <c r="I1112" s="37" t="s">
        <v>8</v>
      </c>
      <c r="J1112" s="37" t="s">
        <v>7</v>
      </c>
      <c r="K1112" s="62">
        <f t="shared" si="17"/>
        <v>0.77777777777777779</v>
      </c>
    </row>
    <row r="1113" spans="1:11" hidden="1" x14ac:dyDescent="0.35">
      <c r="A1113" s="33">
        <v>30040717</v>
      </c>
      <c r="B1113" s="36" t="s">
        <v>677</v>
      </c>
      <c r="C1113" s="37" t="s">
        <v>86</v>
      </c>
      <c r="D1113" s="38"/>
      <c r="E1113" s="38" t="s">
        <v>68</v>
      </c>
      <c r="F1113" s="37">
        <v>2</v>
      </c>
      <c r="G1113" s="37">
        <v>2</v>
      </c>
      <c r="H1113" s="37">
        <v>10</v>
      </c>
      <c r="I1113" s="37" t="s">
        <v>8</v>
      </c>
      <c r="J1113" s="37" t="s">
        <v>14</v>
      </c>
      <c r="K1113" s="62">
        <f t="shared" si="17"/>
        <v>2.5</v>
      </c>
    </row>
    <row r="1114" spans="1:11" hidden="1" x14ac:dyDescent="0.35">
      <c r="A1114" s="33">
        <v>30040761</v>
      </c>
      <c r="B1114" s="36" t="s">
        <v>678</v>
      </c>
      <c r="C1114" s="37" t="s">
        <v>86</v>
      </c>
      <c r="D1114" s="38"/>
      <c r="E1114" s="38" t="s">
        <v>68</v>
      </c>
      <c r="F1114" s="37">
        <v>3</v>
      </c>
      <c r="G1114" s="37">
        <v>5</v>
      </c>
      <c r="H1114" s="37">
        <v>4</v>
      </c>
      <c r="I1114" s="37" t="s">
        <v>8</v>
      </c>
      <c r="J1114" s="37" t="s">
        <v>7</v>
      </c>
      <c r="K1114" s="62">
        <f t="shared" si="17"/>
        <v>0.5</v>
      </c>
    </row>
    <row r="1115" spans="1:11" hidden="1" x14ac:dyDescent="0.35">
      <c r="A1115" s="33">
        <v>30040762</v>
      </c>
      <c r="B1115" s="36" t="s">
        <v>679</v>
      </c>
      <c r="C1115" s="37" t="s">
        <v>86</v>
      </c>
      <c r="D1115" s="38"/>
      <c r="E1115" s="38" t="s">
        <v>68</v>
      </c>
      <c r="F1115" s="37">
        <v>2</v>
      </c>
      <c r="G1115" s="37">
        <v>3</v>
      </c>
      <c r="H1115" s="37">
        <v>8</v>
      </c>
      <c r="I1115" s="37" t="s">
        <v>8</v>
      </c>
      <c r="J1115" s="37" t="s">
        <v>14</v>
      </c>
      <c r="K1115" s="62">
        <f t="shared" si="17"/>
        <v>1.6</v>
      </c>
    </row>
    <row r="1116" spans="1:11" hidden="1" x14ac:dyDescent="0.35">
      <c r="A1116" s="33">
        <v>30040974</v>
      </c>
      <c r="B1116" s="36" t="s">
        <v>680</v>
      </c>
      <c r="C1116" s="37" t="s">
        <v>86</v>
      </c>
      <c r="D1116" s="38"/>
      <c r="E1116" s="38" t="s">
        <v>68</v>
      </c>
      <c r="F1116" s="37">
        <v>15</v>
      </c>
      <c r="G1116" s="37">
        <v>25</v>
      </c>
      <c r="H1116" s="37">
        <v>15</v>
      </c>
      <c r="I1116" s="37" t="s">
        <v>8</v>
      </c>
      <c r="J1116" s="37" t="s">
        <v>7</v>
      </c>
      <c r="K1116" s="62">
        <f t="shared" si="17"/>
        <v>0.375</v>
      </c>
    </row>
    <row r="1117" spans="1:11" hidden="1" x14ac:dyDescent="0.35">
      <c r="A1117" s="33">
        <v>30040976</v>
      </c>
      <c r="B1117" s="36" t="s">
        <v>681</v>
      </c>
      <c r="C1117" s="37" t="s">
        <v>86</v>
      </c>
      <c r="D1117" s="38"/>
      <c r="E1117" s="38" t="s">
        <v>68</v>
      </c>
      <c r="F1117" s="37">
        <v>6</v>
      </c>
      <c r="G1117" s="37">
        <v>2</v>
      </c>
      <c r="H1117" s="37">
        <v>6</v>
      </c>
      <c r="I1117" s="37" t="s">
        <v>8</v>
      </c>
      <c r="J1117" s="37" t="s">
        <v>7</v>
      </c>
      <c r="K1117" s="62">
        <f t="shared" si="17"/>
        <v>0.75</v>
      </c>
    </row>
    <row r="1118" spans="1:11" hidden="1" x14ac:dyDescent="0.35">
      <c r="A1118" s="33">
        <v>30041021</v>
      </c>
      <c r="B1118" s="36" t="s">
        <v>682</v>
      </c>
      <c r="C1118" s="37" t="s">
        <v>86</v>
      </c>
      <c r="D1118" s="38"/>
      <c r="E1118" s="38" t="s">
        <v>68</v>
      </c>
      <c r="F1118" s="37">
        <v>2</v>
      </c>
      <c r="G1118" s="37">
        <v>2</v>
      </c>
      <c r="H1118" s="37">
        <v>2</v>
      </c>
      <c r="I1118" s="37" t="s">
        <v>8</v>
      </c>
      <c r="J1118" s="37" t="s">
        <v>7</v>
      </c>
      <c r="K1118" s="62">
        <f t="shared" si="17"/>
        <v>0.5</v>
      </c>
    </row>
    <row r="1119" spans="1:11" hidden="1" x14ac:dyDescent="0.35">
      <c r="A1119" s="33">
        <v>30041025</v>
      </c>
      <c r="B1119" s="36" t="s">
        <v>1539</v>
      </c>
      <c r="C1119" s="37" t="s">
        <v>86</v>
      </c>
      <c r="D1119" s="38"/>
      <c r="E1119" s="38" t="s">
        <v>68</v>
      </c>
      <c r="F1119" s="37">
        <v>2</v>
      </c>
      <c r="G1119" s="37">
        <v>1</v>
      </c>
      <c r="H1119" s="37">
        <v>3</v>
      </c>
      <c r="I1119" s="37" t="s">
        <v>8</v>
      </c>
      <c r="J1119" s="37" t="s">
        <v>13</v>
      </c>
      <c r="K1119" s="62">
        <f t="shared" si="17"/>
        <v>1</v>
      </c>
    </row>
    <row r="1120" spans="1:11" hidden="1" x14ac:dyDescent="0.35">
      <c r="A1120" s="33">
        <v>30041026</v>
      </c>
      <c r="B1120" s="36" t="s">
        <v>1540</v>
      </c>
      <c r="C1120" s="37" t="s">
        <v>86</v>
      </c>
      <c r="D1120" s="38"/>
      <c r="E1120" s="38" t="s">
        <v>68</v>
      </c>
      <c r="F1120" s="37">
        <v>10</v>
      </c>
      <c r="G1120" s="37">
        <v>5</v>
      </c>
      <c r="H1120" s="37">
        <v>17</v>
      </c>
      <c r="I1120" s="37" t="s">
        <v>8</v>
      </c>
      <c r="J1120" s="37" t="s">
        <v>14</v>
      </c>
      <c r="K1120" s="62">
        <f t="shared" si="17"/>
        <v>1.1333333333333333</v>
      </c>
    </row>
    <row r="1121" spans="1:11" hidden="1" x14ac:dyDescent="0.35">
      <c r="A1121" s="33">
        <v>30041029</v>
      </c>
      <c r="B1121" s="36" t="s">
        <v>683</v>
      </c>
      <c r="C1121" s="37" t="s">
        <v>86</v>
      </c>
      <c r="D1121" s="38"/>
      <c r="E1121" s="38" t="s">
        <v>68</v>
      </c>
      <c r="F1121" s="37">
        <v>20</v>
      </c>
      <c r="G1121" s="37">
        <v>10</v>
      </c>
      <c r="H1121" s="37">
        <v>0</v>
      </c>
      <c r="I1121" s="37" t="s">
        <v>8</v>
      </c>
      <c r="J1121" s="37" t="s">
        <v>13</v>
      </c>
      <c r="K1121" s="62">
        <f t="shared" si="17"/>
        <v>0</v>
      </c>
    </row>
    <row r="1122" spans="1:11" hidden="1" x14ac:dyDescent="0.35">
      <c r="A1122" s="33">
        <v>30041335</v>
      </c>
      <c r="B1122" s="36" t="s">
        <v>1523</v>
      </c>
      <c r="C1122" s="37" t="s">
        <v>86</v>
      </c>
      <c r="D1122" s="38"/>
      <c r="E1122" s="38" t="s">
        <v>68</v>
      </c>
      <c r="F1122" s="37">
        <v>4</v>
      </c>
      <c r="G1122" s="37">
        <v>2</v>
      </c>
      <c r="H1122" s="37">
        <v>2</v>
      </c>
      <c r="I1122" s="37" t="s">
        <v>8</v>
      </c>
      <c r="J1122" s="37" t="s">
        <v>9</v>
      </c>
      <c r="K1122" s="62">
        <f t="shared" si="17"/>
        <v>0.33333333333333331</v>
      </c>
    </row>
    <row r="1123" spans="1:11" hidden="1" x14ac:dyDescent="0.35">
      <c r="A1123" s="33">
        <v>30041344</v>
      </c>
      <c r="B1123" s="36" t="s">
        <v>684</v>
      </c>
      <c r="C1123" s="37" t="s">
        <v>86</v>
      </c>
      <c r="D1123" s="38"/>
      <c r="E1123" s="38" t="s">
        <v>68</v>
      </c>
      <c r="F1123" s="37">
        <v>2</v>
      </c>
      <c r="G1123" s="37">
        <v>3</v>
      </c>
      <c r="H1123" s="37">
        <v>7</v>
      </c>
      <c r="I1123" s="37" t="s">
        <v>8</v>
      </c>
      <c r="J1123" s="37" t="s">
        <v>14</v>
      </c>
      <c r="K1123" s="62">
        <f t="shared" si="17"/>
        <v>1.4</v>
      </c>
    </row>
    <row r="1124" spans="1:11" hidden="1" x14ac:dyDescent="0.35">
      <c r="A1124" s="33">
        <v>30041725</v>
      </c>
      <c r="B1124" s="36" t="s">
        <v>685</v>
      </c>
      <c r="C1124" s="37" t="s">
        <v>86</v>
      </c>
      <c r="D1124" s="38"/>
      <c r="E1124" s="38" t="s">
        <v>68</v>
      </c>
      <c r="F1124" s="37">
        <v>2</v>
      </c>
      <c r="G1124" s="37">
        <v>2</v>
      </c>
      <c r="H1124" s="37">
        <v>2</v>
      </c>
      <c r="I1124" s="37" t="s">
        <v>8</v>
      </c>
      <c r="J1124" s="37" t="s">
        <v>7</v>
      </c>
      <c r="K1124" s="62">
        <f t="shared" si="17"/>
        <v>0.5</v>
      </c>
    </row>
    <row r="1125" spans="1:11" hidden="1" x14ac:dyDescent="0.35">
      <c r="A1125" s="33">
        <v>30041726</v>
      </c>
      <c r="B1125" s="36" t="s">
        <v>686</v>
      </c>
      <c r="C1125" s="37" t="s">
        <v>86</v>
      </c>
      <c r="D1125" s="38"/>
      <c r="E1125" s="38" t="s">
        <v>68</v>
      </c>
      <c r="F1125" s="37">
        <v>2</v>
      </c>
      <c r="G1125" s="37">
        <v>3</v>
      </c>
      <c r="H1125" s="37">
        <v>3</v>
      </c>
      <c r="I1125" s="37" t="s">
        <v>8</v>
      </c>
      <c r="J1125" s="37" t="s">
        <v>7</v>
      </c>
      <c r="K1125" s="62">
        <f t="shared" si="17"/>
        <v>0.6</v>
      </c>
    </row>
    <row r="1126" spans="1:11" hidden="1" x14ac:dyDescent="0.35">
      <c r="A1126" s="33">
        <v>30041727</v>
      </c>
      <c r="B1126" s="36" t="s">
        <v>687</v>
      </c>
      <c r="C1126" s="37" t="s">
        <v>86</v>
      </c>
      <c r="D1126" s="38"/>
      <c r="E1126" s="38" t="s">
        <v>68</v>
      </c>
      <c r="F1126" s="37">
        <v>2</v>
      </c>
      <c r="G1126" s="37">
        <v>3</v>
      </c>
      <c r="H1126" s="37">
        <v>3</v>
      </c>
      <c r="I1126" s="37" t="s">
        <v>8</v>
      </c>
      <c r="J1126" s="37" t="s">
        <v>7</v>
      </c>
      <c r="K1126" s="62">
        <f t="shared" si="17"/>
        <v>0.6</v>
      </c>
    </row>
    <row r="1127" spans="1:11" hidden="1" x14ac:dyDescent="0.35">
      <c r="A1127" s="33">
        <v>30041798</v>
      </c>
      <c r="B1127" s="36" t="s">
        <v>688</v>
      </c>
      <c r="C1127" s="37" t="s">
        <v>86</v>
      </c>
      <c r="D1127" s="38"/>
      <c r="E1127" s="38" t="s">
        <v>68</v>
      </c>
      <c r="F1127" s="37">
        <v>10</v>
      </c>
      <c r="G1127" s="37">
        <v>15</v>
      </c>
      <c r="H1127" s="37">
        <v>14</v>
      </c>
      <c r="I1127" s="37" t="s">
        <v>8</v>
      </c>
      <c r="J1127" s="37" t="s">
        <v>7</v>
      </c>
      <c r="K1127" s="62">
        <f t="shared" si="17"/>
        <v>0.56000000000000005</v>
      </c>
    </row>
    <row r="1128" spans="1:11" hidden="1" x14ac:dyDescent="0.35">
      <c r="A1128" s="33">
        <v>30041812</v>
      </c>
      <c r="B1128" s="36" t="s">
        <v>689</v>
      </c>
      <c r="C1128" s="37" t="s">
        <v>86</v>
      </c>
      <c r="D1128" s="38"/>
      <c r="E1128" s="38" t="s">
        <v>68</v>
      </c>
      <c r="F1128" s="37">
        <v>12</v>
      </c>
      <c r="G1128" s="37">
        <v>20</v>
      </c>
      <c r="H1128" s="37">
        <v>50</v>
      </c>
      <c r="I1128" s="37" t="s">
        <v>8</v>
      </c>
      <c r="J1128" s="37" t="s">
        <v>14</v>
      </c>
      <c r="K1128" s="62">
        <f t="shared" si="17"/>
        <v>1.5625</v>
      </c>
    </row>
    <row r="1129" spans="1:11" hidden="1" x14ac:dyDescent="0.35">
      <c r="A1129" s="33">
        <v>30042073</v>
      </c>
      <c r="B1129" s="36" t="s">
        <v>690</v>
      </c>
      <c r="C1129" s="37" t="s">
        <v>86</v>
      </c>
      <c r="D1129" s="38"/>
      <c r="E1129" s="38" t="s">
        <v>68</v>
      </c>
      <c r="F1129" s="37">
        <v>1</v>
      </c>
      <c r="G1129" s="37">
        <v>1</v>
      </c>
      <c r="H1129" s="37">
        <v>1</v>
      </c>
      <c r="I1129" s="37" t="s">
        <v>8</v>
      </c>
      <c r="J1129" s="37" t="s">
        <v>7</v>
      </c>
      <c r="K1129" s="62">
        <f t="shared" si="17"/>
        <v>0.5</v>
      </c>
    </row>
    <row r="1130" spans="1:11" hidden="1" x14ac:dyDescent="0.35">
      <c r="A1130" s="33">
        <v>30042134</v>
      </c>
      <c r="B1130" s="36" t="s">
        <v>1260</v>
      </c>
      <c r="C1130" s="37" t="s">
        <v>86</v>
      </c>
      <c r="D1130" s="38" t="s">
        <v>1225</v>
      </c>
      <c r="E1130" s="38" t="s">
        <v>102</v>
      </c>
      <c r="F1130" s="37">
        <v>4</v>
      </c>
      <c r="G1130" s="37">
        <v>3</v>
      </c>
      <c r="H1130" s="37">
        <v>2</v>
      </c>
      <c r="I1130" s="37" t="s">
        <v>8</v>
      </c>
      <c r="J1130" s="37" t="s">
        <v>7</v>
      </c>
      <c r="K1130" s="62">
        <f t="shared" si="17"/>
        <v>0.2857142857142857</v>
      </c>
    </row>
    <row r="1131" spans="1:11" x14ac:dyDescent="0.35">
      <c r="A1131" s="33">
        <v>30042139</v>
      </c>
      <c r="B1131" s="36" t="s">
        <v>691</v>
      </c>
      <c r="C1131" s="37" t="s">
        <v>86</v>
      </c>
      <c r="D1131" s="38"/>
      <c r="E1131" s="38" t="s">
        <v>68</v>
      </c>
      <c r="F1131" s="37">
        <v>5</v>
      </c>
      <c r="G1131" s="37">
        <v>8</v>
      </c>
      <c r="H1131" s="37">
        <v>134</v>
      </c>
      <c r="I1131" s="37" t="s">
        <v>8</v>
      </c>
      <c r="J1131" s="37" t="s">
        <v>14</v>
      </c>
      <c r="K1131" s="62">
        <f t="shared" si="17"/>
        <v>10.307692307692308</v>
      </c>
    </row>
    <row r="1132" spans="1:11" hidden="1" x14ac:dyDescent="0.35">
      <c r="A1132" s="33">
        <v>30042699</v>
      </c>
      <c r="B1132" s="36" t="s">
        <v>791</v>
      </c>
      <c r="C1132" s="37" t="s">
        <v>86</v>
      </c>
      <c r="D1132" s="38"/>
      <c r="E1132" s="38" t="s">
        <v>68</v>
      </c>
      <c r="F1132" s="37">
        <v>20</v>
      </c>
      <c r="G1132" s="37">
        <v>30</v>
      </c>
      <c r="H1132" s="37">
        <v>46</v>
      </c>
      <c r="I1132" s="37" t="s">
        <v>8</v>
      </c>
      <c r="J1132" s="37" t="s">
        <v>7</v>
      </c>
      <c r="K1132" s="62">
        <f t="shared" si="17"/>
        <v>0.92</v>
      </c>
    </row>
    <row r="1133" spans="1:11" hidden="1" x14ac:dyDescent="0.35">
      <c r="A1133" s="33">
        <v>30042701</v>
      </c>
      <c r="B1133" s="36" t="s">
        <v>692</v>
      </c>
      <c r="C1133" s="37" t="s">
        <v>86</v>
      </c>
      <c r="D1133" s="38"/>
      <c r="E1133" s="38" t="s">
        <v>68</v>
      </c>
      <c r="F1133" s="37">
        <v>4</v>
      </c>
      <c r="G1133" s="37">
        <v>10</v>
      </c>
      <c r="H1133" s="37">
        <v>9</v>
      </c>
      <c r="I1133" s="37" t="s">
        <v>8</v>
      </c>
      <c r="J1133" s="37" t="s">
        <v>7</v>
      </c>
      <c r="K1133" s="62">
        <f t="shared" si="17"/>
        <v>0.6428571428571429</v>
      </c>
    </row>
    <row r="1134" spans="1:11" hidden="1" x14ac:dyDescent="0.35">
      <c r="A1134" s="33">
        <v>30042934</v>
      </c>
      <c r="B1134" s="36" t="s">
        <v>693</v>
      </c>
      <c r="C1134" s="37" t="s">
        <v>86</v>
      </c>
      <c r="D1134" s="38"/>
      <c r="E1134" s="38" t="s">
        <v>68</v>
      </c>
      <c r="F1134" s="37">
        <v>3</v>
      </c>
      <c r="G1134" s="37">
        <v>2</v>
      </c>
      <c r="H1134" s="37">
        <v>2</v>
      </c>
      <c r="I1134" s="37" t="s">
        <v>8</v>
      </c>
      <c r="J1134" s="37" t="s">
        <v>7</v>
      </c>
      <c r="K1134" s="62">
        <f t="shared" si="17"/>
        <v>0.4</v>
      </c>
    </row>
    <row r="1135" spans="1:11" hidden="1" x14ac:dyDescent="0.35">
      <c r="A1135" s="33">
        <v>30042935</v>
      </c>
      <c r="B1135" s="36" t="s">
        <v>694</v>
      </c>
      <c r="C1135" s="37" t="s">
        <v>86</v>
      </c>
      <c r="D1135" s="38"/>
      <c r="E1135" s="38" t="s">
        <v>68</v>
      </c>
      <c r="F1135" s="37">
        <v>2</v>
      </c>
      <c r="G1135" s="37">
        <v>1</v>
      </c>
      <c r="H1135" s="37">
        <v>5</v>
      </c>
      <c r="I1135" s="37" t="s">
        <v>8</v>
      </c>
      <c r="J1135" s="37" t="s">
        <v>14</v>
      </c>
      <c r="K1135" s="62">
        <f t="shared" si="17"/>
        <v>1.6666666666666667</v>
      </c>
    </row>
    <row r="1136" spans="1:11" hidden="1" x14ac:dyDescent="0.35">
      <c r="A1136" s="33">
        <v>30042937</v>
      </c>
      <c r="B1136" s="36" t="s">
        <v>1541</v>
      </c>
      <c r="C1136" s="37" t="s">
        <v>86</v>
      </c>
      <c r="D1136" s="38"/>
      <c r="E1136" s="38" t="s">
        <v>68</v>
      </c>
      <c r="F1136" s="37">
        <v>2</v>
      </c>
      <c r="G1136" s="37">
        <v>1</v>
      </c>
      <c r="H1136" s="37">
        <v>1</v>
      </c>
      <c r="I1136" s="37" t="s">
        <v>8</v>
      </c>
      <c r="J1136" s="37" t="s">
        <v>13</v>
      </c>
      <c r="K1136" s="62">
        <f t="shared" si="17"/>
        <v>0.33333333333333331</v>
      </c>
    </row>
    <row r="1137" spans="1:11" hidden="1" x14ac:dyDescent="0.35">
      <c r="A1137" s="33">
        <v>30042938</v>
      </c>
      <c r="B1137" s="36" t="s">
        <v>695</v>
      </c>
      <c r="C1137" s="37" t="s">
        <v>86</v>
      </c>
      <c r="D1137" s="38"/>
      <c r="E1137" s="38" t="s">
        <v>68</v>
      </c>
      <c r="F1137" s="37">
        <v>2</v>
      </c>
      <c r="G1137" s="37">
        <v>1</v>
      </c>
      <c r="H1137" s="37">
        <v>5</v>
      </c>
      <c r="I1137" s="37" t="s">
        <v>8</v>
      </c>
      <c r="J1137" s="37" t="s">
        <v>14</v>
      </c>
      <c r="K1137" s="62">
        <f t="shared" si="17"/>
        <v>1.6666666666666667</v>
      </c>
    </row>
    <row r="1138" spans="1:11" hidden="1" x14ac:dyDescent="0.35">
      <c r="A1138" s="33">
        <v>30042939</v>
      </c>
      <c r="B1138" s="36" t="s">
        <v>696</v>
      </c>
      <c r="C1138" s="37" t="s">
        <v>86</v>
      </c>
      <c r="D1138" s="38"/>
      <c r="E1138" s="38" t="s">
        <v>68</v>
      </c>
      <c r="F1138" s="37">
        <v>2</v>
      </c>
      <c r="G1138" s="37">
        <v>3</v>
      </c>
      <c r="H1138" s="37">
        <v>0</v>
      </c>
      <c r="I1138" s="37" t="s">
        <v>8</v>
      </c>
      <c r="J1138" s="37" t="s">
        <v>7</v>
      </c>
      <c r="K1138" s="62">
        <f t="shared" si="17"/>
        <v>0</v>
      </c>
    </row>
    <row r="1139" spans="1:11" hidden="1" x14ac:dyDescent="0.35">
      <c r="A1139" s="33">
        <v>30042940</v>
      </c>
      <c r="B1139" s="36" t="s">
        <v>1542</v>
      </c>
      <c r="C1139" s="37" t="s">
        <v>86</v>
      </c>
      <c r="D1139" s="38"/>
      <c r="E1139" s="38" t="s">
        <v>68</v>
      </c>
      <c r="F1139" s="37">
        <v>2</v>
      </c>
      <c r="G1139" s="37">
        <v>1</v>
      </c>
      <c r="H1139" s="37">
        <v>11</v>
      </c>
      <c r="I1139" s="37" t="s">
        <v>8</v>
      </c>
      <c r="J1139" s="37" t="s">
        <v>14</v>
      </c>
      <c r="K1139" s="62">
        <f t="shared" si="17"/>
        <v>3.6666666666666665</v>
      </c>
    </row>
    <row r="1140" spans="1:11" x14ac:dyDescent="0.35">
      <c r="A1140" s="33">
        <v>30042942</v>
      </c>
      <c r="B1140" s="36" t="s">
        <v>1543</v>
      </c>
      <c r="C1140" s="37" t="s">
        <v>86</v>
      </c>
      <c r="D1140" s="38"/>
      <c r="E1140" s="38" t="s">
        <v>68</v>
      </c>
      <c r="F1140" s="37">
        <v>2</v>
      </c>
      <c r="G1140" s="37">
        <v>1</v>
      </c>
      <c r="H1140" s="37">
        <v>20</v>
      </c>
      <c r="I1140" s="37" t="s">
        <v>8</v>
      </c>
      <c r="J1140" s="37" t="s">
        <v>14</v>
      </c>
      <c r="K1140" s="62">
        <f t="shared" si="17"/>
        <v>6.666666666666667</v>
      </c>
    </row>
    <row r="1141" spans="1:11" x14ac:dyDescent="0.35">
      <c r="A1141" s="33">
        <v>30042943</v>
      </c>
      <c r="B1141" s="36" t="s">
        <v>61</v>
      </c>
      <c r="C1141" s="37" t="s">
        <v>86</v>
      </c>
      <c r="D1141" s="38"/>
      <c r="E1141" s="38" t="s">
        <v>68</v>
      </c>
      <c r="F1141" s="37">
        <v>2</v>
      </c>
      <c r="G1141" s="37">
        <v>1</v>
      </c>
      <c r="H1141" s="37">
        <v>29</v>
      </c>
      <c r="I1141" s="37" t="s">
        <v>8</v>
      </c>
      <c r="J1141" s="37" t="s">
        <v>14</v>
      </c>
      <c r="K1141" s="62">
        <f t="shared" si="17"/>
        <v>9.6666666666666661</v>
      </c>
    </row>
    <row r="1142" spans="1:11" hidden="1" x14ac:dyDescent="0.35">
      <c r="A1142" s="33">
        <v>30042944</v>
      </c>
      <c r="B1142" s="36" t="s">
        <v>1269</v>
      </c>
      <c r="C1142" s="37" t="s">
        <v>86</v>
      </c>
      <c r="D1142" s="38"/>
      <c r="E1142" s="38" t="s">
        <v>68</v>
      </c>
      <c r="F1142" s="37">
        <v>5</v>
      </c>
      <c r="G1142" s="37">
        <v>3</v>
      </c>
      <c r="H1142" s="37">
        <v>10</v>
      </c>
      <c r="I1142" s="37" t="s">
        <v>8</v>
      </c>
      <c r="J1142" s="37" t="s">
        <v>14</v>
      </c>
      <c r="K1142" s="62">
        <f t="shared" si="17"/>
        <v>1.25</v>
      </c>
    </row>
    <row r="1143" spans="1:11" hidden="1" x14ac:dyDescent="0.35">
      <c r="A1143" s="33">
        <v>30042945</v>
      </c>
      <c r="B1143" s="36" t="s">
        <v>697</v>
      </c>
      <c r="C1143" s="37" t="s">
        <v>86</v>
      </c>
      <c r="D1143" s="38"/>
      <c r="E1143" s="38" t="s">
        <v>68</v>
      </c>
      <c r="F1143" s="37">
        <v>2</v>
      </c>
      <c r="G1143" s="37">
        <v>3</v>
      </c>
      <c r="H1143" s="37">
        <v>8</v>
      </c>
      <c r="I1143" s="37" t="s">
        <v>8</v>
      </c>
      <c r="J1143" s="37" t="s">
        <v>14</v>
      </c>
      <c r="K1143" s="62">
        <f t="shared" si="17"/>
        <v>1.6</v>
      </c>
    </row>
    <row r="1144" spans="1:11" hidden="1" x14ac:dyDescent="0.35">
      <c r="A1144" s="33">
        <v>30042946</v>
      </c>
      <c r="B1144" s="36" t="s">
        <v>698</v>
      </c>
      <c r="C1144" s="37" t="s">
        <v>86</v>
      </c>
      <c r="D1144" s="38"/>
      <c r="E1144" s="38" t="s">
        <v>68</v>
      </c>
      <c r="F1144" s="37">
        <v>3</v>
      </c>
      <c r="G1144" s="37">
        <v>5</v>
      </c>
      <c r="H1144" s="37">
        <v>9</v>
      </c>
      <c r="I1144" s="37" t="s">
        <v>8</v>
      </c>
      <c r="J1144" s="37" t="s">
        <v>14</v>
      </c>
      <c r="K1144" s="62">
        <f t="shared" si="17"/>
        <v>1.125</v>
      </c>
    </row>
    <row r="1145" spans="1:11" hidden="1" x14ac:dyDescent="0.35">
      <c r="A1145" s="33">
        <v>30042947</v>
      </c>
      <c r="B1145" s="36" t="s">
        <v>62</v>
      </c>
      <c r="C1145" s="37" t="s">
        <v>86</v>
      </c>
      <c r="D1145" s="38"/>
      <c r="E1145" s="38" t="s">
        <v>68</v>
      </c>
      <c r="F1145" s="37">
        <v>2</v>
      </c>
      <c r="G1145" s="37">
        <v>1</v>
      </c>
      <c r="H1145" s="37">
        <v>7</v>
      </c>
      <c r="I1145" s="37" t="s">
        <v>8</v>
      </c>
      <c r="J1145" s="37" t="s">
        <v>14</v>
      </c>
      <c r="K1145" s="62">
        <f t="shared" si="17"/>
        <v>2.3333333333333335</v>
      </c>
    </row>
    <row r="1146" spans="1:11" x14ac:dyDescent="0.35">
      <c r="A1146" s="33">
        <v>30042948</v>
      </c>
      <c r="B1146" s="36" t="s">
        <v>1544</v>
      </c>
      <c r="C1146" s="37" t="s">
        <v>86</v>
      </c>
      <c r="D1146" s="38"/>
      <c r="E1146" s="38" t="s">
        <v>68</v>
      </c>
      <c r="F1146" s="37">
        <v>2</v>
      </c>
      <c r="G1146" s="37">
        <v>1</v>
      </c>
      <c r="H1146" s="37">
        <v>16</v>
      </c>
      <c r="I1146" s="37" t="s">
        <v>8</v>
      </c>
      <c r="J1146" s="37" t="s">
        <v>14</v>
      </c>
      <c r="K1146" s="62">
        <f t="shared" si="17"/>
        <v>5.333333333333333</v>
      </c>
    </row>
    <row r="1147" spans="1:11" hidden="1" x14ac:dyDescent="0.35">
      <c r="A1147" s="33">
        <v>30042949</v>
      </c>
      <c r="B1147" s="36" t="s">
        <v>699</v>
      </c>
      <c r="C1147" s="37" t="s">
        <v>86</v>
      </c>
      <c r="D1147" s="38"/>
      <c r="E1147" s="38" t="s">
        <v>68</v>
      </c>
      <c r="F1147" s="37">
        <v>2</v>
      </c>
      <c r="G1147" s="37">
        <v>1</v>
      </c>
      <c r="H1147" s="37">
        <v>0</v>
      </c>
      <c r="I1147" s="37" t="s">
        <v>8</v>
      </c>
      <c r="J1147" s="37" t="s">
        <v>14</v>
      </c>
      <c r="K1147" s="62">
        <f t="shared" si="17"/>
        <v>0</v>
      </c>
    </row>
    <row r="1148" spans="1:11" hidden="1" x14ac:dyDescent="0.35">
      <c r="A1148" s="33">
        <v>30042950</v>
      </c>
      <c r="B1148" s="36" t="s">
        <v>1545</v>
      </c>
      <c r="C1148" s="37" t="s">
        <v>86</v>
      </c>
      <c r="D1148" s="38"/>
      <c r="E1148" s="38" t="s">
        <v>68</v>
      </c>
      <c r="F1148" s="37">
        <v>2</v>
      </c>
      <c r="G1148" s="37">
        <v>1</v>
      </c>
      <c r="H1148" s="37">
        <v>10</v>
      </c>
      <c r="I1148" s="37" t="s">
        <v>8</v>
      </c>
      <c r="J1148" s="37" t="s">
        <v>14</v>
      </c>
      <c r="K1148" s="62">
        <f t="shared" si="17"/>
        <v>3.3333333333333335</v>
      </c>
    </row>
    <row r="1149" spans="1:11" hidden="1" x14ac:dyDescent="0.35">
      <c r="A1149" s="33">
        <v>30042951</v>
      </c>
      <c r="B1149" s="36" t="s">
        <v>700</v>
      </c>
      <c r="C1149" s="37" t="s">
        <v>86</v>
      </c>
      <c r="D1149" s="38"/>
      <c r="E1149" s="38" t="s">
        <v>68</v>
      </c>
      <c r="F1149" s="37">
        <v>2</v>
      </c>
      <c r="G1149" s="37">
        <v>1</v>
      </c>
      <c r="H1149" s="37">
        <v>7</v>
      </c>
      <c r="I1149" s="37" t="s">
        <v>8</v>
      </c>
      <c r="J1149" s="37" t="s">
        <v>14</v>
      </c>
      <c r="K1149" s="62">
        <f t="shared" si="17"/>
        <v>2.3333333333333335</v>
      </c>
    </row>
    <row r="1150" spans="1:11" hidden="1" x14ac:dyDescent="0.35">
      <c r="A1150" s="33">
        <v>30042953</v>
      </c>
      <c r="B1150" s="36" t="s">
        <v>63</v>
      </c>
      <c r="C1150" s="37" t="s">
        <v>86</v>
      </c>
      <c r="D1150" s="38"/>
      <c r="E1150" s="38" t="s">
        <v>68</v>
      </c>
      <c r="F1150" s="37">
        <v>2</v>
      </c>
      <c r="G1150" s="37">
        <v>1</v>
      </c>
      <c r="H1150" s="37">
        <v>0</v>
      </c>
      <c r="I1150" s="37" t="s">
        <v>8</v>
      </c>
      <c r="J1150" s="37" t="s">
        <v>7</v>
      </c>
      <c r="K1150" s="62">
        <f t="shared" si="17"/>
        <v>0</v>
      </c>
    </row>
    <row r="1151" spans="1:11" hidden="1" x14ac:dyDescent="0.35">
      <c r="A1151" s="33">
        <v>30042954</v>
      </c>
      <c r="B1151" s="36" t="s">
        <v>1546</v>
      </c>
      <c r="C1151" s="37" t="s">
        <v>86</v>
      </c>
      <c r="D1151" s="38"/>
      <c r="E1151" s="38" t="s">
        <v>68</v>
      </c>
      <c r="F1151" s="37">
        <v>4</v>
      </c>
      <c r="G1151" s="37">
        <v>2</v>
      </c>
      <c r="H1151" s="37">
        <v>6</v>
      </c>
      <c r="I1151" s="37" t="s">
        <v>8</v>
      </c>
      <c r="J1151" s="37" t="s">
        <v>9</v>
      </c>
      <c r="K1151" s="62">
        <f t="shared" si="17"/>
        <v>1</v>
      </c>
    </row>
    <row r="1152" spans="1:11" hidden="1" x14ac:dyDescent="0.35">
      <c r="A1152" s="33">
        <v>30042955</v>
      </c>
      <c r="B1152" s="36" t="s">
        <v>701</v>
      </c>
      <c r="C1152" s="37" t="s">
        <v>86</v>
      </c>
      <c r="D1152" s="38"/>
      <c r="E1152" s="38" t="s">
        <v>68</v>
      </c>
      <c r="F1152" s="37">
        <v>3</v>
      </c>
      <c r="G1152" s="37">
        <v>5</v>
      </c>
      <c r="H1152" s="37">
        <v>1</v>
      </c>
      <c r="I1152" s="37" t="s">
        <v>8</v>
      </c>
      <c r="J1152" s="37" t="s">
        <v>7</v>
      </c>
      <c r="K1152" s="62">
        <f t="shared" si="17"/>
        <v>0.125</v>
      </c>
    </row>
    <row r="1153" spans="1:11" hidden="1" x14ac:dyDescent="0.35">
      <c r="A1153" s="33">
        <v>30042956</v>
      </c>
      <c r="B1153" s="36" t="s">
        <v>702</v>
      </c>
      <c r="C1153" s="37" t="s">
        <v>86</v>
      </c>
      <c r="D1153" s="38"/>
      <c r="E1153" s="38" t="s">
        <v>68</v>
      </c>
      <c r="F1153" s="37">
        <v>3</v>
      </c>
      <c r="G1153" s="37">
        <v>5</v>
      </c>
      <c r="H1153" s="37">
        <v>1</v>
      </c>
      <c r="I1153" s="37" t="s">
        <v>8</v>
      </c>
      <c r="J1153" s="37" t="s">
        <v>7</v>
      </c>
      <c r="K1153" s="62">
        <f t="shared" si="17"/>
        <v>0.125</v>
      </c>
    </row>
    <row r="1154" spans="1:11" hidden="1" x14ac:dyDescent="0.35">
      <c r="A1154" s="33">
        <v>30042957</v>
      </c>
      <c r="B1154" s="36" t="s">
        <v>1547</v>
      </c>
      <c r="C1154" s="37" t="s">
        <v>86</v>
      </c>
      <c r="D1154" s="38"/>
      <c r="E1154" s="38" t="s">
        <v>68</v>
      </c>
      <c r="F1154" s="37">
        <v>4</v>
      </c>
      <c r="G1154" s="37">
        <v>2</v>
      </c>
      <c r="H1154" s="37">
        <v>9</v>
      </c>
      <c r="I1154" s="37" t="s">
        <v>8</v>
      </c>
      <c r="J1154" s="37" t="s">
        <v>9</v>
      </c>
      <c r="K1154" s="62">
        <f t="shared" si="17"/>
        <v>1.5</v>
      </c>
    </row>
    <row r="1155" spans="1:11" x14ac:dyDescent="0.35">
      <c r="A1155" s="33">
        <v>30043014</v>
      </c>
      <c r="B1155" s="36" t="s">
        <v>703</v>
      </c>
      <c r="C1155" s="37" t="s">
        <v>86</v>
      </c>
      <c r="D1155" s="38"/>
      <c r="E1155" s="38" t="s">
        <v>68</v>
      </c>
      <c r="F1155" s="37">
        <v>2</v>
      </c>
      <c r="G1155" s="37">
        <v>1</v>
      </c>
      <c r="H1155" s="37">
        <v>21</v>
      </c>
      <c r="I1155" s="37" t="s">
        <v>8</v>
      </c>
      <c r="J1155" s="37" t="s">
        <v>14</v>
      </c>
      <c r="K1155" s="62">
        <f t="shared" si="17"/>
        <v>7</v>
      </c>
    </row>
    <row r="1156" spans="1:11" hidden="1" x14ac:dyDescent="0.35">
      <c r="A1156" s="33">
        <v>30043017</v>
      </c>
      <c r="B1156" s="36" t="s">
        <v>704</v>
      </c>
      <c r="C1156" s="37" t="s">
        <v>86</v>
      </c>
      <c r="D1156" s="38"/>
      <c r="E1156" s="38" t="s">
        <v>68</v>
      </c>
      <c r="F1156" s="37">
        <v>2</v>
      </c>
      <c r="G1156" s="37">
        <v>2</v>
      </c>
      <c r="H1156" s="37">
        <v>3</v>
      </c>
      <c r="I1156" s="37" t="s">
        <v>8</v>
      </c>
      <c r="J1156" s="37" t="s">
        <v>7</v>
      </c>
      <c r="K1156" s="62">
        <f t="shared" si="17"/>
        <v>0.75</v>
      </c>
    </row>
    <row r="1157" spans="1:11" hidden="1" x14ac:dyDescent="0.35">
      <c r="A1157" s="33">
        <v>30043067</v>
      </c>
      <c r="B1157" s="36" t="s">
        <v>705</v>
      </c>
      <c r="C1157" s="37" t="s">
        <v>86</v>
      </c>
      <c r="D1157" s="38"/>
      <c r="E1157" s="38" t="s">
        <v>68</v>
      </c>
      <c r="F1157" s="37">
        <v>4</v>
      </c>
      <c r="G1157" s="37">
        <v>6</v>
      </c>
      <c r="H1157" s="37">
        <v>10</v>
      </c>
      <c r="I1157" s="37" t="s">
        <v>8</v>
      </c>
      <c r="J1157" s="37" t="s">
        <v>14</v>
      </c>
      <c r="K1157" s="62">
        <f t="shared" si="17"/>
        <v>1</v>
      </c>
    </row>
    <row r="1158" spans="1:11" hidden="1" x14ac:dyDescent="0.35">
      <c r="A1158" s="33">
        <v>30043291</v>
      </c>
      <c r="B1158" s="36" t="s">
        <v>706</v>
      </c>
      <c r="C1158" s="37" t="s">
        <v>86</v>
      </c>
      <c r="D1158" s="38"/>
      <c r="E1158" s="38" t="s">
        <v>68</v>
      </c>
      <c r="F1158" s="37">
        <v>5</v>
      </c>
      <c r="G1158" s="37">
        <v>2</v>
      </c>
      <c r="H1158" s="37">
        <v>5</v>
      </c>
      <c r="I1158" s="37" t="s">
        <v>8</v>
      </c>
      <c r="J1158" s="37" t="s">
        <v>7</v>
      </c>
      <c r="K1158" s="62">
        <f t="shared" si="17"/>
        <v>0.7142857142857143</v>
      </c>
    </row>
    <row r="1159" spans="1:11" hidden="1" x14ac:dyDescent="0.35">
      <c r="A1159" s="33">
        <v>30043292</v>
      </c>
      <c r="B1159" s="36" t="s">
        <v>707</v>
      </c>
      <c r="C1159" s="37" t="s">
        <v>86</v>
      </c>
      <c r="D1159" s="38"/>
      <c r="E1159" s="38" t="s">
        <v>68</v>
      </c>
      <c r="F1159" s="37">
        <v>2</v>
      </c>
      <c r="G1159" s="37">
        <v>2</v>
      </c>
      <c r="H1159" s="37">
        <v>2</v>
      </c>
      <c r="I1159" s="37" t="s">
        <v>8</v>
      </c>
      <c r="J1159" s="37" t="s">
        <v>7</v>
      </c>
      <c r="K1159" s="62">
        <f t="shared" si="17"/>
        <v>0.5</v>
      </c>
    </row>
    <row r="1160" spans="1:11" hidden="1" x14ac:dyDescent="0.35">
      <c r="A1160" s="33">
        <v>30043306</v>
      </c>
      <c r="B1160" s="36" t="s">
        <v>708</v>
      </c>
      <c r="C1160" s="37" t="s">
        <v>86</v>
      </c>
      <c r="D1160" s="38"/>
      <c r="E1160" s="38" t="s">
        <v>68</v>
      </c>
      <c r="F1160" s="37">
        <v>1</v>
      </c>
      <c r="G1160" s="37">
        <v>1</v>
      </c>
      <c r="H1160" s="37">
        <v>2</v>
      </c>
      <c r="I1160" s="37" t="s">
        <v>8</v>
      </c>
      <c r="J1160" s="37" t="s">
        <v>7</v>
      </c>
      <c r="K1160" s="62">
        <f t="shared" si="17"/>
        <v>1</v>
      </c>
    </row>
    <row r="1161" spans="1:11" hidden="1" x14ac:dyDescent="0.35">
      <c r="A1161" s="33">
        <v>30043323</v>
      </c>
      <c r="B1161" s="36" t="s">
        <v>709</v>
      </c>
      <c r="C1161" s="37" t="s">
        <v>86</v>
      </c>
      <c r="D1161" s="38"/>
      <c r="E1161" s="38" t="s">
        <v>68</v>
      </c>
      <c r="F1161" s="37">
        <v>12</v>
      </c>
      <c r="G1161" s="37">
        <v>4</v>
      </c>
      <c r="H1161" s="37">
        <v>46</v>
      </c>
      <c r="I1161" s="37" t="s">
        <v>8</v>
      </c>
      <c r="J1161" s="37" t="s">
        <v>14</v>
      </c>
      <c r="K1161" s="62">
        <f t="shared" ref="K1161:K1224" si="18">H1161/(F1161+G1161)</f>
        <v>2.875</v>
      </c>
    </row>
    <row r="1162" spans="1:11" hidden="1" x14ac:dyDescent="0.35">
      <c r="A1162" s="33">
        <v>30043361</v>
      </c>
      <c r="B1162" s="36" t="s">
        <v>710</v>
      </c>
      <c r="C1162" s="37" t="s">
        <v>86</v>
      </c>
      <c r="D1162" s="38"/>
      <c r="E1162" s="38" t="s">
        <v>68</v>
      </c>
      <c r="F1162" s="37">
        <v>2</v>
      </c>
      <c r="G1162" s="37">
        <v>2</v>
      </c>
      <c r="H1162" s="37">
        <v>2</v>
      </c>
      <c r="I1162" s="37" t="s">
        <v>8</v>
      </c>
      <c r="J1162" s="37" t="s">
        <v>7</v>
      </c>
      <c r="K1162" s="62">
        <f t="shared" si="18"/>
        <v>0.5</v>
      </c>
    </row>
    <row r="1163" spans="1:11" hidden="1" x14ac:dyDescent="0.35">
      <c r="A1163" s="33">
        <v>30043362</v>
      </c>
      <c r="B1163" s="36" t="s">
        <v>711</v>
      </c>
      <c r="C1163" s="37" t="s">
        <v>86</v>
      </c>
      <c r="D1163" s="38"/>
      <c r="E1163" s="38" t="s">
        <v>68</v>
      </c>
      <c r="F1163" s="37">
        <v>2</v>
      </c>
      <c r="G1163" s="37">
        <v>2</v>
      </c>
      <c r="H1163" s="37">
        <v>1</v>
      </c>
      <c r="I1163" s="37" t="s">
        <v>8</v>
      </c>
      <c r="J1163" s="37" t="s">
        <v>9</v>
      </c>
      <c r="K1163" s="62">
        <f t="shared" si="18"/>
        <v>0.25</v>
      </c>
    </row>
    <row r="1164" spans="1:11" hidden="1" x14ac:dyDescent="0.35">
      <c r="A1164" s="33">
        <v>30043478</v>
      </c>
      <c r="B1164" s="36" t="s">
        <v>712</v>
      </c>
      <c r="C1164" s="37" t="s">
        <v>86</v>
      </c>
      <c r="D1164" s="38"/>
      <c r="E1164" s="38" t="s">
        <v>68</v>
      </c>
      <c r="F1164" s="37">
        <v>3</v>
      </c>
      <c r="G1164" s="37">
        <v>5</v>
      </c>
      <c r="H1164" s="37">
        <v>5</v>
      </c>
      <c r="I1164" s="37" t="s">
        <v>8</v>
      </c>
      <c r="J1164" s="37" t="s">
        <v>7</v>
      </c>
      <c r="K1164" s="62">
        <f t="shared" si="18"/>
        <v>0.625</v>
      </c>
    </row>
    <row r="1165" spans="1:11" hidden="1" x14ac:dyDescent="0.35">
      <c r="A1165" s="33">
        <v>30043585</v>
      </c>
      <c r="B1165" s="36" t="s">
        <v>713</v>
      </c>
      <c r="C1165" s="37" t="s">
        <v>86</v>
      </c>
      <c r="D1165" s="38"/>
      <c r="E1165" s="38" t="s">
        <v>68</v>
      </c>
      <c r="F1165" s="37">
        <v>3</v>
      </c>
      <c r="G1165" s="37">
        <v>5</v>
      </c>
      <c r="H1165" s="37">
        <v>3</v>
      </c>
      <c r="I1165" s="37" t="s">
        <v>8</v>
      </c>
      <c r="J1165" s="37" t="s">
        <v>7</v>
      </c>
      <c r="K1165" s="62">
        <f t="shared" si="18"/>
        <v>0.375</v>
      </c>
    </row>
    <row r="1166" spans="1:11" hidden="1" x14ac:dyDescent="0.35">
      <c r="A1166" s="33">
        <v>30043588</v>
      </c>
      <c r="B1166" s="36" t="s">
        <v>714</v>
      </c>
      <c r="C1166" s="37" t="s">
        <v>86</v>
      </c>
      <c r="D1166" s="38"/>
      <c r="E1166" s="38" t="s">
        <v>68</v>
      </c>
      <c r="F1166" s="37">
        <v>2</v>
      </c>
      <c r="G1166" s="37">
        <v>1</v>
      </c>
      <c r="H1166" s="37">
        <v>11</v>
      </c>
      <c r="I1166" s="37" t="s">
        <v>8</v>
      </c>
      <c r="J1166" s="37" t="s">
        <v>14</v>
      </c>
      <c r="K1166" s="62">
        <f t="shared" si="18"/>
        <v>3.6666666666666665</v>
      </c>
    </row>
    <row r="1167" spans="1:11" hidden="1" x14ac:dyDescent="0.35">
      <c r="A1167" s="33">
        <v>30043637</v>
      </c>
      <c r="B1167" s="36" t="s">
        <v>917</v>
      </c>
      <c r="C1167" s="37" t="s">
        <v>86</v>
      </c>
      <c r="D1167" s="38" t="s">
        <v>1225</v>
      </c>
      <c r="E1167" s="38" t="s">
        <v>102</v>
      </c>
      <c r="F1167" s="37">
        <v>2</v>
      </c>
      <c r="G1167" s="37">
        <v>2</v>
      </c>
      <c r="H1167" s="37">
        <v>2</v>
      </c>
      <c r="I1167" s="37" t="s">
        <v>8</v>
      </c>
      <c r="J1167" s="37" t="s">
        <v>7</v>
      </c>
      <c r="K1167" s="62">
        <f t="shared" si="18"/>
        <v>0.5</v>
      </c>
    </row>
    <row r="1168" spans="1:11" x14ac:dyDescent="0.35">
      <c r="A1168" s="33">
        <v>30043639</v>
      </c>
      <c r="B1168" s="36" t="s">
        <v>715</v>
      </c>
      <c r="C1168" s="37" t="s">
        <v>86</v>
      </c>
      <c r="D1168" s="38"/>
      <c r="E1168" s="38" t="s">
        <v>68</v>
      </c>
      <c r="F1168" s="37">
        <v>3</v>
      </c>
      <c r="G1168" s="37">
        <v>5</v>
      </c>
      <c r="H1168" s="37">
        <v>40</v>
      </c>
      <c r="I1168" s="37" t="s">
        <v>8</v>
      </c>
      <c r="J1168" s="37" t="s">
        <v>14</v>
      </c>
      <c r="K1168" s="62">
        <f t="shared" si="18"/>
        <v>5</v>
      </c>
    </row>
    <row r="1169" spans="1:11" hidden="1" x14ac:dyDescent="0.35">
      <c r="A1169" s="33">
        <v>30043647</v>
      </c>
      <c r="B1169" s="36" t="s">
        <v>862</v>
      </c>
      <c r="C1169" s="37" t="s">
        <v>86</v>
      </c>
      <c r="D1169" s="38"/>
      <c r="E1169" s="38" t="s">
        <v>102</v>
      </c>
      <c r="F1169" s="37">
        <v>12</v>
      </c>
      <c r="G1169" s="37">
        <v>8</v>
      </c>
      <c r="H1169" s="37">
        <v>20</v>
      </c>
      <c r="I1169" s="37" t="s">
        <v>8</v>
      </c>
      <c r="J1169" s="37" t="s">
        <v>7</v>
      </c>
      <c r="K1169" s="62">
        <f t="shared" si="18"/>
        <v>1</v>
      </c>
    </row>
    <row r="1170" spans="1:11" hidden="1" x14ac:dyDescent="0.35">
      <c r="A1170" s="33">
        <v>30043656</v>
      </c>
      <c r="B1170" s="36" t="s">
        <v>716</v>
      </c>
      <c r="C1170" s="37" t="s">
        <v>86</v>
      </c>
      <c r="D1170" s="38"/>
      <c r="E1170" s="38" t="s">
        <v>68</v>
      </c>
      <c r="F1170" s="37">
        <v>1</v>
      </c>
      <c r="G1170" s="37">
        <v>1</v>
      </c>
      <c r="H1170" s="37">
        <v>1</v>
      </c>
      <c r="I1170" s="37" t="s">
        <v>8</v>
      </c>
      <c r="J1170" s="37" t="s">
        <v>7</v>
      </c>
      <c r="K1170" s="62">
        <f t="shared" si="18"/>
        <v>0.5</v>
      </c>
    </row>
    <row r="1171" spans="1:11" hidden="1" x14ac:dyDescent="0.35">
      <c r="A1171" s="33">
        <v>30043661</v>
      </c>
      <c r="B1171" s="36" t="s">
        <v>717</v>
      </c>
      <c r="C1171" s="37" t="s">
        <v>86</v>
      </c>
      <c r="D1171" s="38"/>
      <c r="E1171" s="38" t="s">
        <v>68</v>
      </c>
      <c r="F1171" s="37">
        <v>2</v>
      </c>
      <c r="G1171" s="37">
        <v>1</v>
      </c>
      <c r="H1171" s="37">
        <v>0</v>
      </c>
      <c r="I1171" s="37" t="s">
        <v>8</v>
      </c>
      <c r="J1171" s="37" t="s">
        <v>13</v>
      </c>
      <c r="K1171" s="62">
        <f t="shared" si="18"/>
        <v>0</v>
      </c>
    </row>
    <row r="1172" spans="1:11" hidden="1" x14ac:dyDescent="0.35">
      <c r="A1172" s="33">
        <v>30043663</v>
      </c>
      <c r="B1172" s="36" t="s">
        <v>718</v>
      </c>
      <c r="C1172" s="37" t="s">
        <v>86</v>
      </c>
      <c r="D1172" s="38"/>
      <c r="E1172" s="38" t="s">
        <v>68</v>
      </c>
      <c r="F1172" s="37">
        <v>2</v>
      </c>
      <c r="G1172" s="37">
        <v>1</v>
      </c>
      <c r="H1172" s="37">
        <v>3</v>
      </c>
      <c r="I1172" s="37" t="s">
        <v>8</v>
      </c>
      <c r="J1172" s="37" t="s">
        <v>7</v>
      </c>
      <c r="K1172" s="62">
        <f t="shared" si="18"/>
        <v>1</v>
      </c>
    </row>
    <row r="1173" spans="1:11" hidden="1" x14ac:dyDescent="0.35">
      <c r="A1173" s="33">
        <v>30043665</v>
      </c>
      <c r="B1173" s="36" t="s">
        <v>719</v>
      </c>
      <c r="C1173" s="37" t="s">
        <v>86</v>
      </c>
      <c r="D1173" s="38"/>
      <c r="E1173" s="38" t="s">
        <v>68</v>
      </c>
      <c r="F1173" s="37">
        <v>2</v>
      </c>
      <c r="G1173" s="37">
        <v>1</v>
      </c>
      <c r="H1173" s="37">
        <v>3</v>
      </c>
      <c r="I1173" s="37" t="s">
        <v>8</v>
      </c>
      <c r="J1173" s="37" t="s">
        <v>7</v>
      </c>
      <c r="K1173" s="62">
        <f t="shared" si="18"/>
        <v>1</v>
      </c>
    </row>
    <row r="1174" spans="1:11" hidden="1" x14ac:dyDescent="0.35">
      <c r="A1174" s="33">
        <v>30043667</v>
      </c>
      <c r="B1174" s="36" t="s">
        <v>720</v>
      </c>
      <c r="C1174" s="37" t="s">
        <v>86</v>
      </c>
      <c r="D1174" s="38"/>
      <c r="E1174" s="38" t="s">
        <v>68</v>
      </c>
      <c r="F1174" s="37">
        <v>2</v>
      </c>
      <c r="G1174" s="37">
        <v>1</v>
      </c>
      <c r="H1174" s="37">
        <v>4</v>
      </c>
      <c r="I1174" s="37" t="s">
        <v>8</v>
      </c>
      <c r="J1174" s="37" t="s">
        <v>14</v>
      </c>
      <c r="K1174" s="62">
        <f t="shared" si="18"/>
        <v>1.3333333333333333</v>
      </c>
    </row>
    <row r="1175" spans="1:11" hidden="1" x14ac:dyDescent="0.35">
      <c r="A1175" s="33">
        <v>30043762</v>
      </c>
      <c r="B1175" s="36" t="s">
        <v>721</v>
      </c>
      <c r="C1175" s="37" t="s">
        <v>86</v>
      </c>
      <c r="D1175" s="38"/>
      <c r="E1175" s="38" t="s">
        <v>68</v>
      </c>
      <c r="F1175" s="37">
        <v>3</v>
      </c>
      <c r="G1175" s="37">
        <v>5</v>
      </c>
      <c r="H1175" s="37">
        <v>5</v>
      </c>
      <c r="I1175" s="37" t="s">
        <v>8</v>
      </c>
      <c r="J1175" s="37" t="s">
        <v>7</v>
      </c>
      <c r="K1175" s="62">
        <f t="shared" si="18"/>
        <v>0.625</v>
      </c>
    </row>
    <row r="1176" spans="1:11" hidden="1" x14ac:dyDescent="0.35">
      <c r="A1176" s="33">
        <v>30043767</v>
      </c>
      <c r="B1176" s="36" t="s">
        <v>722</v>
      </c>
      <c r="C1176" s="37" t="s">
        <v>86</v>
      </c>
      <c r="D1176" s="38"/>
      <c r="E1176" s="38" t="s">
        <v>68</v>
      </c>
      <c r="F1176" s="37">
        <v>4</v>
      </c>
      <c r="G1176" s="37">
        <v>4</v>
      </c>
      <c r="H1176" s="37">
        <v>6</v>
      </c>
      <c r="I1176" s="37" t="s">
        <v>8</v>
      </c>
      <c r="J1176" s="37" t="s">
        <v>7</v>
      </c>
      <c r="K1176" s="62">
        <f t="shared" si="18"/>
        <v>0.75</v>
      </c>
    </row>
    <row r="1177" spans="1:11" hidden="1" x14ac:dyDescent="0.35">
      <c r="A1177" s="33">
        <v>30043820</v>
      </c>
      <c r="B1177" s="36" t="s">
        <v>723</v>
      </c>
      <c r="C1177" s="37" t="s">
        <v>86</v>
      </c>
      <c r="D1177" s="38"/>
      <c r="E1177" s="38" t="s">
        <v>68</v>
      </c>
      <c r="F1177" s="37">
        <v>2</v>
      </c>
      <c r="G1177" s="37">
        <v>2</v>
      </c>
      <c r="H1177" s="37">
        <v>6</v>
      </c>
      <c r="I1177" s="37" t="s">
        <v>8</v>
      </c>
      <c r="J1177" s="37" t="s">
        <v>14</v>
      </c>
      <c r="K1177" s="62">
        <f t="shared" si="18"/>
        <v>1.5</v>
      </c>
    </row>
    <row r="1178" spans="1:11" hidden="1" x14ac:dyDescent="0.35">
      <c r="A1178" s="33">
        <v>30043856</v>
      </c>
      <c r="B1178" s="36" t="s">
        <v>724</v>
      </c>
      <c r="C1178" s="37" t="s">
        <v>86</v>
      </c>
      <c r="D1178" s="38"/>
      <c r="E1178" s="38" t="s">
        <v>68</v>
      </c>
      <c r="F1178" s="37">
        <v>5</v>
      </c>
      <c r="G1178" s="37">
        <v>5</v>
      </c>
      <c r="H1178" s="37">
        <v>4</v>
      </c>
      <c r="I1178" s="37" t="s">
        <v>8</v>
      </c>
      <c r="J1178" s="37" t="s">
        <v>9</v>
      </c>
      <c r="K1178" s="62">
        <f t="shared" si="18"/>
        <v>0.4</v>
      </c>
    </row>
    <row r="1179" spans="1:11" hidden="1" x14ac:dyDescent="0.35">
      <c r="A1179" s="33">
        <v>30043879</v>
      </c>
      <c r="B1179" s="36" t="s">
        <v>725</v>
      </c>
      <c r="C1179" s="37" t="s">
        <v>86</v>
      </c>
      <c r="D1179" s="38"/>
      <c r="E1179" s="38" t="s">
        <v>68</v>
      </c>
      <c r="F1179" s="37">
        <v>2</v>
      </c>
      <c r="G1179" s="37">
        <v>2</v>
      </c>
      <c r="H1179" s="37">
        <v>3</v>
      </c>
      <c r="I1179" s="37" t="s">
        <v>8</v>
      </c>
      <c r="J1179" s="37" t="s">
        <v>7</v>
      </c>
      <c r="K1179" s="62">
        <f t="shared" si="18"/>
        <v>0.75</v>
      </c>
    </row>
    <row r="1180" spans="1:11" hidden="1" x14ac:dyDescent="0.35">
      <c r="A1180" s="33">
        <v>30043884</v>
      </c>
      <c r="B1180" s="36" t="s">
        <v>726</v>
      </c>
      <c r="C1180" s="37" t="s">
        <v>86</v>
      </c>
      <c r="D1180" s="38"/>
      <c r="E1180" s="38" t="s">
        <v>68</v>
      </c>
      <c r="F1180" s="37">
        <v>2</v>
      </c>
      <c r="G1180" s="37">
        <v>2</v>
      </c>
      <c r="H1180" s="37">
        <v>5</v>
      </c>
      <c r="I1180" s="37" t="s">
        <v>8</v>
      </c>
      <c r="J1180" s="37" t="s">
        <v>14</v>
      </c>
      <c r="K1180" s="62">
        <f t="shared" si="18"/>
        <v>1.25</v>
      </c>
    </row>
    <row r="1181" spans="1:11" x14ac:dyDescent="0.35">
      <c r="A1181" s="33">
        <v>30044002</v>
      </c>
      <c r="B1181" s="36" t="s">
        <v>727</v>
      </c>
      <c r="C1181" s="37" t="s">
        <v>86</v>
      </c>
      <c r="D1181" s="38"/>
      <c r="E1181" s="38" t="s">
        <v>68</v>
      </c>
      <c r="F1181" s="37">
        <v>2</v>
      </c>
      <c r="G1181" s="37">
        <v>1</v>
      </c>
      <c r="H1181" s="37">
        <v>26</v>
      </c>
      <c r="I1181" s="37" t="s">
        <v>8</v>
      </c>
      <c r="J1181" s="37" t="s">
        <v>14</v>
      </c>
      <c r="K1181" s="62">
        <f t="shared" si="18"/>
        <v>8.6666666666666661</v>
      </c>
    </row>
    <row r="1182" spans="1:11" hidden="1" x14ac:dyDescent="0.35">
      <c r="A1182" s="33">
        <v>30045704</v>
      </c>
      <c r="B1182" s="36" t="s">
        <v>728</v>
      </c>
      <c r="C1182" s="37" t="s">
        <v>86</v>
      </c>
      <c r="D1182" s="38"/>
      <c r="E1182" s="38" t="s">
        <v>68</v>
      </c>
      <c r="F1182" s="37">
        <v>2</v>
      </c>
      <c r="G1182" s="37">
        <v>2</v>
      </c>
      <c r="H1182" s="37">
        <v>3</v>
      </c>
      <c r="I1182" s="37" t="s">
        <v>8</v>
      </c>
      <c r="J1182" s="37" t="s">
        <v>7</v>
      </c>
      <c r="K1182" s="62">
        <f t="shared" si="18"/>
        <v>0.75</v>
      </c>
    </row>
    <row r="1183" spans="1:11" hidden="1" x14ac:dyDescent="0.35">
      <c r="A1183" s="33">
        <v>30046862</v>
      </c>
      <c r="B1183" s="36" t="s">
        <v>729</v>
      </c>
      <c r="C1183" s="37" t="s">
        <v>86</v>
      </c>
      <c r="D1183" s="38"/>
      <c r="E1183" s="38" t="s">
        <v>68</v>
      </c>
      <c r="F1183" s="37">
        <v>2</v>
      </c>
      <c r="G1183" s="37">
        <v>2</v>
      </c>
      <c r="H1183" s="37">
        <v>1</v>
      </c>
      <c r="I1183" s="37" t="s">
        <v>8</v>
      </c>
      <c r="J1183" s="37" t="s">
        <v>9</v>
      </c>
      <c r="K1183" s="62">
        <f t="shared" si="18"/>
        <v>0.25</v>
      </c>
    </row>
    <row r="1184" spans="1:11" hidden="1" x14ac:dyDescent="0.35">
      <c r="A1184" s="33">
        <v>30048788</v>
      </c>
      <c r="B1184" s="36" t="s">
        <v>730</v>
      </c>
      <c r="C1184" s="37" t="s">
        <v>86</v>
      </c>
      <c r="D1184" s="38"/>
      <c r="E1184" s="38" t="s">
        <v>68</v>
      </c>
      <c r="F1184" s="37">
        <v>22</v>
      </c>
      <c r="G1184" s="37">
        <v>37</v>
      </c>
      <c r="H1184" s="37">
        <v>30</v>
      </c>
      <c r="I1184" s="37" t="s">
        <v>10</v>
      </c>
      <c r="J1184" s="37" t="s">
        <v>7</v>
      </c>
      <c r="K1184" s="62">
        <f t="shared" si="18"/>
        <v>0.50847457627118642</v>
      </c>
    </row>
    <row r="1185" spans="1:11" hidden="1" x14ac:dyDescent="0.35">
      <c r="A1185" s="33">
        <v>30050566</v>
      </c>
      <c r="B1185" s="36" t="s">
        <v>731</v>
      </c>
      <c r="C1185" s="37" t="s">
        <v>86</v>
      </c>
      <c r="D1185" s="38"/>
      <c r="E1185" s="38" t="s">
        <v>68</v>
      </c>
      <c r="F1185" s="37">
        <v>2</v>
      </c>
      <c r="G1185" s="37">
        <v>1</v>
      </c>
      <c r="H1185" s="37">
        <v>2</v>
      </c>
      <c r="I1185" s="37" t="s">
        <v>8</v>
      </c>
      <c r="J1185" s="37" t="s">
        <v>7</v>
      </c>
      <c r="K1185" s="62">
        <f t="shared" si="18"/>
        <v>0.66666666666666663</v>
      </c>
    </row>
    <row r="1186" spans="1:11" hidden="1" x14ac:dyDescent="0.35">
      <c r="A1186" s="33">
        <v>30050573</v>
      </c>
      <c r="B1186" s="36" t="s">
        <v>1089</v>
      </c>
      <c r="C1186" s="37" t="s">
        <v>86</v>
      </c>
      <c r="D1186" s="38"/>
      <c r="E1186" s="38" t="s">
        <v>102</v>
      </c>
      <c r="F1186" s="37">
        <v>73</v>
      </c>
      <c r="G1186" s="37">
        <v>72</v>
      </c>
      <c r="H1186" s="37">
        <v>239</v>
      </c>
      <c r="I1186" s="37" t="s">
        <v>8</v>
      </c>
      <c r="J1186" s="37" t="s">
        <v>14</v>
      </c>
      <c r="K1186" s="62">
        <f t="shared" si="18"/>
        <v>1.6482758620689655</v>
      </c>
    </row>
    <row r="1187" spans="1:11" hidden="1" x14ac:dyDescent="0.35">
      <c r="A1187" s="33">
        <v>30050574</v>
      </c>
      <c r="B1187" s="36" t="s">
        <v>732</v>
      </c>
      <c r="C1187" s="37" t="s">
        <v>86</v>
      </c>
      <c r="D1187" s="38"/>
      <c r="E1187" s="38" t="s">
        <v>68</v>
      </c>
      <c r="F1187" s="37">
        <v>8</v>
      </c>
      <c r="G1187" s="37">
        <v>15</v>
      </c>
      <c r="H1187" s="37">
        <v>9</v>
      </c>
      <c r="I1187" s="37" t="s">
        <v>8</v>
      </c>
      <c r="J1187" s="37" t="s">
        <v>7</v>
      </c>
      <c r="K1187" s="62">
        <f t="shared" si="18"/>
        <v>0.39130434782608697</v>
      </c>
    </row>
    <row r="1188" spans="1:11" hidden="1" x14ac:dyDescent="0.35">
      <c r="A1188" s="33">
        <v>30050579</v>
      </c>
      <c r="B1188" s="36" t="s">
        <v>733</v>
      </c>
      <c r="C1188" s="37" t="s">
        <v>86</v>
      </c>
      <c r="D1188" s="38"/>
      <c r="E1188" s="38" t="s">
        <v>68</v>
      </c>
      <c r="F1188" s="37">
        <v>3</v>
      </c>
      <c r="G1188" s="37">
        <v>5</v>
      </c>
      <c r="H1188" s="37">
        <v>34</v>
      </c>
      <c r="I1188" s="37" t="s">
        <v>8</v>
      </c>
      <c r="J1188" s="37" t="s">
        <v>14</v>
      </c>
      <c r="K1188" s="62">
        <f t="shared" si="18"/>
        <v>4.25</v>
      </c>
    </row>
    <row r="1189" spans="1:11" hidden="1" x14ac:dyDescent="0.35">
      <c r="A1189" s="33">
        <v>30050583</v>
      </c>
      <c r="B1189" s="36" t="s">
        <v>734</v>
      </c>
      <c r="C1189" s="37" t="s">
        <v>86</v>
      </c>
      <c r="D1189" s="38"/>
      <c r="E1189" s="38" t="s">
        <v>68</v>
      </c>
      <c r="F1189" s="37">
        <v>2</v>
      </c>
      <c r="G1189" s="37">
        <v>3</v>
      </c>
      <c r="H1189" s="37">
        <v>2</v>
      </c>
      <c r="I1189" s="37" t="s">
        <v>8</v>
      </c>
      <c r="J1189" s="37" t="s">
        <v>7</v>
      </c>
      <c r="K1189" s="62">
        <f t="shared" si="18"/>
        <v>0.4</v>
      </c>
    </row>
    <row r="1190" spans="1:11" hidden="1" x14ac:dyDescent="0.35">
      <c r="A1190" s="33">
        <v>30050586</v>
      </c>
      <c r="B1190" s="36" t="s">
        <v>1090</v>
      </c>
      <c r="C1190" s="37" t="s">
        <v>86</v>
      </c>
      <c r="D1190" s="38"/>
      <c r="E1190" s="38" t="s">
        <v>102</v>
      </c>
      <c r="F1190" s="37">
        <v>17</v>
      </c>
      <c r="G1190" s="37">
        <v>16</v>
      </c>
      <c r="H1190" s="37">
        <v>26</v>
      </c>
      <c r="I1190" s="37" t="s">
        <v>8</v>
      </c>
      <c r="J1190" s="37" t="s">
        <v>7</v>
      </c>
      <c r="K1190" s="62">
        <f t="shared" si="18"/>
        <v>0.78787878787878785</v>
      </c>
    </row>
    <row r="1191" spans="1:11" hidden="1" x14ac:dyDescent="0.35">
      <c r="A1191" s="33">
        <v>30050731</v>
      </c>
      <c r="B1191" s="36" t="s">
        <v>735</v>
      </c>
      <c r="C1191" s="37" t="s">
        <v>86</v>
      </c>
      <c r="D1191" s="38"/>
      <c r="E1191" s="38" t="s">
        <v>68</v>
      </c>
      <c r="F1191" s="37">
        <v>2</v>
      </c>
      <c r="G1191" s="37">
        <v>2</v>
      </c>
      <c r="H1191" s="37">
        <v>3</v>
      </c>
      <c r="I1191" s="37" t="s">
        <v>8</v>
      </c>
      <c r="J1191" s="37" t="s">
        <v>7</v>
      </c>
      <c r="K1191" s="62">
        <f t="shared" si="18"/>
        <v>0.75</v>
      </c>
    </row>
    <row r="1192" spans="1:11" hidden="1" x14ac:dyDescent="0.35">
      <c r="A1192" s="33">
        <v>30050757</v>
      </c>
      <c r="B1192" s="36" t="s">
        <v>1091</v>
      </c>
      <c r="C1192" s="37" t="s">
        <v>86</v>
      </c>
      <c r="D1192" s="38"/>
      <c r="E1192" s="38" t="s">
        <v>68</v>
      </c>
      <c r="F1192" s="37">
        <v>3</v>
      </c>
      <c r="G1192" s="37">
        <v>2</v>
      </c>
      <c r="H1192" s="37">
        <v>1</v>
      </c>
      <c r="I1192" s="37" t="s">
        <v>8</v>
      </c>
      <c r="J1192" s="37" t="s">
        <v>9</v>
      </c>
      <c r="K1192" s="62">
        <f t="shared" si="18"/>
        <v>0.2</v>
      </c>
    </row>
    <row r="1193" spans="1:11" hidden="1" x14ac:dyDescent="0.35">
      <c r="A1193" s="33">
        <v>30050887</v>
      </c>
      <c r="B1193" s="36" t="s">
        <v>863</v>
      </c>
      <c r="C1193" s="37" t="s">
        <v>86</v>
      </c>
      <c r="D1193" s="38"/>
      <c r="E1193" s="38" t="s">
        <v>102</v>
      </c>
      <c r="F1193" s="37">
        <v>2</v>
      </c>
      <c r="G1193" s="37">
        <v>4</v>
      </c>
      <c r="H1193" s="37">
        <v>10</v>
      </c>
      <c r="I1193" s="37" t="s">
        <v>8</v>
      </c>
      <c r="J1193" s="37" t="s">
        <v>14</v>
      </c>
      <c r="K1193" s="62">
        <f t="shared" si="18"/>
        <v>1.6666666666666667</v>
      </c>
    </row>
    <row r="1194" spans="1:11" hidden="1" x14ac:dyDescent="0.35">
      <c r="A1194" s="33">
        <v>30050889</v>
      </c>
      <c r="B1194" s="36" t="s">
        <v>864</v>
      </c>
      <c r="C1194" s="37" t="s">
        <v>86</v>
      </c>
      <c r="D1194" s="38"/>
      <c r="E1194" s="38" t="s">
        <v>102</v>
      </c>
      <c r="F1194" s="37">
        <v>1</v>
      </c>
      <c r="G1194" s="37">
        <v>2</v>
      </c>
      <c r="H1194" s="37">
        <v>2</v>
      </c>
      <c r="I1194" s="37" t="s">
        <v>8</v>
      </c>
      <c r="J1194" s="37" t="s">
        <v>7</v>
      </c>
      <c r="K1194" s="62">
        <f t="shared" si="18"/>
        <v>0.66666666666666663</v>
      </c>
    </row>
    <row r="1195" spans="1:11" hidden="1" x14ac:dyDescent="0.35">
      <c r="A1195" s="33">
        <v>30050922</v>
      </c>
      <c r="B1195" s="36" t="s">
        <v>918</v>
      </c>
      <c r="C1195" s="37" t="s">
        <v>86</v>
      </c>
      <c r="D1195" s="38"/>
      <c r="E1195" s="38" t="s">
        <v>102</v>
      </c>
      <c r="F1195" s="37">
        <v>5</v>
      </c>
      <c r="G1195" s="37">
        <v>4</v>
      </c>
      <c r="H1195" s="37">
        <v>9</v>
      </c>
      <c r="I1195" s="37" t="s">
        <v>8</v>
      </c>
      <c r="J1195" s="37" t="s">
        <v>7</v>
      </c>
      <c r="K1195" s="62">
        <f t="shared" si="18"/>
        <v>1</v>
      </c>
    </row>
    <row r="1196" spans="1:11" hidden="1" x14ac:dyDescent="0.35">
      <c r="A1196" s="33">
        <v>30050978</v>
      </c>
      <c r="B1196" s="36" t="s">
        <v>736</v>
      </c>
      <c r="C1196" s="37" t="s">
        <v>86</v>
      </c>
      <c r="D1196" s="38"/>
      <c r="E1196" s="38" t="s">
        <v>68</v>
      </c>
      <c r="F1196" s="37">
        <v>2</v>
      </c>
      <c r="G1196" s="37">
        <v>1</v>
      </c>
      <c r="H1196" s="37">
        <v>2</v>
      </c>
      <c r="I1196" s="37" t="s">
        <v>8</v>
      </c>
      <c r="J1196" s="37" t="s">
        <v>7</v>
      </c>
      <c r="K1196" s="62">
        <f t="shared" si="18"/>
        <v>0.66666666666666663</v>
      </c>
    </row>
    <row r="1197" spans="1:11" hidden="1" x14ac:dyDescent="0.35">
      <c r="A1197" s="33">
        <v>30050979</v>
      </c>
      <c r="B1197" s="36" t="s">
        <v>737</v>
      </c>
      <c r="C1197" s="37" t="s">
        <v>86</v>
      </c>
      <c r="D1197" s="38"/>
      <c r="E1197" s="38" t="s">
        <v>68</v>
      </c>
      <c r="F1197" s="37">
        <v>2</v>
      </c>
      <c r="G1197" s="37">
        <v>2</v>
      </c>
      <c r="H1197" s="37">
        <v>2</v>
      </c>
      <c r="I1197" s="37" t="s">
        <v>8</v>
      </c>
      <c r="J1197" s="37" t="s">
        <v>7</v>
      </c>
      <c r="K1197" s="62">
        <f t="shared" si="18"/>
        <v>0.5</v>
      </c>
    </row>
    <row r="1198" spans="1:11" hidden="1" x14ac:dyDescent="0.35">
      <c r="A1198" s="33">
        <v>30050980</v>
      </c>
      <c r="B1198" s="36" t="s">
        <v>738</v>
      </c>
      <c r="C1198" s="37" t="s">
        <v>86</v>
      </c>
      <c r="D1198" s="38"/>
      <c r="E1198" s="38" t="s">
        <v>68</v>
      </c>
      <c r="F1198" s="37">
        <v>2</v>
      </c>
      <c r="G1198" s="37">
        <v>2</v>
      </c>
      <c r="H1198" s="37">
        <v>0</v>
      </c>
      <c r="I1198" s="37" t="s">
        <v>8</v>
      </c>
      <c r="J1198" s="37" t="s">
        <v>13</v>
      </c>
      <c r="K1198" s="62">
        <f t="shared" si="18"/>
        <v>0</v>
      </c>
    </row>
    <row r="1199" spans="1:11" hidden="1" x14ac:dyDescent="0.35">
      <c r="A1199" s="33">
        <v>30050981</v>
      </c>
      <c r="B1199" s="36" t="s">
        <v>739</v>
      </c>
      <c r="C1199" s="37" t="s">
        <v>86</v>
      </c>
      <c r="D1199" s="38"/>
      <c r="E1199" s="38" t="s">
        <v>68</v>
      </c>
      <c r="F1199" s="37">
        <v>1</v>
      </c>
      <c r="G1199" s="37">
        <v>1</v>
      </c>
      <c r="H1199" s="37">
        <v>1</v>
      </c>
      <c r="I1199" s="37" t="s">
        <v>8</v>
      </c>
      <c r="J1199" s="37" t="s">
        <v>7</v>
      </c>
      <c r="K1199" s="62">
        <f t="shared" si="18"/>
        <v>0.5</v>
      </c>
    </row>
    <row r="1200" spans="1:11" hidden="1" x14ac:dyDescent="0.35">
      <c r="A1200" s="33">
        <v>30051087</v>
      </c>
      <c r="B1200" s="36" t="s">
        <v>740</v>
      </c>
      <c r="C1200" s="37" t="s">
        <v>86</v>
      </c>
      <c r="D1200" s="38"/>
      <c r="E1200" s="38" t="s">
        <v>68</v>
      </c>
      <c r="F1200" s="37">
        <v>6</v>
      </c>
      <c r="G1200" s="37">
        <v>4</v>
      </c>
      <c r="H1200" s="37">
        <v>4</v>
      </c>
      <c r="I1200" s="37" t="s">
        <v>8</v>
      </c>
      <c r="J1200" s="37" t="s">
        <v>9</v>
      </c>
      <c r="K1200" s="62">
        <f t="shared" si="18"/>
        <v>0.4</v>
      </c>
    </row>
    <row r="1201" spans="1:11" hidden="1" x14ac:dyDescent="0.35">
      <c r="A1201" s="33">
        <v>30051088</v>
      </c>
      <c r="B1201" s="36" t="s">
        <v>741</v>
      </c>
      <c r="C1201" s="37" t="s">
        <v>86</v>
      </c>
      <c r="D1201" s="38"/>
      <c r="E1201" s="38" t="s">
        <v>68</v>
      </c>
      <c r="F1201" s="37">
        <v>5</v>
      </c>
      <c r="G1201" s="37">
        <v>3</v>
      </c>
      <c r="H1201" s="37">
        <v>7</v>
      </c>
      <c r="I1201" s="37" t="s">
        <v>8</v>
      </c>
      <c r="J1201" s="37" t="s">
        <v>9</v>
      </c>
      <c r="K1201" s="62">
        <f t="shared" si="18"/>
        <v>0.875</v>
      </c>
    </row>
    <row r="1202" spans="1:11" hidden="1" x14ac:dyDescent="0.35">
      <c r="A1202" s="33">
        <v>30051089</v>
      </c>
      <c r="B1202" s="36" t="s">
        <v>742</v>
      </c>
      <c r="C1202" s="37" t="s">
        <v>86</v>
      </c>
      <c r="D1202" s="38"/>
      <c r="E1202" s="38" t="s">
        <v>68</v>
      </c>
      <c r="F1202" s="37">
        <v>7</v>
      </c>
      <c r="G1202" s="37">
        <v>4</v>
      </c>
      <c r="H1202" s="37">
        <v>2</v>
      </c>
      <c r="I1202" s="37" t="s">
        <v>8</v>
      </c>
      <c r="J1202" s="37" t="s">
        <v>9</v>
      </c>
      <c r="K1202" s="62">
        <f t="shared" si="18"/>
        <v>0.18181818181818182</v>
      </c>
    </row>
    <row r="1203" spans="1:11" hidden="1" x14ac:dyDescent="0.35">
      <c r="A1203" s="33">
        <v>30051090</v>
      </c>
      <c r="B1203" s="36" t="s">
        <v>743</v>
      </c>
      <c r="C1203" s="37" t="s">
        <v>86</v>
      </c>
      <c r="D1203" s="38"/>
      <c r="E1203" s="38" t="s">
        <v>68</v>
      </c>
      <c r="F1203" s="37">
        <v>7</v>
      </c>
      <c r="G1203" s="37">
        <v>4</v>
      </c>
      <c r="H1203" s="37">
        <v>7</v>
      </c>
      <c r="I1203" s="37" t="s">
        <v>8</v>
      </c>
      <c r="J1203" s="37" t="s">
        <v>7</v>
      </c>
      <c r="K1203" s="62">
        <f t="shared" si="18"/>
        <v>0.63636363636363635</v>
      </c>
    </row>
    <row r="1204" spans="1:11" hidden="1" x14ac:dyDescent="0.35">
      <c r="A1204" s="33">
        <v>30051091</v>
      </c>
      <c r="B1204" s="36" t="s">
        <v>744</v>
      </c>
      <c r="C1204" s="37" t="s">
        <v>86</v>
      </c>
      <c r="D1204" s="38"/>
      <c r="E1204" s="38" t="s">
        <v>68</v>
      </c>
      <c r="F1204" s="37">
        <v>9</v>
      </c>
      <c r="G1204" s="37">
        <v>4</v>
      </c>
      <c r="H1204" s="37">
        <v>8</v>
      </c>
      <c r="I1204" s="37" t="s">
        <v>8</v>
      </c>
      <c r="J1204" s="37" t="s">
        <v>9</v>
      </c>
      <c r="K1204" s="62">
        <f t="shared" si="18"/>
        <v>0.61538461538461542</v>
      </c>
    </row>
    <row r="1205" spans="1:11" hidden="1" x14ac:dyDescent="0.35">
      <c r="A1205" s="33">
        <v>30051092</v>
      </c>
      <c r="B1205" s="36" t="s">
        <v>745</v>
      </c>
      <c r="C1205" s="37" t="s">
        <v>86</v>
      </c>
      <c r="D1205" s="38"/>
      <c r="E1205" s="38" t="s">
        <v>68</v>
      </c>
      <c r="F1205" s="37">
        <v>11</v>
      </c>
      <c r="G1205" s="37">
        <v>5</v>
      </c>
      <c r="H1205" s="37">
        <v>11</v>
      </c>
      <c r="I1205" s="37" t="s">
        <v>8</v>
      </c>
      <c r="J1205" s="37" t="s">
        <v>7</v>
      </c>
      <c r="K1205" s="62">
        <f t="shared" si="18"/>
        <v>0.6875</v>
      </c>
    </row>
    <row r="1206" spans="1:11" hidden="1" x14ac:dyDescent="0.35">
      <c r="A1206" s="33">
        <v>30051123</v>
      </c>
      <c r="B1206" s="36" t="s">
        <v>746</v>
      </c>
      <c r="C1206" s="37" t="s">
        <v>86</v>
      </c>
      <c r="D1206" s="38"/>
      <c r="E1206" s="38" t="s">
        <v>68</v>
      </c>
      <c r="F1206" s="37">
        <v>9</v>
      </c>
      <c r="G1206" s="37">
        <v>6</v>
      </c>
      <c r="H1206" s="37">
        <v>3</v>
      </c>
      <c r="I1206" s="37" t="s">
        <v>8</v>
      </c>
      <c r="J1206" s="37" t="s">
        <v>9</v>
      </c>
      <c r="K1206" s="62">
        <f t="shared" si="18"/>
        <v>0.2</v>
      </c>
    </row>
    <row r="1207" spans="1:11" hidden="1" x14ac:dyDescent="0.35">
      <c r="A1207" s="33">
        <v>30051124</v>
      </c>
      <c r="B1207" s="36" t="s">
        <v>747</v>
      </c>
      <c r="C1207" s="37" t="s">
        <v>86</v>
      </c>
      <c r="D1207" s="38"/>
      <c r="E1207" s="38" t="s">
        <v>68</v>
      </c>
      <c r="F1207" s="37">
        <v>21</v>
      </c>
      <c r="G1207" s="37">
        <v>10</v>
      </c>
      <c r="H1207" s="37">
        <v>22</v>
      </c>
      <c r="I1207" s="37" t="s">
        <v>8</v>
      </c>
      <c r="J1207" s="37" t="s">
        <v>7</v>
      </c>
      <c r="K1207" s="62">
        <f t="shared" si="18"/>
        <v>0.70967741935483875</v>
      </c>
    </row>
    <row r="1208" spans="1:11" hidden="1" x14ac:dyDescent="0.35">
      <c r="A1208" s="33">
        <v>30051126</v>
      </c>
      <c r="B1208" s="36" t="s">
        <v>1253</v>
      </c>
      <c r="C1208" s="37" t="s">
        <v>86</v>
      </c>
      <c r="D1208" s="38"/>
      <c r="E1208" s="38" t="s">
        <v>68</v>
      </c>
      <c r="F1208" s="37">
        <v>7</v>
      </c>
      <c r="G1208" s="37">
        <v>4</v>
      </c>
      <c r="H1208" s="37">
        <v>6</v>
      </c>
      <c r="I1208" s="37" t="s">
        <v>8</v>
      </c>
      <c r="J1208" s="37" t="s">
        <v>9</v>
      </c>
      <c r="K1208" s="62">
        <f t="shared" si="18"/>
        <v>0.54545454545454541</v>
      </c>
    </row>
    <row r="1209" spans="1:11" hidden="1" x14ac:dyDescent="0.35">
      <c r="A1209" s="33">
        <v>30051127</v>
      </c>
      <c r="B1209" s="36" t="s">
        <v>1254</v>
      </c>
      <c r="C1209" s="37" t="s">
        <v>86</v>
      </c>
      <c r="D1209" s="38"/>
      <c r="E1209" s="38" t="s">
        <v>68</v>
      </c>
      <c r="F1209" s="37">
        <v>7</v>
      </c>
      <c r="G1209" s="37">
        <v>4</v>
      </c>
      <c r="H1209" s="37">
        <v>12</v>
      </c>
      <c r="I1209" s="37" t="s">
        <v>8</v>
      </c>
      <c r="J1209" s="37" t="s">
        <v>14</v>
      </c>
      <c r="K1209" s="62">
        <f t="shared" si="18"/>
        <v>1.0909090909090908</v>
      </c>
    </row>
    <row r="1210" spans="1:11" hidden="1" x14ac:dyDescent="0.35">
      <c r="A1210" s="33">
        <v>30051148</v>
      </c>
      <c r="B1210" s="36" t="s">
        <v>748</v>
      </c>
      <c r="C1210" s="37" t="s">
        <v>86</v>
      </c>
      <c r="D1210" s="38"/>
      <c r="E1210" s="38" t="s">
        <v>68</v>
      </c>
      <c r="F1210" s="37">
        <v>7</v>
      </c>
      <c r="G1210" s="37">
        <v>3</v>
      </c>
      <c r="H1210" s="37">
        <v>5</v>
      </c>
      <c r="I1210" s="37" t="s">
        <v>8</v>
      </c>
      <c r="J1210" s="37" t="s">
        <v>9</v>
      </c>
      <c r="K1210" s="62">
        <f t="shared" si="18"/>
        <v>0.5</v>
      </c>
    </row>
    <row r="1211" spans="1:11" hidden="1" x14ac:dyDescent="0.35">
      <c r="A1211" s="33">
        <v>30051149</v>
      </c>
      <c r="B1211" s="36" t="s">
        <v>870</v>
      </c>
      <c r="C1211" s="37" t="s">
        <v>86</v>
      </c>
      <c r="D1211" s="38"/>
      <c r="E1211" s="38" t="s">
        <v>102</v>
      </c>
      <c r="F1211" s="37">
        <v>4</v>
      </c>
      <c r="G1211" s="37">
        <v>3</v>
      </c>
      <c r="H1211" s="37">
        <v>4</v>
      </c>
      <c r="I1211" s="37" t="s">
        <v>8</v>
      </c>
      <c r="J1211" s="37" t="s">
        <v>7</v>
      </c>
      <c r="K1211" s="62">
        <f t="shared" si="18"/>
        <v>0.5714285714285714</v>
      </c>
    </row>
    <row r="1212" spans="1:11" hidden="1" x14ac:dyDescent="0.35">
      <c r="A1212" s="33">
        <v>30051151</v>
      </c>
      <c r="B1212" s="36" t="s">
        <v>919</v>
      </c>
      <c r="C1212" s="37" t="s">
        <v>86</v>
      </c>
      <c r="D1212" s="38" t="s">
        <v>1225</v>
      </c>
      <c r="E1212" s="38" t="s">
        <v>102</v>
      </c>
      <c r="F1212" s="37">
        <v>4</v>
      </c>
      <c r="G1212" s="37">
        <v>3</v>
      </c>
      <c r="H1212" s="37">
        <v>6</v>
      </c>
      <c r="I1212" s="37" t="s">
        <v>8</v>
      </c>
      <c r="J1212" s="37" t="s">
        <v>7</v>
      </c>
      <c r="K1212" s="62">
        <f t="shared" si="18"/>
        <v>0.8571428571428571</v>
      </c>
    </row>
    <row r="1213" spans="1:11" hidden="1" x14ac:dyDescent="0.35">
      <c r="A1213" s="33">
        <v>30051303</v>
      </c>
      <c r="B1213" s="36" t="s">
        <v>749</v>
      </c>
      <c r="C1213" s="37" t="s">
        <v>86</v>
      </c>
      <c r="D1213" s="38"/>
      <c r="E1213" s="38" t="s">
        <v>68</v>
      </c>
      <c r="F1213" s="37">
        <v>2</v>
      </c>
      <c r="G1213" s="37">
        <v>3</v>
      </c>
      <c r="H1213" s="37">
        <v>2</v>
      </c>
      <c r="I1213" s="37" t="s">
        <v>8</v>
      </c>
      <c r="J1213" s="37" t="s">
        <v>7</v>
      </c>
      <c r="K1213" s="62">
        <f t="shared" si="18"/>
        <v>0.4</v>
      </c>
    </row>
    <row r="1214" spans="1:11" hidden="1" x14ac:dyDescent="0.35">
      <c r="A1214" s="33">
        <v>30051390</v>
      </c>
      <c r="B1214" s="36" t="s">
        <v>750</v>
      </c>
      <c r="C1214" s="37" t="s">
        <v>86</v>
      </c>
      <c r="D1214" s="38"/>
      <c r="E1214" s="38" t="s">
        <v>68</v>
      </c>
      <c r="F1214" s="37">
        <v>54</v>
      </c>
      <c r="G1214" s="37">
        <v>54</v>
      </c>
      <c r="H1214" s="37">
        <v>77</v>
      </c>
      <c r="I1214" s="37" t="s">
        <v>25</v>
      </c>
      <c r="J1214" s="37" t="s">
        <v>7</v>
      </c>
      <c r="K1214" s="62">
        <f t="shared" si="18"/>
        <v>0.71296296296296291</v>
      </c>
    </row>
    <row r="1215" spans="1:11" hidden="1" x14ac:dyDescent="0.35">
      <c r="A1215" s="33">
        <v>30051434</v>
      </c>
      <c r="B1215" s="36" t="s">
        <v>751</v>
      </c>
      <c r="C1215" s="37" t="s">
        <v>86</v>
      </c>
      <c r="D1215" s="38"/>
      <c r="E1215" s="38" t="s">
        <v>68</v>
      </c>
      <c r="F1215" s="37">
        <v>30</v>
      </c>
      <c r="G1215" s="37">
        <v>30</v>
      </c>
      <c r="H1215" s="37">
        <v>30</v>
      </c>
      <c r="I1215" s="37" t="s">
        <v>8</v>
      </c>
      <c r="J1215" s="37" t="s">
        <v>7</v>
      </c>
      <c r="K1215" s="62">
        <f t="shared" si="18"/>
        <v>0.5</v>
      </c>
    </row>
    <row r="1216" spans="1:11" hidden="1" x14ac:dyDescent="0.35">
      <c r="A1216" s="33">
        <v>30051435</v>
      </c>
      <c r="B1216" s="36" t="s">
        <v>752</v>
      </c>
      <c r="C1216" s="37" t="s">
        <v>86</v>
      </c>
      <c r="D1216" s="38"/>
      <c r="E1216" s="38" t="s">
        <v>68</v>
      </c>
      <c r="F1216" s="37">
        <v>28</v>
      </c>
      <c r="G1216" s="37">
        <v>20</v>
      </c>
      <c r="H1216" s="37">
        <v>46</v>
      </c>
      <c r="I1216" s="37" t="s">
        <v>8</v>
      </c>
      <c r="J1216" s="37" t="s">
        <v>7</v>
      </c>
      <c r="K1216" s="62">
        <f t="shared" si="18"/>
        <v>0.95833333333333337</v>
      </c>
    </row>
    <row r="1217" spans="1:11" hidden="1" x14ac:dyDescent="0.35">
      <c r="A1217" s="33">
        <v>30051440</v>
      </c>
      <c r="B1217" s="36" t="s">
        <v>753</v>
      </c>
      <c r="C1217" s="37" t="s">
        <v>86</v>
      </c>
      <c r="D1217" s="38"/>
      <c r="E1217" s="38" t="s">
        <v>68</v>
      </c>
      <c r="F1217" s="37">
        <v>3500</v>
      </c>
      <c r="G1217" s="37">
        <v>12740</v>
      </c>
      <c r="H1217" s="37">
        <v>3538</v>
      </c>
      <c r="I1217" s="37" t="s">
        <v>23</v>
      </c>
      <c r="J1217" s="37" t="s">
        <v>7</v>
      </c>
      <c r="K1217" s="62">
        <f t="shared" si="18"/>
        <v>0.21785714285714286</v>
      </c>
    </row>
    <row r="1218" spans="1:11" hidden="1" x14ac:dyDescent="0.35">
      <c r="A1218" s="33">
        <v>30051455</v>
      </c>
      <c r="B1218" s="36" t="s">
        <v>754</v>
      </c>
      <c r="C1218" s="37" t="s">
        <v>86</v>
      </c>
      <c r="D1218" s="38"/>
      <c r="E1218" s="38" t="s">
        <v>68</v>
      </c>
      <c r="F1218" s="37">
        <v>3</v>
      </c>
      <c r="G1218" s="37">
        <v>3</v>
      </c>
      <c r="H1218" s="37">
        <v>4</v>
      </c>
      <c r="I1218" s="37" t="s">
        <v>8</v>
      </c>
      <c r="J1218" s="37" t="s">
        <v>7</v>
      </c>
      <c r="K1218" s="62">
        <f t="shared" si="18"/>
        <v>0.66666666666666663</v>
      </c>
    </row>
    <row r="1219" spans="1:11" hidden="1" x14ac:dyDescent="0.35">
      <c r="A1219" s="33">
        <v>30051537</v>
      </c>
      <c r="B1219" s="36" t="s">
        <v>755</v>
      </c>
      <c r="C1219" s="37" t="s">
        <v>86</v>
      </c>
      <c r="D1219" s="38"/>
      <c r="E1219" s="38" t="s">
        <v>68</v>
      </c>
      <c r="F1219" s="37">
        <v>11</v>
      </c>
      <c r="G1219" s="37">
        <v>18</v>
      </c>
      <c r="H1219" s="37">
        <v>48</v>
      </c>
      <c r="I1219" s="37" t="s">
        <v>8</v>
      </c>
      <c r="J1219" s="37" t="s">
        <v>14</v>
      </c>
      <c r="K1219" s="62">
        <f t="shared" si="18"/>
        <v>1.6551724137931034</v>
      </c>
    </row>
    <row r="1220" spans="1:11" hidden="1" x14ac:dyDescent="0.35">
      <c r="A1220" s="33">
        <v>30051538</v>
      </c>
      <c r="B1220" s="36" t="s">
        <v>756</v>
      </c>
      <c r="C1220" s="37" t="s">
        <v>86</v>
      </c>
      <c r="D1220" s="38"/>
      <c r="E1220" s="38" t="s">
        <v>68</v>
      </c>
      <c r="F1220" s="37">
        <v>40</v>
      </c>
      <c r="G1220" s="37">
        <v>100</v>
      </c>
      <c r="H1220" s="37">
        <v>9</v>
      </c>
      <c r="I1220" s="37" t="s">
        <v>8</v>
      </c>
      <c r="J1220" s="37" t="s">
        <v>9</v>
      </c>
      <c r="K1220" s="62">
        <f t="shared" si="18"/>
        <v>6.4285714285714279E-2</v>
      </c>
    </row>
    <row r="1221" spans="1:11" hidden="1" x14ac:dyDescent="0.35">
      <c r="A1221" s="33">
        <v>30051539</v>
      </c>
      <c r="B1221" s="36" t="s">
        <v>1507</v>
      </c>
      <c r="C1221" s="37" t="s">
        <v>86</v>
      </c>
      <c r="D1221" s="38"/>
      <c r="E1221" s="38" t="s">
        <v>68</v>
      </c>
      <c r="F1221" s="37">
        <v>100</v>
      </c>
      <c r="G1221" s="37">
        <v>300</v>
      </c>
      <c r="H1221" s="37">
        <v>800</v>
      </c>
      <c r="I1221" s="37" t="s">
        <v>8</v>
      </c>
      <c r="J1221" s="37" t="s">
        <v>14</v>
      </c>
      <c r="K1221" s="62">
        <f t="shared" si="18"/>
        <v>2</v>
      </c>
    </row>
    <row r="1222" spans="1:11" hidden="1" x14ac:dyDescent="0.35">
      <c r="A1222" s="33">
        <v>30051540</v>
      </c>
      <c r="B1222" s="36" t="s">
        <v>757</v>
      </c>
      <c r="C1222" s="37" t="s">
        <v>86</v>
      </c>
      <c r="D1222" s="38"/>
      <c r="E1222" s="38" t="s">
        <v>68</v>
      </c>
      <c r="F1222" s="37">
        <v>150</v>
      </c>
      <c r="G1222" s="37">
        <v>300</v>
      </c>
      <c r="H1222" s="37">
        <v>800</v>
      </c>
      <c r="I1222" s="37" t="s">
        <v>8</v>
      </c>
      <c r="J1222" s="37" t="s">
        <v>14</v>
      </c>
      <c r="K1222" s="62">
        <f t="shared" si="18"/>
        <v>1.7777777777777777</v>
      </c>
    </row>
    <row r="1223" spans="1:11" hidden="1" x14ac:dyDescent="0.35">
      <c r="A1223" s="33">
        <v>30051541</v>
      </c>
      <c r="B1223" s="36" t="s">
        <v>758</v>
      </c>
      <c r="C1223" s="37" t="s">
        <v>86</v>
      </c>
      <c r="D1223" s="38"/>
      <c r="E1223" s="38" t="s">
        <v>68</v>
      </c>
      <c r="F1223" s="37">
        <v>2</v>
      </c>
      <c r="G1223" s="37">
        <v>2</v>
      </c>
      <c r="H1223" s="37">
        <v>8</v>
      </c>
      <c r="I1223" s="37" t="s">
        <v>8</v>
      </c>
      <c r="J1223" s="37" t="s">
        <v>14</v>
      </c>
      <c r="K1223" s="62">
        <f t="shared" si="18"/>
        <v>2</v>
      </c>
    </row>
    <row r="1224" spans="1:11" hidden="1" x14ac:dyDescent="0.35">
      <c r="A1224" s="33">
        <v>30051542</v>
      </c>
      <c r="B1224" s="36" t="s">
        <v>1343</v>
      </c>
      <c r="C1224" s="37" t="s">
        <v>86</v>
      </c>
      <c r="D1224" s="38"/>
      <c r="E1224" s="38" t="s">
        <v>68</v>
      </c>
      <c r="F1224" s="37">
        <v>3</v>
      </c>
      <c r="G1224" s="37">
        <v>4</v>
      </c>
      <c r="H1224" s="37">
        <v>4</v>
      </c>
      <c r="I1224" s="37" t="s">
        <v>8</v>
      </c>
      <c r="J1224" s="37" t="s">
        <v>7</v>
      </c>
      <c r="K1224" s="62">
        <f t="shared" si="18"/>
        <v>0.5714285714285714</v>
      </c>
    </row>
    <row r="1225" spans="1:11" hidden="1" x14ac:dyDescent="0.35">
      <c r="A1225" s="33">
        <v>30051548</v>
      </c>
      <c r="B1225" s="36" t="s">
        <v>1169</v>
      </c>
      <c r="C1225" s="37" t="s">
        <v>86</v>
      </c>
      <c r="D1225" s="38" t="s">
        <v>1225</v>
      </c>
      <c r="E1225" s="38" t="s">
        <v>102</v>
      </c>
      <c r="F1225" s="37">
        <v>3</v>
      </c>
      <c r="G1225" s="37">
        <v>2</v>
      </c>
      <c r="H1225" s="37">
        <v>3</v>
      </c>
      <c r="I1225" s="37" t="s">
        <v>8</v>
      </c>
      <c r="J1225" s="37" t="s">
        <v>7</v>
      </c>
      <c r="K1225" s="62">
        <f t="shared" ref="K1225:K1288" si="19">H1225/(F1225+G1225)</f>
        <v>0.6</v>
      </c>
    </row>
    <row r="1226" spans="1:11" hidden="1" x14ac:dyDescent="0.35">
      <c r="A1226" s="33">
        <v>30051604</v>
      </c>
      <c r="B1226" s="36" t="s">
        <v>759</v>
      </c>
      <c r="C1226" s="37" t="s">
        <v>86</v>
      </c>
      <c r="D1226" s="38"/>
      <c r="E1226" s="38" t="s">
        <v>68</v>
      </c>
      <c r="F1226" s="37">
        <v>2</v>
      </c>
      <c r="G1226" s="37">
        <v>2</v>
      </c>
      <c r="H1226" s="37">
        <v>6</v>
      </c>
      <c r="I1226" s="37" t="s">
        <v>8</v>
      </c>
      <c r="J1226" s="37" t="s">
        <v>14</v>
      </c>
      <c r="K1226" s="62">
        <f t="shared" si="19"/>
        <v>1.5</v>
      </c>
    </row>
    <row r="1227" spans="1:11" hidden="1" x14ac:dyDescent="0.35">
      <c r="A1227" s="33">
        <v>30051653</v>
      </c>
      <c r="B1227" s="36" t="s">
        <v>760</v>
      </c>
      <c r="C1227" s="37" t="s">
        <v>86</v>
      </c>
      <c r="D1227" s="38"/>
      <c r="E1227" s="38" t="s">
        <v>68</v>
      </c>
      <c r="F1227" s="37">
        <v>2</v>
      </c>
      <c r="G1227" s="37">
        <v>3</v>
      </c>
      <c r="H1227" s="37">
        <v>0</v>
      </c>
      <c r="I1227" s="37" t="s">
        <v>8</v>
      </c>
      <c r="J1227" s="37" t="s">
        <v>13</v>
      </c>
      <c r="K1227" s="62">
        <f t="shared" si="19"/>
        <v>0</v>
      </c>
    </row>
    <row r="1228" spans="1:11" hidden="1" x14ac:dyDescent="0.35">
      <c r="A1228" s="33">
        <v>30051659</v>
      </c>
      <c r="B1228" s="36" t="s">
        <v>761</v>
      </c>
      <c r="C1228" s="37" t="s">
        <v>86</v>
      </c>
      <c r="D1228" s="38"/>
      <c r="E1228" s="38" t="s">
        <v>68</v>
      </c>
      <c r="F1228" s="37">
        <v>7</v>
      </c>
      <c r="G1228" s="37">
        <v>4</v>
      </c>
      <c r="H1228" s="37">
        <v>8</v>
      </c>
      <c r="I1228" s="37" t="s">
        <v>8</v>
      </c>
      <c r="J1228" s="37" t="s">
        <v>7</v>
      </c>
      <c r="K1228" s="62">
        <f t="shared" si="19"/>
        <v>0.72727272727272729</v>
      </c>
    </row>
    <row r="1229" spans="1:11" hidden="1" x14ac:dyDescent="0.35">
      <c r="A1229" s="33">
        <v>30051725</v>
      </c>
      <c r="B1229" s="36" t="s">
        <v>762</v>
      </c>
      <c r="C1229" s="37" t="s">
        <v>86</v>
      </c>
      <c r="D1229" s="38"/>
      <c r="E1229" s="38" t="s">
        <v>68</v>
      </c>
      <c r="F1229" s="37">
        <v>2</v>
      </c>
      <c r="G1229" s="37">
        <v>3</v>
      </c>
      <c r="H1229" s="37">
        <v>3</v>
      </c>
      <c r="I1229" s="37" t="s">
        <v>8</v>
      </c>
      <c r="J1229" s="37" t="s">
        <v>7</v>
      </c>
      <c r="K1229" s="62">
        <f t="shared" si="19"/>
        <v>0.6</v>
      </c>
    </row>
    <row r="1230" spans="1:11" hidden="1" x14ac:dyDescent="0.35">
      <c r="A1230" s="33">
        <v>30051767</v>
      </c>
      <c r="B1230" s="36" t="s">
        <v>763</v>
      </c>
      <c r="C1230" s="37" t="s">
        <v>86</v>
      </c>
      <c r="D1230" s="38"/>
      <c r="E1230" s="38" t="s">
        <v>68</v>
      </c>
      <c r="F1230" s="37">
        <v>20</v>
      </c>
      <c r="G1230" s="37">
        <v>20</v>
      </c>
      <c r="H1230" s="37">
        <v>24</v>
      </c>
      <c r="I1230" s="37" t="s">
        <v>10</v>
      </c>
      <c r="J1230" s="37" t="s">
        <v>7</v>
      </c>
      <c r="K1230" s="62">
        <f t="shared" si="19"/>
        <v>0.6</v>
      </c>
    </row>
    <row r="1231" spans="1:11" hidden="1" x14ac:dyDescent="0.35">
      <c r="A1231" s="33">
        <v>30052253</v>
      </c>
      <c r="B1231" s="36" t="s">
        <v>764</v>
      </c>
      <c r="C1231" s="37" t="s">
        <v>86</v>
      </c>
      <c r="D1231" s="38"/>
      <c r="E1231" s="38" t="s">
        <v>68</v>
      </c>
      <c r="F1231" s="37">
        <v>3</v>
      </c>
      <c r="G1231" s="37">
        <v>5</v>
      </c>
      <c r="H1231" s="37">
        <v>2</v>
      </c>
      <c r="I1231" s="37" t="s">
        <v>8</v>
      </c>
      <c r="J1231" s="37" t="s">
        <v>9</v>
      </c>
      <c r="K1231" s="62">
        <f t="shared" si="19"/>
        <v>0.25</v>
      </c>
    </row>
    <row r="1232" spans="1:11" hidden="1" x14ac:dyDescent="0.35">
      <c r="A1232" s="33">
        <v>30052303</v>
      </c>
      <c r="B1232" s="36" t="s">
        <v>765</v>
      </c>
      <c r="C1232" s="37" t="s">
        <v>86</v>
      </c>
      <c r="D1232" s="38"/>
      <c r="E1232" s="38" t="s">
        <v>68</v>
      </c>
      <c r="F1232" s="37">
        <v>2</v>
      </c>
      <c r="G1232" s="37">
        <v>2</v>
      </c>
      <c r="H1232" s="37">
        <v>2</v>
      </c>
      <c r="I1232" s="37" t="s">
        <v>8</v>
      </c>
      <c r="J1232" s="37" t="s">
        <v>7</v>
      </c>
      <c r="K1232" s="62">
        <f t="shared" si="19"/>
        <v>0.5</v>
      </c>
    </row>
    <row r="1233" spans="1:11" x14ac:dyDescent="0.35">
      <c r="A1233" s="33">
        <v>30052311</v>
      </c>
      <c r="B1233" s="36" t="s">
        <v>766</v>
      </c>
      <c r="C1233" s="37" t="s">
        <v>86</v>
      </c>
      <c r="D1233" s="38"/>
      <c r="E1233" s="38" t="s">
        <v>68</v>
      </c>
      <c r="F1233" s="37">
        <v>2</v>
      </c>
      <c r="G1233" s="37">
        <v>1</v>
      </c>
      <c r="H1233" s="37">
        <v>18</v>
      </c>
      <c r="I1233" s="37" t="s">
        <v>8</v>
      </c>
      <c r="J1233" s="37" t="s">
        <v>14</v>
      </c>
      <c r="K1233" s="62">
        <f t="shared" si="19"/>
        <v>6</v>
      </c>
    </row>
    <row r="1234" spans="1:11" x14ac:dyDescent="0.35">
      <c r="A1234" s="33">
        <v>30052324</v>
      </c>
      <c r="B1234" s="36" t="s">
        <v>767</v>
      </c>
      <c r="C1234" s="37" t="s">
        <v>86</v>
      </c>
      <c r="D1234" s="38"/>
      <c r="E1234" s="38" t="s">
        <v>68</v>
      </c>
      <c r="F1234" s="37">
        <v>2</v>
      </c>
      <c r="G1234" s="37">
        <v>1</v>
      </c>
      <c r="H1234" s="37">
        <v>27</v>
      </c>
      <c r="I1234" s="37" t="s">
        <v>8</v>
      </c>
      <c r="J1234" s="37" t="s">
        <v>14</v>
      </c>
      <c r="K1234" s="62">
        <f t="shared" si="19"/>
        <v>9</v>
      </c>
    </row>
    <row r="1235" spans="1:11" hidden="1" x14ac:dyDescent="0.35">
      <c r="A1235" s="33">
        <v>30052991</v>
      </c>
      <c r="B1235" s="36" t="s">
        <v>1092</v>
      </c>
      <c r="C1235" s="37" t="s">
        <v>86</v>
      </c>
      <c r="D1235" s="38"/>
      <c r="E1235" s="38" t="s">
        <v>102</v>
      </c>
      <c r="F1235" s="37">
        <v>2</v>
      </c>
      <c r="G1235" s="37">
        <v>1</v>
      </c>
      <c r="H1235" s="37">
        <v>3</v>
      </c>
      <c r="I1235" s="37" t="s">
        <v>8</v>
      </c>
      <c r="J1235" s="37" t="s">
        <v>7</v>
      </c>
      <c r="K1235" s="62">
        <f t="shared" si="19"/>
        <v>1</v>
      </c>
    </row>
    <row r="1236" spans="1:11" hidden="1" x14ac:dyDescent="0.35">
      <c r="A1236" s="33">
        <v>30053002</v>
      </c>
      <c r="B1236" s="36" t="s">
        <v>920</v>
      </c>
      <c r="C1236" s="37" t="s">
        <v>86</v>
      </c>
      <c r="D1236" s="38" t="s">
        <v>1225</v>
      </c>
      <c r="E1236" s="38" t="s">
        <v>102</v>
      </c>
      <c r="F1236" s="37">
        <v>3</v>
      </c>
      <c r="G1236" s="37">
        <v>2</v>
      </c>
      <c r="H1236" s="37">
        <v>3</v>
      </c>
      <c r="I1236" s="37" t="s">
        <v>8</v>
      </c>
      <c r="J1236" s="37" t="s">
        <v>7</v>
      </c>
      <c r="K1236" s="62">
        <f t="shared" si="19"/>
        <v>0.6</v>
      </c>
    </row>
    <row r="1237" spans="1:11" hidden="1" x14ac:dyDescent="0.35">
      <c r="A1237" s="33">
        <v>30053005</v>
      </c>
      <c r="B1237" s="36" t="s">
        <v>921</v>
      </c>
      <c r="C1237" s="37" t="s">
        <v>86</v>
      </c>
      <c r="D1237" s="38" t="s">
        <v>1225</v>
      </c>
      <c r="E1237" s="38" t="s">
        <v>102</v>
      </c>
      <c r="F1237" s="37">
        <v>2</v>
      </c>
      <c r="G1237" s="37">
        <v>2</v>
      </c>
      <c r="H1237" s="37">
        <v>3</v>
      </c>
      <c r="I1237" s="37" t="s">
        <v>8</v>
      </c>
      <c r="J1237" s="37" t="s">
        <v>7</v>
      </c>
      <c r="K1237" s="62">
        <f t="shared" si="19"/>
        <v>0.75</v>
      </c>
    </row>
    <row r="1238" spans="1:11" hidden="1" x14ac:dyDescent="0.35">
      <c r="A1238" s="33">
        <v>30053006</v>
      </c>
      <c r="B1238" s="36" t="s">
        <v>922</v>
      </c>
      <c r="C1238" s="37" t="s">
        <v>86</v>
      </c>
      <c r="D1238" s="38" t="s">
        <v>1225</v>
      </c>
      <c r="E1238" s="38" t="s">
        <v>102</v>
      </c>
      <c r="F1238" s="37">
        <v>2</v>
      </c>
      <c r="G1238" s="37">
        <v>2</v>
      </c>
      <c r="H1238" s="37">
        <v>3</v>
      </c>
      <c r="I1238" s="37" t="s">
        <v>8</v>
      </c>
      <c r="J1238" s="37" t="s">
        <v>7</v>
      </c>
      <c r="K1238" s="62">
        <f t="shared" si="19"/>
        <v>0.75</v>
      </c>
    </row>
    <row r="1239" spans="1:11" hidden="1" x14ac:dyDescent="0.35">
      <c r="A1239" s="33">
        <v>30053007</v>
      </c>
      <c r="B1239" s="36" t="s">
        <v>923</v>
      </c>
      <c r="C1239" s="37" t="s">
        <v>86</v>
      </c>
      <c r="D1239" s="38" t="s">
        <v>1225</v>
      </c>
      <c r="E1239" s="38" t="s">
        <v>102</v>
      </c>
      <c r="F1239" s="37">
        <v>2</v>
      </c>
      <c r="G1239" s="37">
        <v>2</v>
      </c>
      <c r="H1239" s="37">
        <v>3</v>
      </c>
      <c r="I1239" s="37" t="s">
        <v>8</v>
      </c>
      <c r="J1239" s="37" t="s">
        <v>7</v>
      </c>
      <c r="K1239" s="62">
        <f t="shared" si="19"/>
        <v>0.75</v>
      </c>
    </row>
    <row r="1240" spans="1:11" hidden="1" x14ac:dyDescent="0.35">
      <c r="A1240" s="33">
        <v>30053069</v>
      </c>
      <c r="B1240" s="36" t="s">
        <v>1376</v>
      </c>
      <c r="C1240" s="37" t="s">
        <v>86</v>
      </c>
      <c r="D1240" s="38"/>
      <c r="E1240" s="38" t="s">
        <v>68</v>
      </c>
      <c r="F1240" s="37">
        <v>1</v>
      </c>
      <c r="G1240" s="37">
        <v>1</v>
      </c>
      <c r="H1240" s="37">
        <v>1</v>
      </c>
      <c r="I1240" s="37" t="s">
        <v>8</v>
      </c>
      <c r="J1240" s="37" t="s">
        <v>13</v>
      </c>
      <c r="K1240" s="62">
        <f t="shared" si="19"/>
        <v>0.5</v>
      </c>
    </row>
    <row r="1241" spans="1:11" hidden="1" x14ac:dyDescent="0.35">
      <c r="A1241" s="33">
        <v>30053076</v>
      </c>
      <c r="B1241" s="36" t="s">
        <v>768</v>
      </c>
      <c r="C1241" s="37" t="s">
        <v>86</v>
      </c>
      <c r="D1241" s="38"/>
      <c r="E1241" s="38" t="s">
        <v>68</v>
      </c>
      <c r="F1241" s="37">
        <v>5</v>
      </c>
      <c r="G1241" s="37">
        <v>4</v>
      </c>
      <c r="H1241" s="37">
        <v>3</v>
      </c>
      <c r="I1241" s="37" t="s">
        <v>8</v>
      </c>
      <c r="J1241" s="37" t="s">
        <v>7</v>
      </c>
      <c r="K1241" s="62">
        <f t="shared" si="19"/>
        <v>0.33333333333333331</v>
      </c>
    </row>
    <row r="1242" spans="1:11" hidden="1" x14ac:dyDescent="0.35">
      <c r="A1242" s="33">
        <v>30053079</v>
      </c>
      <c r="B1242" s="36" t="s">
        <v>769</v>
      </c>
      <c r="C1242" s="37" t="s">
        <v>86</v>
      </c>
      <c r="D1242" s="38"/>
      <c r="E1242" s="38" t="s">
        <v>68</v>
      </c>
      <c r="F1242" s="37">
        <v>3</v>
      </c>
      <c r="G1242" s="37">
        <v>3</v>
      </c>
      <c r="H1242" s="37">
        <v>3</v>
      </c>
      <c r="I1242" s="37" t="s">
        <v>8</v>
      </c>
      <c r="J1242" s="37" t="s">
        <v>7</v>
      </c>
      <c r="K1242" s="62">
        <f t="shared" si="19"/>
        <v>0.5</v>
      </c>
    </row>
    <row r="1243" spans="1:11" hidden="1" x14ac:dyDescent="0.35">
      <c r="A1243" s="33">
        <v>30053405</v>
      </c>
      <c r="B1243" s="36" t="s">
        <v>770</v>
      </c>
      <c r="C1243" s="37" t="s">
        <v>86</v>
      </c>
      <c r="D1243" s="38"/>
      <c r="E1243" s="38" t="s">
        <v>68</v>
      </c>
      <c r="F1243" s="37">
        <v>1</v>
      </c>
      <c r="G1243" s="37">
        <v>2</v>
      </c>
      <c r="H1243" s="37">
        <v>2</v>
      </c>
      <c r="I1243" s="37" t="s">
        <v>8</v>
      </c>
      <c r="J1243" s="37" t="s">
        <v>7</v>
      </c>
      <c r="K1243" s="62">
        <f t="shared" si="19"/>
        <v>0.66666666666666663</v>
      </c>
    </row>
    <row r="1244" spans="1:11" hidden="1" x14ac:dyDescent="0.35">
      <c r="A1244" s="33">
        <v>30053646</v>
      </c>
      <c r="B1244" s="36" t="s">
        <v>771</v>
      </c>
      <c r="C1244" s="37" t="s">
        <v>86</v>
      </c>
      <c r="D1244" s="38"/>
      <c r="E1244" s="38" t="s">
        <v>68</v>
      </c>
      <c r="F1244" s="37">
        <v>6</v>
      </c>
      <c r="G1244" s="37">
        <v>8</v>
      </c>
      <c r="H1244" s="37">
        <v>7</v>
      </c>
      <c r="I1244" s="37" t="s">
        <v>8</v>
      </c>
      <c r="J1244" s="37" t="s">
        <v>7</v>
      </c>
      <c r="K1244" s="62">
        <f t="shared" si="19"/>
        <v>0.5</v>
      </c>
    </row>
    <row r="1245" spans="1:11" hidden="1" x14ac:dyDescent="0.35">
      <c r="A1245" s="33">
        <v>30053650</v>
      </c>
      <c r="B1245" s="36" t="s">
        <v>772</v>
      </c>
      <c r="C1245" s="37" t="s">
        <v>86</v>
      </c>
      <c r="D1245" s="38"/>
      <c r="E1245" s="38" t="s">
        <v>68</v>
      </c>
      <c r="F1245" s="37">
        <v>5</v>
      </c>
      <c r="G1245" s="37">
        <v>8</v>
      </c>
      <c r="H1245" s="37">
        <v>7</v>
      </c>
      <c r="I1245" s="37" t="s">
        <v>8</v>
      </c>
      <c r="J1245" s="37" t="s">
        <v>7</v>
      </c>
      <c r="K1245" s="62">
        <f t="shared" si="19"/>
        <v>0.53846153846153844</v>
      </c>
    </row>
    <row r="1246" spans="1:11" hidden="1" x14ac:dyDescent="0.35">
      <c r="A1246" s="33">
        <v>30053694</v>
      </c>
      <c r="B1246" s="36" t="s">
        <v>773</v>
      </c>
      <c r="C1246" s="37" t="s">
        <v>86</v>
      </c>
      <c r="D1246" s="38"/>
      <c r="E1246" s="38" t="s">
        <v>68</v>
      </c>
      <c r="F1246" s="37">
        <v>8</v>
      </c>
      <c r="G1246" s="37">
        <v>8</v>
      </c>
      <c r="H1246" s="37">
        <v>14</v>
      </c>
      <c r="I1246" s="37" t="s">
        <v>8</v>
      </c>
      <c r="J1246" s="37" t="s">
        <v>7</v>
      </c>
      <c r="K1246" s="62">
        <f t="shared" si="19"/>
        <v>0.875</v>
      </c>
    </row>
    <row r="1247" spans="1:11" hidden="1" x14ac:dyDescent="0.35">
      <c r="A1247" s="33">
        <v>30060410</v>
      </c>
      <c r="B1247" s="36" t="s">
        <v>1419</v>
      </c>
      <c r="C1247" s="37" t="s">
        <v>86</v>
      </c>
      <c r="D1247" s="38"/>
      <c r="E1247" s="38" t="s">
        <v>68</v>
      </c>
      <c r="F1247" s="37">
        <v>2</v>
      </c>
      <c r="G1247" s="37">
        <v>4</v>
      </c>
      <c r="H1247" s="37">
        <v>8</v>
      </c>
      <c r="I1247" s="37" t="s">
        <v>8</v>
      </c>
      <c r="J1247" s="37" t="s">
        <v>14</v>
      </c>
      <c r="K1247" s="62">
        <f t="shared" si="19"/>
        <v>1.3333333333333333</v>
      </c>
    </row>
    <row r="1248" spans="1:11" hidden="1" x14ac:dyDescent="0.35">
      <c r="A1248" s="33">
        <v>30060836</v>
      </c>
      <c r="B1248" s="36" t="s">
        <v>774</v>
      </c>
      <c r="C1248" s="37" t="s">
        <v>86</v>
      </c>
      <c r="D1248" s="38"/>
      <c r="E1248" s="38" t="s">
        <v>68</v>
      </c>
      <c r="F1248" s="37">
        <v>32</v>
      </c>
      <c r="G1248" s="37">
        <v>32</v>
      </c>
      <c r="H1248" s="37">
        <v>0</v>
      </c>
      <c r="I1248" s="37" t="s">
        <v>8</v>
      </c>
      <c r="J1248" s="37" t="s">
        <v>13</v>
      </c>
      <c r="K1248" s="62">
        <f t="shared" si="19"/>
        <v>0</v>
      </c>
    </row>
    <row r="1249" spans="1:11" hidden="1" x14ac:dyDescent="0.35">
      <c r="A1249" s="33">
        <v>30063224</v>
      </c>
      <c r="B1249" s="36" t="s">
        <v>775</v>
      </c>
      <c r="C1249" s="37" t="s">
        <v>86</v>
      </c>
      <c r="D1249" s="38"/>
      <c r="E1249" s="38" t="s">
        <v>68</v>
      </c>
      <c r="F1249" s="37">
        <v>10</v>
      </c>
      <c r="G1249" s="37">
        <v>10</v>
      </c>
      <c r="H1249" s="37">
        <v>22</v>
      </c>
      <c r="I1249" s="37" t="s">
        <v>8</v>
      </c>
      <c r="J1249" s="37" t="s">
        <v>14</v>
      </c>
      <c r="K1249" s="62">
        <f t="shared" si="19"/>
        <v>1.1000000000000001</v>
      </c>
    </row>
    <row r="1250" spans="1:11" hidden="1" x14ac:dyDescent="0.35">
      <c r="A1250" s="33">
        <v>30063274</v>
      </c>
      <c r="B1250" s="36" t="s">
        <v>924</v>
      </c>
      <c r="C1250" s="37" t="s">
        <v>86</v>
      </c>
      <c r="D1250" s="38" t="s">
        <v>1225</v>
      </c>
      <c r="E1250" s="38" t="s">
        <v>102</v>
      </c>
      <c r="F1250" s="37">
        <v>3</v>
      </c>
      <c r="G1250" s="37">
        <v>2</v>
      </c>
      <c r="H1250" s="37">
        <v>1</v>
      </c>
      <c r="I1250" s="37" t="s">
        <v>8</v>
      </c>
      <c r="J1250" s="37" t="s">
        <v>9</v>
      </c>
      <c r="K1250" s="62">
        <f t="shared" si="19"/>
        <v>0.2</v>
      </c>
    </row>
    <row r="1251" spans="1:11" hidden="1" x14ac:dyDescent="0.35">
      <c r="A1251" s="33">
        <v>30063455</v>
      </c>
      <c r="B1251" s="36" t="s">
        <v>1252</v>
      </c>
      <c r="C1251" s="37" t="s">
        <v>86</v>
      </c>
      <c r="D1251" s="38"/>
      <c r="E1251" s="38" t="s">
        <v>68</v>
      </c>
      <c r="F1251" s="37">
        <v>500</v>
      </c>
      <c r="G1251" s="37">
        <v>200</v>
      </c>
      <c r="H1251" s="37">
        <v>660</v>
      </c>
      <c r="I1251" s="37" t="s">
        <v>8</v>
      </c>
      <c r="J1251" s="37" t="s">
        <v>7</v>
      </c>
      <c r="K1251" s="62">
        <f t="shared" si="19"/>
        <v>0.94285714285714284</v>
      </c>
    </row>
    <row r="1252" spans="1:11" hidden="1" x14ac:dyDescent="0.35">
      <c r="A1252" s="33">
        <v>30063479</v>
      </c>
      <c r="B1252" s="36" t="s">
        <v>776</v>
      </c>
      <c r="C1252" s="37" t="s">
        <v>86</v>
      </c>
      <c r="D1252" s="38"/>
      <c r="E1252" s="38" t="s">
        <v>68</v>
      </c>
      <c r="F1252" s="37">
        <v>50</v>
      </c>
      <c r="G1252" s="37">
        <v>30</v>
      </c>
      <c r="H1252" s="37">
        <v>77</v>
      </c>
      <c r="I1252" s="37" t="s">
        <v>8</v>
      </c>
      <c r="J1252" s="37" t="s">
        <v>7</v>
      </c>
      <c r="K1252" s="62">
        <f t="shared" si="19"/>
        <v>0.96250000000000002</v>
      </c>
    </row>
    <row r="1253" spans="1:11" hidden="1" x14ac:dyDescent="0.35">
      <c r="A1253" s="33">
        <v>30063480</v>
      </c>
      <c r="B1253" s="36" t="s">
        <v>777</v>
      </c>
      <c r="C1253" s="37" t="s">
        <v>86</v>
      </c>
      <c r="D1253" s="38"/>
      <c r="E1253" s="38" t="s">
        <v>68</v>
      </c>
      <c r="F1253" s="37">
        <v>50</v>
      </c>
      <c r="G1253" s="37">
        <v>30</v>
      </c>
      <c r="H1253" s="37">
        <v>52</v>
      </c>
      <c r="I1253" s="37" t="s">
        <v>8</v>
      </c>
      <c r="J1253" s="37" t="s">
        <v>7</v>
      </c>
      <c r="K1253" s="62">
        <f t="shared" si="19"/>
        <v>0.65</v>
      </c>
    </row>
    <row r="1254" spans="1:11" hidden="1" x14ac:dyDescent="0.35">
      <c r="A1254" s="33">
        <v>30063865</v>
      </c>
      <c r="B1254" s="36" t="s">
        <v>778</v>
      </c>
      <c r="C1254" s="37" t="s">
        <v>86</v>
      </c>
      <c r="D1254" s="38"/>
      <c r="E1254" s="38" t="s">
        <v>68</v>
      </c>
      <c r="F1254" s="37">
        <v>8</v>
      </c>
      <c r="G1254" s="37">
        <v>4</v>
      </c>
      <c r="H1254" s="37">
        <v>11</v>
      </c>
      <c r="I1254" s="37" t="s">
        <v>8</v>
      </c>
      <c r="J1254" s="37" t="s">
        <v>7</v>
      </c>
      <c r="K1254" s="62">
        <f t="shared" si="19"/>
        <v>0.91666666666666663</v>
      </c>
    </row>
    <row r="1255" spans="1:11" hidden="1" x14ac:dyDescent="0.35">
      <c r="A1255" s="33">
        <v>30063866</v>
      </c>
      <c r="B1255" s="36" t="s">
        <v>779</v>
      </c>
      <c r="C1255" s="37" t="s">
        <v>86</v>
      </c>
      <c r="D1255" s="38"/>
      <c r="E1255" s="38" t="s">
        <v>68</v>
      </c>
      <c r="F1255" s="37">
        <v>480</v>
      </c>
      <c r="G1255" s="37">
        <v>240</v>
      </c>
      <c r="H1255" s="37">
        <v>660</v>
      </c>
      <c r="I1255" s="37" t="s">
        <v>23</v>
      </c>
      <c r="J1255" s="37" t="s">
        <v>7</v>
      </c>
      <c r="K1255" s="62">
        <f t="shared" si="19"/>
        <v>0.91666666666666663</v>
      </c>
    </row>
    <row r="1256" spans="1:11" hidden="1" x14ac:dyDescent="0.35">
      <c r="A1256" s="33">
        <v>30063870</v>
      </c>
      <c r="B1256" s="36" t="s">
        <v>1319</v>
      </c>
      <c r="C1256" s="37" t="s">
        <v>86</v>
      </c>
      <c r="D1256" s="38"/>
      <c r="E1256" s="38" t="s">
        <v>68</v>
      </c>
      <c r="F1256" s="37">
        <v>4</v>
      </c>
      <c r="G1256" s="37">
        <v>8</v>
      </c>
      <c r="H1256" s="37">
        <v>5</v>
      </c>
      <c r="I1256" s="37" t="s">
        <v>8</v>
      </c>
      <c r="J1256" s="37" t="s">
        <v>7</v>
      </c>
      <c r="K1256" s="62">
        <f t="shared" si="19"/>
        <v>0.41666666666666669</v>
      </c>
    </row>
    <row r="1257" spans="1:11" hidden="1" x14ac:dyDescent="0.35">
      <c r="A1257" s="33">
        <v>30063922</v>
      </c>
      <c r="B1257" s="36" t="s">
        <v>780</v>
      </c>
      <c r="C1257" s="37" t="s">
        <v>86</v>
      </c>
      <c r="D1257" s="38"/>
      <c r="E1257" s="38" t="s">
        <v>68</v>
      </c>
      <c r="F1257" s="37">
        <v>8</v>
      </c>
      <c r="G1257" s="37">
        <v>5</v>
      </c>
      <c r="H1257" s="37">
        <v>11</v>
      </c>
      <c r="I1257" s="37" t="s">
        <v>8</v>
      </c>
      <c r="J1257" s="37" t="s">
        <v>14</v>
      </c>
      <c r="K1257" s="62">
        <f t="shared" si="19"/>
        <v>0.84615384615384615</v>
      </c>
    </row>
    <row r="1258" spans="1:11" hidden="1" x14ac:dyDescent="0.35">
      <c r="A1258" s="33">
        <v>30064038</v>
      </c>
      <c r="B1258" s="36" t="s">
        <v>925</v>
      </c>
      <c r="C1258" s="37" t="s">
        <v>86</v>
      </c>
      <c r="D1258" s="38"/>
      <c r="E1258" s="38" t="s">
        <v>102</v>
      </c>
      <c r="F1258" s="37">
        <v>1</v>
      </c>
      <c r="G1258" s="37">
        <v>2</v>
      </c>
      <c r="H1258" s="37">
        <v>2</v>
      </c>
      <c r="I1258" s="37" t="s">
        <v>8</v>
      </c>
      <c r="J1258" s="37" t="s">
        <v>7</v>
      </c>
      <c r="K1258" s="62">
        <f t="shared" si="19"/>
        <v>0.66666666666666663</v>
      </c>
    </row>
    <row r="1259" spans="1:11" hidden="1" x14ac:dyDescent="0.35">
      <c r="A1259" s="33">
        <v>30064039</v>
      </c>
      <c r="B1259" s="36" t="s">
        <v>865</v>
      </c>
      <c r="C1259" s="37" t="s">
        <v>86</v>
      </c>
      <c r="D1259" s="38"/>
      <c r="E1259" s="38" t="s">
        <v>102</v>
      </c>
      <c r="F1259" s="37">
        <v>1</v>
      </c>
      <c r="G1259" s="37">
        <v>2</v>
      </c>
      <c r="H1259" s="37">
        <v>1</v>
      </c>
      <c r="I1259" s="37" t="s">
        <v>781</v>
      </c>
      <c r="J1259" s="37" t="s">
        <v>7</v>
      </c>
      <c r="K1259" s="62">
        <f t="shared" si="19"/>
        <v>0.33333333333333331</v>
      </c>
    </row>
    <row r="1260" spans="1:11" hidden="1" x14ac:dyDescent="0.35">
      <c r="A1260" s="33">
        <v>30064145</v>
      </c>
      <c r="B1260" s="36" t="s">
        <v>1337</v>
      </c>
      <c r="C1260" s="37" t="s">
        <v>86</v>
      </c>
      <c r="D1260" s="38"/>
      <c r="E1260" s="38" t="s">
        <v>68</v>
      </c>
      <c r="F1260" s="37">
        <v>1</v>
      </c>
      <c r="G1260" s="37">
        <v>2</v>
      </c>
      <c r="H1260" s="37">
        <v>1</v>
      </c>
      <c r="I1260" s="37" t="s">
        <v>8</v>
      </c>
      <c r="J1260" s="37" t="s">
        <v>7</v>
      </c>
      <c r="K1260" s="62">
        <f t="shared" si="19"/>
        <v>0.33333333333333331</v>
      </c>
    </row>
    <row r="1261" spans="1:11" hidden="1" x14ac:dyDescent="0.35">
      <c r="A1261" s="33">
        <v>30064192</v>
      </c>
      <c r="B1261" s="36" t="s">
        <v>866</v>
      </c>
      <c r="C1261" s="37" t="s">
        <v>86</v>
      </c>
      <c r="D1261" s="38"/>
      <c r="E1261" s="38" t="s">
        <v>102</v>
      </c>
      <c r="F1261" s="37">
        <v>8</v>
      </c>
      <c r="G1261" s="37">
        <v>16</v>
      </c>
      <c r="H1261" s="37">
        <v>20</v>
      </c>
      <c r="I1261" s="37" t="s">
        <v>8</v>
      </c>
      <c r="J1261" s="37" t="s">
        <v>7</v>
      </c>
      <c r="K1261" s="62">
        <f t="shared" si="19"/>
        <v>0.83333333333333337</v>
      </c>
    </row>
    <row r="1262" spans="1:11" hidden="1" x14ac:dyDescent="0.35">
      <c r="A1262" s="33">
        <v>30064435</v>
      </c>
      <c r="B1262" s="36" t="s">
        <v>1059</v>
      </c>
      <c r="C1262" s="37" t="s">
        <v>86</v>
      </c>
      <c r="D1262" s="38"/>
      <c r="E1262" s="38" t="s">
        <v>68</v>
      </c>
      <c r="F1262" s="37">
        <v>3</v>
      </c>
      <c r="G1262" s="37">
        <v>2</v>
      </c>
      <c r="H1262" s="37">
        <v>4</v>
      </c>
      <c r="I1262" s="37" t="s">
        <v>8</v>
      </c>
      <c r="J1262" s="37" t="s">
        <v>7</v>
      </c>
      <c r="K1262" s="62">
        <f t="shared" si="19"/>
        <v>0.8</v>
      </c>
    </row>
    <row r="1263" spans="1:11" hidden="1" x14ac:dyDescent="0.35">
      <c r="A1263" s="33">
        <v>30064436</v>
      </c>
      <c r="B1263" s="36" t="s">
        <v>867</v>
      </c>
      <c r="C1263" s="37" t="s">
        <v>86</v>
      </c>
      <c r="D1263" s="38"/>
      <c r="E1263" s="38" t="s">
        <v>68</v>
      </c>
      <c r="F1263" s="37">
        <v>2</v>
      </c>
      <c r="G1263" s="37">
        <v>2</v>
      </c>
      <c r="H1263" s="37">
        <v>2</v>
      </c>
      <c r="I1263" s="37" t="s">
        <v>8</v>
      </c>
      <c r="J1263" s="37" t="s">
        <v>7</v>
      </c>
      <c r="K1263" s="62">
        <f t="shared" si="19"/>
        <v>0.5</v>
      </c>
    </row>
    <row r="1264" spans="1:11" hidden="1" x14ac:dyDescent="0.35">
      <c r="A1264" s="33">
        <v>30064437</v>
      </c>
      <c r="B1264" s="36" t="s">
        <v>868</v>
      </c>
      <c r="C1264" s="37" t="s">
        <v>86</v>
      </c>
      <c r="D1264" s="38"/>
      <c r="E1264" s="38" t="s">
        <v>68</v>
      </c>
      <c r="F1264" s="37">
        <v>10</v>
      </c>
      <c r="G1264" s="37">
        <v>10</v>
      </c>
      <c r="H1264" s="37">
        <v>14</v>
      </c>
      <c r="I1264" s="37" t="s">
        <v>8</v>
      </c>
      <c r="J1264" s="37" t="s">
        <v>7</v>
      </c>
      <c r="K1264" s="62">
        <f t="shared" si="19"/>
        <v>0.7</v>
      </c>
    </row>
    <row r="1265" spans="1:11" hidden="1" x14ac:dyDescent="0.35">
      <c r="A1265" s="33">
        <v>30064456</v>
      </c>
      <c r="B1265" s="36" t="s">
        <v>1256</v>
      </c>
      <c r="C1265" s="37" t="s">
        <v>86</v>
      </c>
      <c r="D1265" s="38"/>
      <c r="E1265" s="38" t="s">
        <v>68</v>
      </c>
      <c r="F1265" s="37">
        <v>5</v>
      </c>
      <c r="G1265" s="37">
        <v>8</v>
      </c>
      <c r="H1265" s="37">
        <v>17</v>
      </c>
      <c r="I1265" s="37" t="s">
        <v>8</v>
      </c>
      <c r="J1265" s="37" t="s">
        <v>14</v>
      </c>
      <c r="K1265" s="62">
        <f t="shared" si="19"/>
        <v>1.3076923076923077</v>
      </c>
    </row>
    <row r="1266" spans="1:11" hidden="1" x14ac:dyDescent="0.35">
      <c r="A1266" s="33">
        <v>30064643</v>
      </c>
      <c r="B1266" s="36" t="s">
        <v>782</v>
      </c>
      <c r="C1266" s="37" t="s">
        <v>86</v>
      </c>
      <c r="D1266" s="38"/>
      <c r="E1266" s="38" t="s">
        <v>68</v>
      </c>
      <c r="F1266" s="37">
        <v>3</v>
      </c>
      <c r="G1266" s="37">
        <v>2</v>
      </c>
      <c r="H1266" s="37">
        <v>3</v>
      </c>
      <c r="I1266" s="37" t="s">
        <v>8</v>
      </c>
      <c r="J1266" s="37" t="s">
        <v>7</v>
      </c>
      <c r="K1266" s="62">
        <f t="shared" si="19"/>
        <v>0.6</v>
      </c>
    </row>
    <row r="1267" spans="1:11" hidden="1" x14ac:dyDescent="0.35">
      <c r="A1267" s="33">
        <v>30064717</v>
      </c>
      <c r="B1267" s="36" t="s">
        <v>1440</v>
      </c>
      <c r="C1267" s="37" t="s">
        <v>86</v>
      </c>
      <c r="D1267" s="38"/>
      <c r="E1267" s="38" t="s">
        <v>68</v>
      </c>
      <c r="F1267" s="37">
        <v>4</v>
      </c>
      <c r="G1267" s="37">
        <v>4</v>
      </c>
      <c r="H1267" s="37">
        <v>4</v>
      </c>
      <c r="I1267" s="37" t="s">
        <v>8</v>
      </c>
      <c r="J1267" s="37" t="s">
        <v>7</v>
      </c>
      <c r="K1267" s="62">
        <f t="shared" si="19"/>
        <v>0.5</v>
      </c>
    </row>
    <row r="1268" spans="1:11" hidden="1" x14ac:dyDescent="0.35">
      <c r="A1268" s="33">
        <v>30064722</v>
      </c>
      <c r="B1268" s="36" t="s">
        <v>1320</v>
      </c>
      <c r="C1268" s="37" t="s">
        <v>86</v>
      </c>
      <c r="D1268" s="38"/>
      <c r="E1268" s="38" t="s">
        <v>68</v>
      </c>
      <c r="F1268" s="37">
        <v>10</v>
      </c>
      <c r="G1268" s="37">
        <v>20</v>
      </c>
      <c r="H1268" s="37">
        <v>16</v>
      </c>
      <c r="I1268" s="37" t="s">
        <v>8</v>
      </c>
      <c r="J1268" s="37" t="s">
        <v>7</v>
      </c>
      <c r="K1268" s="62">
        <f t="shared" si="19"/>
        <v>0.53333333333333333</v>
      </c>
    </row>
    <row r="1269" spans="1:11" hidden="1" x14ac:dyDescent="0.35">
      <c r="A1269" s="33">
        <v>30064723</v>
      </c>
      <c r="B1269" s="36" t="s">
        <v>1216</v>
      </c>
      <c r="C1269" s="37" t="s">
        <v>86</v>
      </c>
      <c r="D1269" s="38"/>
      <c r="E1269" s="38" t="s">
        <v>89</v>
      </c>
      <c r="F1269" s="37">
        <v>11</v>
      </c>
      <c r="G1269" s="37">
        <v>18</v>
      </c>
      <c r="H1269" s="37">
        <v>33</v>
      </c>
      <c r="I1269" s="37" t="s">
        <v>8</v>
      </c>
      <c r="J1269" s="37" t="s">
        <v>14</v>
      </c>
      <c r="K1269" s="62">
        <f t="shared" si="19"/>
        <v>1.1379310344827587</v>
      </c>
    </row>
    <row r="1270" spans="1:11" hidden="1" x14ac:dyDescent="0.35">
      <c r="A1270" s="33">
        <v>30064984</v>
      </c>
      <c r="B1270" s="36" t="s">
        <v>783</v>
      </c>
      <c r="C1270" s="37" t="s">
        <v>86</v>
      </c>
      <c r="D1270" s="38"/>
      <c r="E1270" s="38" t="s">
        <v>68</v>
      </c>
      <c r="F1270" s="37">
        <v>2</v>
      </c>
      <c r="G1270" s="37">
        <v>1</v>
      </c>
      <c r="H1270" s="37">
        <v>2</v>
      </c>
      <c r="I1270" s="37" t="s">
        <v>781</v>
      </c>
      <c r="J1270" s="37" t="s">
        <v>7</v>
      </c>
      <c r="K1270" s="62">
        <f t="shared" si="19"/>
        <v>0.66666666666666663</v>
      </c>
    </row>
    <row r="1271" spans="1:11" hidden="1" x14ac:dyDescent="0.35">
      <c r="A1271" s="33">
        <v>30065038</v>
      </c>
      <c r="B1271" s="36" t="s">
        <v>1371</v>
      </c>
      <c r="C1271" s="37" t="s">
        <v>86</v>
      </c>
      <c r="D1271" s="38"/>
      <c r="E1271" s="38" t="s">
        <v>68</v>
      </c>
      <c r="F1271" s="37">
        <v>4</v>
      </c>
      <c r="G1271" s="37">
        <v>2</v>
      </c>
      <c r="H1271" s="37">
        <v>5</v>
      </c>
      <c r="I1271" s="37" t="s">
        <v>8</v>
      </c>
      <c r="J1271" s="37" t="s">
        <v>7</v>
      </c>
      <c r="K1271" s="62">
        <f t="shared" si="19"/>
        <v>0.83333333333333337</v>
      </c>
    </row>
    <row r="1272" spans="1:11" hidden="1" x14ac:dyDescent="0.35">
      <c r="A1272" s="33">
        <v>30065415</v>
      </c>
      <c r="B1272" s="36" t="s">
        <v>784</v>
      </c>
      <c r="C1272" s="37" t="s">
        <v>86</v>
      </c>
      <c r="D1272" s="38"/>
      <c r="E1272" s="38" t="s">
        <v>68</v>
      </c>
      <c r="F1272" s="37">
        <v>2</v>
      </c>
      <c r="G1272" s="37">
        <v>2</v>
      </c>
      <c r="H1272" s="37">
        <v>2</v>
      </c>
      <c r="I1272" s="37" t="s">
        <v>8</v>
      </c>
      <c r="J1272" s="37" t="s">
        <v>7</v>
      </c>
      <c r="K1272" s="62">
        <f t="shared" si="19"/>
        <v>0.5</v>
      </c>
    </row>
    <row r="1273" spans="1:11" hidden="1" x14ac:dyDescent="0.35">
      <c r="A1273" s="33">
        <v>30065416</v>
      </c>
      <c r="B1273" s="36" t="s">
        <v>785</v>
      </c>
      <c r="C1273" s="37" t="s">
        <v>86</v>
      </c>
      <c r="D1273" s="38"/>
      <c r="E1273" s="38" t="s">
        <v>68</v>
      </c>
      <c r="F1273" s="37">
        <v>2</v>
      </c>
      <c r="G1273" s="37">
        <v>2</v>
      </c>
      <c r="H1273" s="37">
        <v>3</v>
      </c>
      <c r="I1273" s="37" t="s">
        <v>8</v>
      </c>
      <c r="J1273" s="37" t="s">
        <v>7</v>
      </c>
      <c r="K1273" s="62">
        <f t="shared" si="19"/>
        <v>0.75</v>
      </c>
    </row>
    <row r="1274" spans="1:11" hidden="1" x14ac:dyDescent="0.35">
      <c r="A1274" s="33">
        <v>30066447</v>
      </c>
      <c r="B1274" s="36" t="s">
        <v>786</v>
      </c>
      <c r="C1274" s="37" t="s">
        <v>86</v>
      </c>
      <c r="D1274" s="38"/>
      <c r="E1274" s="38" t="s">
        <v>68</v>
      </c>
      <c r="F1274" s="37">
        <v>2</v>
      </c>
      <c r="G1274" s="37">
        <v>2</v>
      </c>
      <c r="H1274" s="37">
        <v>2</v>
      </c>
      <c r="I1274" s="37" t="s">
        <v>8</v>
      </c>
      <c r="J1274" s="37" t="s">
        <v>7</v>
      </c>
      <c r="K1274" s="62">
        <f t="shared" si="19"/>
        <v>0.5</v>
      </c>
    </row>
    <row r="1275" spans="1:11" hidden="1" x14ac:dyDescent="0.35">
      <c r="A1275" s="33">
        <v>30066732</v>
      </c>
      <c r="B1275" s="36" t="s">
        <v>1420</v>
      </c>
      <c r="C1275" s="37" t="s">
        <v>86</v>
      </c>
      <c r="D1275" s="38"/>
      <c r="E1275" s="38" t="s">
        <v>68</v>
      </c>
      <c r="F1275" s="37">
        <v>2</v>
      </c>
      <c r="G1275" s="37">
        <v>4</v>
      </c>
      <c r="H1275" s="37">
        <v>12</v>
      </c>
      <c r="I1275" s="37" t="s">
        <v>8</v>
      </c>
      <c r="J1275" s="37" t="s">
        <v>14</v>
      </c>
      <c r="K1275" s="62">
        <f t="shared" si="19"/>
        <v>2</v>
      </c>
    </row>
    <row r="1276" spans="1:11" hidden="1" x14ac:dyDescent="0.35">
      <c r="A1276" s="33">
        <v>30066759</v>
      </c>
      <c r="B1276" s="36" t="s">
        <v>1321</v>
      </c>
      <c r="C1276" s="37" t="s">
        <v>86</v>
      </c>
      <c r="D1276" s="38"/>
      <c r="E1276" s="38" t="s">
        <v>68</v>
      </c>
      <c r="F1276" s="37">
        <v>1</v>
      </c>
      <c r="G1276" s="37">
        <v>2</v>
      </c>
      <c r="H1276" s="37">
        <v>2</v>
      </c>
      <c r="I1276" s="37" t="s">
        <v>8</v>
      </c>
      <c r="J1276" s="37" t="s">
        <v>7</v>
      </c>
      <c r="K1276" s="62">
        <f t="shared" si="19"/>
        <v>0.66666666666666663</v>
      </c>
    </row>
    <row r="1277" spans="1:11" hidden="1" x14ac:dyDescent="0.35">
      <c r="A1277" s="33">
        <v>30067046</v>
      </c>
      <c r="B1277" s="36" t="s">
        <v>787</v>
      </c>
      <c r="C1277" s="37" t="s">
        <v>86</v>
      </c>
      <c r="D1277" s="38"/>
      <c r="E1277" s="38" t="s">
        <v>68</v>
      </c>
      <c r="F1277" s="37">
        <v>5</v>
      </c>
      <c r="G1277" s="37">
        <v>5</v>
      </c>
      <c r="H1277" s="37">
        <v>21</v>
      </c>
      <c r="I1277" s="37" t="s">
        <v>8</v>
      </c>
      <c r="J1277" s="37" t="s">
        <v>14</v>
      </c>
      <c r="K1277" s="62">
        <f t="shared" si="19"/>
        <v>2.1</v>
      </c>
    </row>
    <row r="1278" spans="1:11" hidden="1" x14ac:dyDescent="0.35">
      <c r="A1278" s="33">
        <v>30067094</v>
      </c>
      <c r="B1278" s="36" t="s">
        <v>788</v>
      </c>
      <c r="C1278" s="37" t="s">
        <v>86</v>
      </c>
      <c r="D1278" s="38"/>
      <c r="E1278" s="38" t="s">
        <v>68</v>
      </c>
      <c r="F1278" s="37">
        <v>3</v>
      </c>
      <c r="G1278" s="37">
        <v>2</v>
      </c>
      <c r="H1278" s="37">
        <v>4</v>
      </c>
      <c r="I1278" s="37" t="s">
        <v>8</v>
      </c>
      <c r="J1278" s="37" t="s">
        <v>7</v>
      </c>
      <c r="K1278" s="62">
        <f t="shared" si="19"/>
        <v>0.8</v>
      </c>
    </row>
    <row r="1279" spans="1:11" hidden="1" x14ac:dyDescent="0.35">
      <c r="A1279" s="33">
        <v>30067253</v>
      </c>
      <c r="B1279" s="36" t="s">
        <v>869</v>
      </c>
      <c r="C1279" s="37" t="s">
        <v>86</v>
      </c>
      <c r="D1279" s="38"/>
      <c r="E1279" s="38" t="s">
        <v>68</v>
      </c>
      <c r="F1279" s="37">
        <v>3</v>
      </c>
      <c r="G1279" s="37">
        <v>3</v>
      </c>
      <c r="H1279" s="37">
        <v>1</v>
      </c>
      <c r="I1279" s="37" t="s">
        <v>8</v>
      </c>
      <c r="J1279" s="37" t="s">
        <v>9</v>
      </c>
      <c r="K1279" s="62">
        <f t="shared" si="19"/>
        <v>0.16666666666666666</v>
      </c>
    </row>
    <row r="1280" spans="1:11" hidden="1" x14ac:dyDescent="0.35">
      <c r="A1280" s="33">
        <v>30067420</v>
      </c>
      <c r="B1280" s="36" t="s">
        <v>1512</v>
      </c>
      <c r="C1280" s="37" t="s">
        <v>86</v>
      </c>
      <c r="D1280" s="38" t="s">
        <v>1225</v>
      </c>
      <c r="E1280" s="38" t="s">
        <v>102</v>
      </c>
      <c r="F1280" s="37">
        <v>1</v>
      </c>
      <c r="G1280" s="37">
        <v>1</v>
      </c>
      <c r="H1280" s="37">
        <v>1</v>
      </c>
      <c r="I1280" s="37" t="s">
        <v>8</v>
      </c>
      <c r="J1280" s="37" t="s">
        <v>7</v>
      </c>
      <c r="K1280" s="62">
        <f t="shared" si="19"/>
        <v>0.5</v>
      </c>
    </row>
    <row r="1281" spans="1:11" hidden="1" x14ac:dyDescent="0.35">
      <c r="A1281" s="33">
        <v>30067433</v>
      </c>
      <c r="B1281" s="36" t="s">
        <v>1513</v>
      </c>
      <c r="C1281" s="37" t="s">
        <v>86</v>
      </c>
      <c r="D1281" s="38" t="s">
        <v>1225</v>
      </c>
      <c r="E1281" s="38" t="s">
        <v>102</v>
      </c>
      <c r="F1281" s="37">
        <v>1</v>
      </c>
      <c r="G1281" s="37">
        <v>1</v>
      </c>
      <c r="H1281" s="37">
        <v>3</v>
      </c>
      <c r="I1281" s="37" t="s">
        <v>8</v>
      </c>
      <c r="J1281" s="37" t="s">
        <v>14</v>
      </c>
      <c r="K1281" s="62">
        <f t="shared" si="19"/>
        <v>1.5</v>
      </c>
    </row>
    <row r="1282" spans="1:11" hidden="1" x14ac:dyDescent="0.35">
      <c r="A1282" s="33">
        <v>30067445</v>
      </c>
      <c r="B1282" s="36" t="s">
        <v>1514</v>
      </c>
      <c r="C1282" s="37" t="s">
        <v>86</v>
      </c>
      <c r="D1282" s="38" t="s">
        <v>1225</v>
      </c>
      <c r="E1282" s="38" t="s">
        <v>102</v>
      </c>
      <c r="F1282" s="37">
        <v>1</v>
      </c>
      <c r="G1282" s="37">
        <v>1</v>
      </c>
      <c r="H1282" s="37">
        <v>1</v>
      </c>
      <c r="I1282" s="37" t="s">
        <v>8</v>
      </c>
      <c r="J1282" s="37" t="s">
        <v>7</v>
      </c>
      <c r="K1282" s="62">
        <f t="shared" si="19"/>
        <v>0.5</v>
      </c>
    </row>
    <row r="1283" spans="1:11" hidden="1" x14ac:dyDescent="0.35">
      <c r="A1283" s="33">
        <v>30067446</v>
      </c>
      <c r="B1283" s="36" t="s">
        <v>1515</v>
      </c>
      <c r="C1283" s="37" t="s">
        <v>86</v>
      </c>
      <c r="D1283" s="38" t="s">
        <v>1225</v>
      </c>
      <c r="E1283" s="38" t="s">
        <v>102</v>
      </c>
      <c r="F1283" s="37">
        <v>1</v>
      </c>
      <c r="G1283" s="37">
        <v>1</v>
      </c>
      <c r="H1283" s="37">
        <v>2</v>
      </c>
      <c r="I1283" s="37" t="s">
        <v>8</v>
      </c>
      <c r="J1283" s="37" t="s">
        <v>7</v>
      </c>
      <c r="K1283" s="62">
        <f t="shared" si="19"/>
        <v>1</v>
      </c>
    </row>
    <row r="1284" spans="1:11" hidden="1" x14ac:dyDescent="0.35">
      <c r="A1284" s="33">
        <v>30067449</v>
      </c>
      <c r="B1284" s="36" t="s">
        <v>1516</v>
      </c>
      <c r="C1284" s="37" t="s">
        <v>86</v>
      </c>
      <c r="D1284" s="38" t="s">
        <v>1225</v>
      </c>
      <c r="E1284" s="38" t="s">
        <v>102</v>
      </c>
      <c r="F1284" s="37">
        <v>1</v>
      </c>
      <c r="G1284" s="37">
        <v>1</v>
      </c>
      <c r="H1284" s="37">
        <v>1</v>
      </c>
      <c r="I1284" s="37" t="s">
        <v>8</v>
      </c>
      <c r="J1284" s="37" t="s">
        <v>7</v>
      </c>
      <c r="K1284" s="62">
        <f t="shared" si="19"/>
        <v>0.5</v>
      </c>
    </row>
    <row r="1285" spans="1:11" hidden="1" x14ac:dyDescent="0.35">
      <c r="A1285" s="33">
        <v>30067450</v>
      </c>
      <c r="B1285" s="36" t="s">
        <v>1291</v>
      </c>
      <c r="C1285" s="37" t="s">
        <v>86</v>
      </c>
      <c r="D1285" s="38" t="s">
        <v>1225</v>
      </c>
      <c r="E1285" s="38" t="s">
        <v>102</v>
      </c>
      <c r="F1285" s="37">
        <v>2</v>
      </c>
      <c r="G1285" s="37">
        <v>1</v>
      </c>
      <c r="H1285" s="37">
        <v>1</v>
      </c>
      <c r="I1285" s="37" t="s">
        <v>8</v>
      </c>
      <c r="J1285" s="37" t="s">
        <v>9</v>
      </c>
      <c r="K1285" s="62">
        <f t="shared" si="19"/>
        <v>0.33333333333333331</v>
      </c>
    </row>
    <row r="1286" spans="1:11" hidden="1" x14ac:dyDescent="0.35">
      <c r="A1286" s="33">
        <v>30067457</v>
      </c>
      <c r="B1286" s="36" t="s">
        <v>1480</v>
      </c>
      <c r="C1286" s="37" t="s">
        <v>86</v>
      </c>
      <c r="D1286" s="38"/>
      <c r="E1286" s="38" t="s">
        <v>68</v>
      </c>
      <c r="F1286" s="37">
        <v>3</v>
      </c>
      <c r="G1286" s="37">
        <v>5</v>
      </c>
      <c r="H1286" s="37">
        <v>0</v>
      </c>
      <c r="I1286" s="37" t="s">
        <v>8</v>
      </c>
      <c r="J1286" s="37" t="s">
        <v>7</v>
      </c>
      <c r="K1286" s="62">
        <f t="shared" si="19"/>
        <v>0</v>
      </c>
    </row>
    <row r="1287" spans="1:11" hidden="1" x14ac:dyDescent="0.35">
      <c r="A1287" s="33">
        <v>30068104</v>
      </c>
      <c r="B1287" s="36" t="s">
        <v>1257</v>
      </c>
      <c r="C1287" s="37" t="s">
        <v>86</v>
      </c>
      <c r="D1287" s="38"/>
      <c r="E1287" s="38" t="s">
        <v>68</v>
      </c>
      <c r="F1287" s="37">
        <v>4</v>
      </c>
      <c r="G1287" s="37">
        <v>4</v>
      </c>
      <c r="H1287" s="37">
        <v>4</v>
      </c>
      <c r="I1287" s="37" t="s">
        <v>8</v>
      </c>
      <c r="J1287" s="37" t="s">
        <v>7</v>
      </c>
      <c r="K1287" s="62">
        <f t="shared" si="19"/>
        <v>0.5</v>
      </c>
    </row>
    <row r="1288" spans="1:11" hidden="1" x14ac:dyDescent="0.35">
      <c r="A1288" s="33">
        <v>30069247</v>
      </c>
      <c r="B1288" s="36" t="s">
        <v>1508</v>
      </c>
      <c r="C1288" s="37" t="s">
        <v>86</v>
      </c>
      <c r="D1288" s="38"/>
      <c r="E1288" s="38" t="s">
        <v>68</v>
      </c>
      <c r="F1288" s="37">
        <v>2</v>
      </c>
      <c r="G1288" s="37">
        <v>1</v>
      </c>
      <c r="H1288" s="37">
        <v>2</v>
      </c>
      <c r="I1288" s="37" t="s">
        <v>8</v>
      </c>
      <c r="J1288" s="37" t="s">
        <v>7</v>
      </c>
      <c r="K1288" s="62">
        <f t="shared" si="19"/>
        <v>0.66666666666666663</v>
      </c>
    </row>
    <row r="1289" spans="1:11" hidden="1" x14ac:dyDescent="0.35">
      <c r="A1289" s="33">
        <v>30069437</v>
      </c>
      <c r="B1289" s="36" t="s">
        <v>1354</v>
      </c>
      <c r="C1289" s="37" t="s">
        <v>86</v>
      </c>
      <c r="D1289" s="38"/>
      <c r="E1289" s="38" t="s">
        <v>68</v>
      </c>
      <c r="F1289" s="37">
        <v>1</v>
      </c>
      <c r="G1289" s="37">
        <v>2</v>
      </c>
      <c r="H1289" s="37">
        <v>1</v>
      </c>
      <c r="I1289" s="37" t="s">
        <v>8</v>
      </c>
      <c r="J1289" s="37" t="s">
        <v>7</v>
      </c>
      <c r="K1289" s="62">
        <f t="shared" ref="K1289:K1318" si="20">H1289/(F1289+G1289)</f>
        <v>0.33333333333333331</v>
      </c>
    </row>
    <row r="1290" spans="1:11" hidden="1" x14ac:dyDescent="0.35">
      <c r="A1290" s="33">
        <v>30069950</v>
      </c>
      <c r="B1290" s="36" t="s">
        <v>1292</v>
      </c>
      <c r="C1290" s="37" t="s">
        <v>86</v>
      </c>
      <c r="D1290" s="38"/>
      <c r="E1290" s="38" t="s">
        <v>68</v>
      </c>
      <c r="F1290" s="37">
        <v>2</v>
      </c>
      <c r="G1290" s="37">
        <v>1</v>
      </c>
      <c r="H1290" s="37">
        <v>2</v>
      </c>
      <c r="I1290" s="37" t="s">
        <v>8</v>
      </c>
      <c r="J1290" s="37" t="s">
        <v>7</v>
      </c>
      <c r="K1290" s="62">
        <f t="shared" si="20"/>
        <v>0.66666666666666663</v>
      </c>
    </row>
    <row r="1291" spans="1:11" hidden="1" x14ac:dyDescent="0.35">
      <c r="A1291" s="33">
        <v>30070135</v>
      </c>
      <c r="B1291" s="36" t="s">
        <v>1293</v>
      </c>
      <c r="C1291" s="37" t="s">
        <v>86</v>
      </c>
      <c r="D1291" s="38"/>
      <c r="E1291" s="38" t="s">
        <v>68</v>
      </c>
      <c r="F1291" s="37">
        <v>4500</v>
      </c>
      <c r="G1291" s="37">
        <v>5000</v>
      </c>
      <c r="H1291" s="37">
        <v>8500</v>
      </c>
      <c r="I1291" s="37" t="s">
        <v>25</v>
      </c>
      <c r="J1291" s="37" t="s">
        <v>7</v>
      </c>
      <c r="K1291" s="62">
        <f t="shared" si="20"/>
        <v>0.89473684210526316</v>
      </c>
    </row>
    <row r="1292" spans="1:11" hidden="1" x14ac:dyDescent="0.35">
      <c r="A1292" s="33">
        <v>30070293</v>
      </c>
      <c r="B1292" s="36" t="s">
        <v>1294</v>
      </c>
      <c r="C1292" s="37" t="s">
        <v>86</v>
      </c>
      <c r="D1292" s="38"/>
      <c r="E1292" s="38" t="s">
        <v>68</v>
      </c>
      <c r="F1292" s="37">
        <v>2</v>
      </c>
      <c r="G1292" s="37">
        <v>4</v>
      </c>
      <c r="H1292" s="37">
        <v>3</v>
      </c>
      <c r="I1292" s="37" t="s">
        <v>8</v>
      </c>
      <c r="J1292" s="37" t="s">
        <v>7</v>
      </c>
      <c r="K1292" s="62">
        <f t="shared" si="20"/>
        <v>0.5</v>
      </c>
    </row>
    <row r="1293" spans="1:11" hidden="1" x14ac:dyDescent="0.35">
      <c r="A1293" s="33">
        <v>30070323</v>
      </c>
      <c r="B1293" s="36" t="s">
        <v>1295</v>
      </c>
      <c r="C1293" s="37" t="s">
        <v>86</v>
      </c>
      <c r="D1293" s="38"/>
      <c r="E1293" s="38" t="s">
        <v>68</v>
      </c>
      <c r="F1293" s="37">
        <v>100</v>
      </c>
      <c r="G1293" s="37">
        <v>200</v>
      </c>
      <c r="H1293" s="37">
        <v>180</v>
      </c>
      <c r="I1293" s="37" t="s">
        <v>8</v>
      </c>
      <c r="J1293" s="37" t="s">
        <v>7</v>
      </c>
      <c r="K1293" s="62">
        <f t="shared" si="20"/>
        <v>0.6</v>
      </c>
    </row>
    <row r="1294" spans="1:11" hidden="1" x14ac:dyDescent="0.35">
      <c r="A1294" s="33">
        <v>30070447</v>
      </c>
      <c r="B1294" s="36" t="s">
        <v>1413</v>
      </c>
      <c r="C1294" s="37" t="s">
        <v>86</v>
      </c>
      <c r="D1294" s="38"/>
      <c r="E1294" s="38" t="s">
        <v>68</v>
      </c>
      <c r="F1294" s="37">
        <v>5</v>
      </c>
      <c r="G1294" s="37">
        <v>5</v>
      </c>
      <c r="H1294" s="37">
        <v>6</v>
      </c>
      <c r="I1294" s="37" t="s">
        <v>8</v>
      </c>
      <c r="J1294" s="37" t="s">
        <v>7</v>
      </c>
      <c r="K1294" s="62">
        <f t="shared" si="20"/>
        <v>0.6</v>
      </c>
    </row>
    <row r="1295" spans="1:11" hidden="1" x14ac:dyDescent="0.35">
      <c r="A1295" s="33">
        <v>30070457</v>
      </c>
      <c r="B1295" s="36" t="s">
        <v>1322</v>
      </c>
      <c r="C1295" s="37" t="s">
        <v>86</v>
      </c>
      <c r="D1295" s="38"/>
      <c r="E1295" s="38" t="s">
        <v>68</v>
      </c>
      <c r="F1295" s="37">
        <v>3</v>
      </c>
      <c r="G1295" s="37">
        <v>6</v>
      </c>
      <c r="H1295" s="37">
        <v>7</v>
      </c>
      <c r="I1295" s="37" t="s">
        <v>8</v>
      </c>
      <c r="J1295" s="37" t="s">
        <v>7</v>
      </c>
      <c r="K1295" s="62">
        <f t="shared" si="20"/>
        <v>0.77777777777777779</v>
      </c>
    </row>
    <row r="1296" spans="1:11" hidden="1" x14ac:dyDescent="0.35">
      <c r="A1296" s="33">
        <v>30070465</v>
      </c>
      <c r="B1296" s="36" t="s">
        <v>1364</v>
      </c>
      <c r="C1296" s="37" t="s">
        <v>86</v>
      </c>
      <c r="D1296" s="38"/>
      <c r="E1296" s="38" t="s">
        <v>68</v>
      </c>
      <c r="F1296" s="37">
        <v>1</v>
      </c>
      <c r="G1296" s="37">
        <v>2</v>
      </c>
      <c r="H1296" s="37">
        <v>12</v>
      </c>
      <c r="I1296" s="37" t="s">
        <v>8</v>
      </c>
      <c r="J1296" s="37" t="s">
        <v>14</v>
      </c>
      <c r="K1296" s="62">
        <f t="shared" si="20"/>
        <v>4</v>
      </c>
    </row>
    <row r="1297" spans="1:11" hidden="1" x14ac:dyDescent="0.35">
      <c r="A1297" s="33">
        <v>30070475</v>
      </c>
      <c r="B1297" s="36" t="s">
        <v>1335</v>
      </c>
      <c r="C1297" s="37" t="s">
        <v>86</v>
      </c>
      <c r="D1297" s="38"/>
      <c r="E1297" s="38" t="s">
        <v>68</v>
      </c>
      <c r="F1297" s="37">
        <v>1</v>
      </c>
      <c r="G1297" s="37">
        <v>2</v>
      </c>
      <c r="H1297" s="37">
        <v>1</v>
      </c>
      <c r="I1297" s="37" t="s">
        <v>8</v>
      </c>
      <c r="J1297" s="37" t="s">
        <v>7</v>
      </c>
      <c r="K1297" s="62">
        <f t="shared" si="20"/>
        <v>0.33333333333333331</v>
      </c>
    </row>
    <row r="1298" spans="1:11" hidden="1" x14ac:dyDescent="0.35">
      <c r="A1298" s="33">
        <v>30070476</v>
      </c>
      <c r="B1298" s="36" t="s">
        <v>1296</v>
      </c>
      <c r="C1298" s="37" t="s">
        <v>86</v>
      </c>
      <c r="D1298" s="38"/>
      <c r="E1298" s="38" t="s">
        <v>68</v>
      </c>
      <c r="F1298" s="37">
        <v>2</v>
      </c>
      <c r="G1298" s="37">
        <v>1</v>
      </c>
      <c r="H1298" s="37">
        <v>2</v>
      </c>
      <c r="I1298" s="37" t="s">
        <v>8</v>
      </c>
      <c r="J1298" s="37" t="s">
        <v>7</v>
      </c>
      <c r="K1298" s="62">
        <f t="shared" si="20"/>
        <v>0.66666666666666663</v>
      </c>
    </row>
    <row r="1299" spans="1:11" hidden="1" x14ac:dyDescent="0.35">
      <c r="A1299" s="33">
        <v>30070489</v>
      </c>
      <c r="B1299" s="36" t="s">
        <v>1323</v>
      </c>
      <c r="C1299" s="37" t="s">
        <v>86</v>
      </c>
      <c r="D1299" s="38"/>
      <c r="E1299" s="38" t="s">
        <v>68</v>
      </c>
      <c r="F1299" s="37">
        <v>40</v>
      </c>
      <c r="G1299" s="37">
        <v>40</v>
      </c>
      <c r="H1299" s="37">
        <v>40</v>
      </c>
      <c r="I1299" s="37" t="s">
        <v>25</v>
      </c>
      <c r="J1299" s="37" t="s">
        <v>7</v>
      </c>
      <c r="K1299" s="62">
        <f t="shared" si="20"/>
        <v>0.5</v>
      </c>
    </row>
    <row r="1300" spans="1:11" hidden="1" x14ac:dyDescent="0.35">
      <c r="A1300" s="33">
        <v>30070490</v>
      </c>
      <c r="B1300" s="36" t="s">
        <v>1297</v>
      </c>
      <c r="C1300" s="37" t="s">
        <v>86</v>
      </c>
      <c r="D1300" s="38"/>
      <c r="E1300" s="38" t="s">
        <v>68</v>
      </c>
      <c r="F1300" s="37">
        <v>1</v>
      </c>
      <c r="G1300" s="37">
        <v>2</v>
      </c>
      <c r="H1300" s="37">
        <v>2</v>
      </c>
      <c r="I1300" s="37" t="s">
        <v>8</v>
      </c>
      <c r="J1300" s="37" t="s">
        <v>7</v>
      </c>
      <c r="K1300" s="62">
        <f t="shared" si="20"/>
        <v>0.66666666666666663</v>
      </c>
    </row>
    <row r="1301" spans="1:11" hidden="1" x14ac:dyDescent="0.35">
      <c r="A1301" s="33">
        <v>30070576</v>
      </c>
      <c r="B1301" s="36" t="s">
        <v>1298</v>
      </c>
      <c r="C1301" s="37" t="s">
        <v>86</v>
      </c>
      <c r="D1301" s="38"/>
      <c r="E1301" s="38" t="s">
        <v>68</v>
      </c>
      <c r="F1301" s="37">
        <v>2</v>
      </c>
      <c r="G1301" s="37">
        <v>2</v>
      </c>
      <c r="H1301" s="37">
        <v>3</v>
      </c>
      <c r="I1301" s="37" t="s">
        <v>8</v>
      </c>
      <c r="J1301" s="37" t="s">
        <v>7</v>
      </c>
      <c r="K1301" s="62">
        <f t="shared" si="20"/>
        <v>0.75</v>
      </c>
    </row>
    <row r="1302" spans="1:11" hidden="1" x14ac:dyDescent="0.35">
      <c r="A1302" s="33">
        <v>30070649</v>
      </c>
      <c r="B1302" s="36" t="s">
        <v>1559</v>
      </c>
      <c r="C1302" s="37" t="s">
        <v>86</v>
      </c>
      <c r="D1302" s="38"/>
      <c r="E1302" s="38" t="s">
        <v>68</v>
      </c>
      <c r="F1302" s="37">
        <v>2</v>
      </c>
      <c r="G1302" s="37">
        <v>1</v>
      </c>
      <c r="H1302" s="37">
        <v>0</v>
      </c>
      <c r="I1302" s="37" t="s">
        <v>8</v>
      </c>
      <c r="J1302" s="37" t="s">
        <v>13</v>
      </c>
      <c r="K1302" s="62">
        <f t="shared" si="20"/>
        <v>0</v>
      </c>
    </row>
    <row r="1303" spans="1:11" hidden="1" x14ac:dyDescent="0.35">
      <c r="A1303" s="33">
        <v>30070666</v>
      </c>
      <c r="B1303" s="36" t="s">
        <v>1324</v>
      </c>
      <c r="C1303" s="37" t="s">
        <v>86</v>
      </c>
      <c r="D1303" s="38"/>
      <c r="E1303" s="38" t="s">
        <v>68</v>
      </c>
      <c r="F1303" s="37">
        <v>2</v>
      </c>
      <c r="G1303" s="37">
        <v>4</v>
      </c>
      <c r="H1303" s="37">
        <v>2</v>
      </c>
      <c r="I1303" s="37" t="s">
        <v>8</v>
      </c>
      <c r="J1303" s="37" t="s">
        <v>7</v>
      </c>
      <c r="K1303" s="62">
        <f t="shared" si="20"/>
        <v>0.33333333333333331</v>
      </c>
    </row>
    <row r="1304" spans="1:11" hidden="1" x14ac:dyDescent="0.35">
      <c r="A1304" s="33">
        <v>30070684</v>
      </c>
      <c r="B1304" s="36" t="s">
        <v>1355</v>
      </c>
      <c r="C1304" s="37" t="s">
        <v>86</v>
      </c>
      <c r="D1304" s="38"/>
      <c r="E1304" s="38" t="s">
        <v>68</v>
      </c>
      <c r="F1304" s="37">
        <v>1</v>
      </c>
      <c r="G1304" s="37">
        <v>2</v>
      </c>
      <c r="H1304" s="37">
        <v>1</v>
      </c>
      <c r="I1304" s="37" t="s">
        <v>8</v>
      </c>
      <c r="J1304" s="37" t="s">
        <v>7</v>
      </c>
      <c r="K1304" s="62">
        <f t="shared" si="20"/>
        <v>0.33333333333333331</v>
      </c>
    </row>
    <row r="1305" spans="1:11" hidden="1" x14ac:dyDescent="0.35">
      <c r="A1305" s="33">
        <v>30070687</v>
      </c>
      <c r="B1305" s="36" t="s">
        <v>1356</v>
      </c>
      <c r="C1305" s="37" t="s">
        <v>86</v>
      </c>
      <c r="D1305" s="38"/>
      <c r="E1305" s="38" t="s">
        <v>68</v>
      </c>
      <c r="F1305" s="37">
        <v>1</v>
      </c>
      <c r="G1305" s="37">
        <v>2</v>
      </c>
      <c r="H1305" s="37">
        <v>1</v>
      </c>
      <c r="I1305" s="37" t="s">
        <v>8</v>
      </c>
      <c r="J1305" s="37" t="s">
        <v>7</v>
      </c>
      <c r="K1305" s="62">
        <f t="shared" si="20"/>
        <v>0.33333333333333331</v>
      </c>
    </row>
    <row r="1306" spans="1:11" hidden="1" x14ac:dyDescent="0.35">
      <c r="A1306" s="33">
        <v>30070688</v>
      </c>
      <c r="B1306" s="36" t="s">
        <v>1357</v>
      </c>
      <c r="C1306" s="37" t="s">
        <v>86</v>
      </c>
      <c r="D1306" s="38"/>
      <c r="E1306" s="38" t="s">
        <v>68</v>
      </c>
      <c r="F1306" s="37">
        <v>1</v>
      </c>
      <c r="G1306" s="37">
        <v>2</v>
      </c>
      <c r="H1306" s="37">
        <v>2</v>
      </c>
      <c r="I1306" s="37" t="s">
        <v>8</v>
      </c>
      <c r="J1306" s="37" t="s">
        <v>7</v>
      </c>
      <c r="K1306" s="62">
        <f t="shared" si="20"/>
        <v>0.66666666666666663</v>
      </c>
    </row>
    <row r="1307" spans="1:11" hidden="1" x14ac:dyDescent="0.35">
      <c r="A1307" s="33">
        <v>30070745</v>
      </c>
      <c r="B1307" s="36" t="s">
        <v>1358</v>
      </c>
      <c r="C1307" s="37" t="s">
        <v>86</v>
      </c>
      <c r="D1307" s="38"/>
      <c r="E1307" s="38" t="s">
        <v>68</v>
      </c>
      <c r="F1307" s="37">
        <v>1</v>
      </c>
      <c r="G1307" s="37">
        <v>2</v>
      </c>
      <c r="H1307" s="37">
        <v>3</v>
      </c>
      <c r="I1307" s="37" t="s">
        <v>8</v>
      </c>
      <c r="J1307" s="37" t="s">
        <v>7</v>
      </c>
      <c r="K1307" s="62">
        <f t="shared" si="20"/>
        <v>1</v>
      </c>
    </row>
    <row r="1308" spans="1:11" hidden="1" x14ac:dyDescent="0.35">
      <c r="A1308" s="33">
        <v>30070752</v>
      </c>
      <c r="B1308" s="36" t="s">
        <v>1368</v>
      </c>
      <c r="C1308" s="37" t="s">
        <v>86</v>
      </c>
      <c r="D1308" s="38"/>
      <c r="E1308" s="38" t="s">
        <v>68</v>
      </c>
      <c r="F1308" s="37">
        <v>50</v>
      </c>
      <c r="G1308" s="37">
        <v>100</v>
      </c>
      <c r="H1308" s="37">
        <v>250</v>
      </c>
      <c r="I1308" s="37" t="s">
        <v>8</v>
      </c>
      <c r="J1308" s="37" t="s">
        <v>14</v>
      </c>
      <c r="K1308" s="62">
        <f t="shared" si="20"/>
        <v>1.6666666666666667</v>
      </c>
    </row>
    <row r="1309" spans="1:11" hidden="1" x14ac:dyDescent="0.35">
      <c r="A1309" s="33">
        <v>30070790</v>
      </c>
      <c r="B1309" s="36" t="s">
        <v>1359</v>
      </c>
      <c r="C1309" s="37" t="s">
        <v>86</v>
      </c>
      <c r="D1309" s="38"/>
      <c r="E1309" s="38" t="s">
        <v>68</v>
      </c>
      <c r="F1309" s="37">
        <v>45</v>
      </c>
      <c r="G1309" s="37">
        <v>45</v>
      </c>
      <c r="H1309" s="37">
        <v>45</v>
      </c>
      <c r="I1309" s="37" t="s">
        <v>25</v>
      </c>
      <c r="J1309" s="37" t="s">
        <v>7</v>
      </c>
      <c r="K1309" s="62">
        <f t="shared" si="20"/>
        <v>0.5</v>
      </c>
    </row>
    <row r="1310" spans="1:11" hidden="1" x14ac:dyDescent="0.35">
      <c r="A1310" s="33">
        <v>30070831</v>
      </c>
      <c r="B1310" s="36" t="s">
        <v>1517</v>
      </c>
      <c r="C1310" s="37" t="s">
        <v>86</v>
      </c>
      <c r="D1310" s="38"/>
      <c r="E1310" s="38" t="s">
        <v>68</v>
      </c>
      <c r="F1310" s="37">
        <v>1</v>
      </c>
      <c r="G1310" s="37">
        <v>1</v>
      </c>
      <c r="H1310" s="37">
        <v>3</v>
      </c>
      <c r="I1310" s="37" t="s">
        <v>8</v>
      </c>
      <c r="J1310" s="37" t="s">
        <v>14</v>
      </c>
      <c r="K1310" s="62">
        <f t="shared" si="20"/>
        <v>1.5</v>
      </c>
    </row>
    <row r="1311" spans="1:11" hidden="1" x14ac:dyDescent="0.35">
      <c r="A1311" s="33">
        <v>30071052</v>
      </c>
      <c r="B1311" s="36" t="s">
        <v>1414</v>
      </c>
      <c r="C1311" s="37" t="s">
        <v>86</v>
      </c>
      <c r="D1311" s="38"/>
      <c r="E1311" s="38" t="s">
        <v>68</v>
      </c>
      <c r="F1311" s="37">
        <v>1</v>
      </c>
      <c r="G1311" s="37">
        <v>2</v>
      </c>
      <c r="H1311" s="37">
        <v>8</v>
      </c>
      <c r="I1311" s="37" t="s">
        <v>8</v>
      </c>
      <c r="J1311" s="37" t="s">
        <v>14</v>
      </c>
      <c r="K1311" s="62">
        <f t="shared" si="20"/>
        <v>2.6666666666666665</v>
      </c>
    </row>
    <row r="1312" spans="1:11" hidden="1" x14ac:dyDescent="0.35">
      <c r="A1312" s="33">
        <v>30072741</v>
      </c>
      <c r="B1312" s="36" t="s">
        <v>1409</v>
      </c>
      <c r="C1312" s="37" t="s">
        <v>86</v>
      </c>
      <c r="D1312" s="38"/>
      <c r="E1312" s="38" t="s">
        <v>68</v>
      </c>
      <c r="F1312" s="37">
        <v>20</v>
      </c>
      <c r="G1312" s="37">
        <v>20</v>
      </c>
      <c r="H1312" s="37">
        <v>20</v>
      </c>
      <c r="I1312" s="37" t="s">
        <v>8</v>
      </c>
      <c r="J1312" s="37" t="s">
        <v>7</v>
      </c>
      <c r="K1312" s="62">
        <f t="shared" si="20"/>
        <v>0.5</v>
      </c>
    </row>
    <row r="1313" spans="1:11" hidden="1" x14ac:dyDescent="0.35">
      <c r="A1313" s="33">
        <v>30073338</v>
      </c>
      <c r="B1313" s="36" t="s">
        <v>1441</v>
      </c>
      <c r="C1313" s="37" t="s">
        <v>86</v>
      </c>
      <c r="D1313" s="38"/>
      <c r="E1313" s="38" t="s">
        <v>68</v>
      </c>
      <c r="F1313" s="37">
        <v>10</v>
      </c>
      <c r="G1313" s="37">
        <v>15</v>
      </c>
      <c r="H1313" s="37">
        <v>16</v>
      </c>
      <c r="I1313" s="37" t="s">
        <v>8</v>
      </c>
      <c r="J1313" s="37" t="s">
        <v>7</v>
      </c>
      <c r="K1313" s="62">
        <f t="shared" si="20"/>
        <v>0.64</v>
      </c>
    </row>
    <row r="1314" spans="1:11" hidden="1" x14ac:dyDescent="0.35">
      <c r="A1314" s="33">
        <v>30073339</v>
      </c>
      <c r="B1314" s="36" t="s">
        <v>1430</v>
      </c>
      <c r="C1314" s="37" t="s">
        <v>86</v>
      </c>
      <c r="D1314" s="38"/>
      <c r="E1314" s="38" t="s">
        <v>68</v>
      </c>
      <c r="F1314" s="37">
        <v>7</v>
      </c>
      <c r="G1314" s="37">
        <v>10</v>
      </c>
      <c r="H1314" s="37">
        <v>11</v>
      </c>
      <c r="I1314" s="37" t="s">
        <v>8</v>
      </c>
      <c r="J1314" s="37" t="s">
        <v>7</v>
      </c>
      <c r="K1314" s="62">
        <f t="shared" si="20"/>
        <v>0.6470588235294118</v>
      </c>
    </row>
    <row r="1315" spans="1:11" hidden="1" x14ac:dyDescent="0.35">
      <c r="A1315" s="33">
        <v>30073690</v>
      </c>
      <c r="B1315" s="36" t="s">
        <v>1442</v>
      </c>
      <c r="C1315" s="37" t="s">
        <v>86</v>
      </c>
      <c r="D1315" s="38"/>
      <c r="E1315" s="38" t="s">
        <v>68</v>
      </c>
      <c r="F1315" s="37">
        <v>5</v>
      </c>
      <c r="G1315" s="37">
        <v>5</v>
      </c>
      <c r="H1315" s="37">
        <v>7</v>
      </c>
      <c r="I1315" s="37" t="s">
        <v>8</v>
      </c>
      <c r="J1315" s="37" t="s">
        <v>7</v>
      </c>
      <c r="K1315" s="62">
        <f t="shared" si="20"/>
        <v>0.7</v>
      </c>
    </row>
    <row r="1316" spans="1:11" hidden="1" x14ac:dyDescent="0.35">
      <c r="A1316" s="33">
        <v>30073790</v>
      </c>
      <c r="B1316" s="36" t="s">
        <v>1556</v>
      </c>
      <c r="C1316" s="37" t="s">
        <v>86</v>
      </c>
      <c r="D1316" s="38"/>
      <c r="E1316" s="38" t="s">
        <v>68</v>
      </c>
      <c r="F1316" s="37">
        <v>2</v>
      </c>
      <c r="G1316" s="37">
        <v>2</v>
      </c>
      <c r="H1316" s="37">
        <v>1</v>
      </c>
      <c r="I1316" s="37" t="s">
        <v>8</v>
      </c>
      <c r="J1316" s="37" t="s">
        <v>13</v>
      </c>
      <c r="K1316" s="62">
        <f t="shared" si="20"/>
        <v>0.25</v>
      </c>
    </row>
    <row r="1317" spans="1:11" hidden="1" x14ac:dyDescent="0.35">
      <c r="A1317" s="33">
        <v>30073791</v>
      </c>
      <c r="B1317" s="36" t="s">
        <v>1557</v>
      </c>
      <c r="C1317" s="37" t="s">
        <v>86</v>
      </c>
      <c r="D1317" s="38"/>
      <c r="E1317" s="38" t="s">
        <v>68</v>
      </c>
      <c r="F1317" s="37">
        <v>2</v>
      </c>
      <c r="G1317" s="37">
        <v>2</v>
      </c>
      <c r="H1317" s="37">
        <v>1</v>
      </c>
      <c r="I1317" s="37" t="s">
        <v>8</v>
      </c>
      <c r="J1317" s="37" t="s">
        <v>13</v>
      </c>
      <c r="K1317" s="62">
        <f t="shared" si="20"/>
        <v>0.25</v>
      </c>
    </row>
    <row r="1318" spans="1:11" hidden="1" x14ac:dyDescent="0.35">
      <c r="A1318" s="51">
        <v>30074489</v>
      </c>
      <c r="B1318" s="46" t="s">
        <v>1471</v>
      </c>
      <c r="C1318" s="47" t="s">
        <v>86</v>
      </c>
      <c r="D1318" s="48"/>
      <c r="E1318" s="48" t="s">
        <v>68</v>
      </c>
      <c r="F1318" s="47">
        <v>5</v>
      </c>
      <c r="G1318" s="47">
        <v>10</v>
      </c>
      <c r="H1318" s="47">
        <v>7</v>
      </c>
      <c r="I1318" s="47" t="s">
        <v>8</v>
      </c>
      <c r="J1318" s="47" t="s">
        <v>7</v>
      </c>
      <c r="K1318" s="62">
        <f t="shared" si="20"/>
        <v>0.46666666666666667</v>
      </c>
    </row>
  </sheetData>
  <autoFilter ref="A7:K1318" xr:uid="{1A50B81E-7AF1-408A-BE6E-9756EE066B89}">
    <filterColumn colId="9">
      <filters>
        <filter val="Sobre Stock"/>
      </filters>
    </filterColumn>
    <filterColumn colId="10">
      <filters>
        <filter val="1000%"/>
        <filter val="1031%"/>
        <filter val="1083%"/>
        <filter val="1100%"/>
        <filter val="1150%"/>
        <filter val="1153%"/>
        <filter val="1300%"/>
        <filter val="1329%"/>
        <filter val="1400%"/>
        <filter val="1525%"/>
        <filter val="1600%"/>
        <filter val="1650%"/>
        <filter val="1725%"/>
        <filter val="1825%"/>
        <filter val="1875%"/>
        <filter val="2050%"/>
        <filter val="21650%"/>
        <filter val="2400%"/>
        <filter val="2450%"/>
        <filter val="2825%"/>
        <filter val="3350%"/>
        <filter val="3500%"/>
        <filter val="3521%"/>
        <filter val="3825%"/>
        <filter val="3971%"/>
        <filter val="500%"/>
        <filter val="533%"/>
        <filter val="540%"/>
        <filter val="550%"/>
        <filter val="5556%"/>
        <filter val="5650%"/>
        <filter val="586%"/>
        <filter val="600%"/>
        <filter val="610%"/>
        <filter val="625%"/>
        <filter val="648%"/>
        <filter val="650%"/>
        <filter val="657%"/>
        <filter val="667%"/>
        <filter val="669%"/>
        <filter val="700%"/>
        <filter val="713%"/>
        <filter val="751%"/>
        <filter val="810%"/>
        <filter val="8480%"/>
        <filter val="850%"/>
        <filter val="857%"/>
        <filter val="867%"/>
        <filter val="879%"/>
        <filter val="900%"/>
        <filter val="967%"/>
      </filters>
    </filterColumn>
  </autoFilter>
  <conditionalFormatting sqref="A8:A1318">
    <cfRule type="duplicateValues" dxfId="106" priority="1"/>
    <cfRule type="duplicateValues" dxfId="105" priority="2"/>
    <cfRule type="duplicateValues" dxfId="104" priority="3"/>
  </conditionalFormatting>
  <conditionalFormatting sqref="J7:J1318">
    <cfRule type="cellIs" dxfId="103" priority="4" operator="equal">
      <formula>"Desactivado"</formula>
    </cfRule>
    <cfRule type="cellIs" dxfId="102" priority="5" operator="equal">
      <formula>"Sobre Stock"</formula>
    </cfRule>
    <cfRule type="cellIs" dxfId="101" priority="6" operator="equal">
      <formula>"Bajo Stock"</formula>
    </cfRule>
    <cfRule type="cellIs" dxfId="100" priority="7" operator="equal">
      <formula>"Stock OK"</formula>
    </cfRule>
    <cfRule type="cellIs" dxfId="99" priority="8" operator="equal">
      <formula>"Quiebre Stock"</formula>
    </cfRule>
  </conditionalFormatting>
  <conditionalFormatting sqref="K7">
    <cfRule type="cellIs" dxfId="98" priority="14" operator="equal">
      <formula>"Desactivado"</formula>
    </cfRule>
    <cfRule type="cellIs" dxfId="97" priority="15" operator="equal">
      <formula>"Sobre Stock"</formula>
    </cfRule>
    <cfRule type="cellIs" dxfId="96" priority="16" operator="equal">
      <formula>"Bajo Stock"</formula>
    </cfRule>
    <cfRule type="cellIs" dxfId="95" priority="17" operator="equal">
      <formula>"Stock OK"</formula>
    </cfRule>
    <cfRule type="cellIs" dxfId="94" priority="18" operator="equal">
      <formula>"Quiebre Stock"</formula>
    </cfRule>
  </conditionalFormatting>
  <conditionalFormatting sqref="K8:K1318">
    <cfRule type="cellIs" dxfId="93" priority="12" operator="lessThan">
      <formula>0.499</formula>
    </cfRule>
    <cfRule type="cellIs" dxfId="92" priority="13" operator="greaterThanOrEqual">
      <formula>50%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topLeftCell="A31" workbookViewId="0">
      <selection activeCell="E43" sqref="E43"/>
    </sheetView>
  </sheetViews>
  <sheetFormatPr baseColWidth="10" defaultRowHeight="14.5" x14ac:dyDescent="0.35"/>
  <cols>
    <col min="2" max="2" width="19.7265625" bestFit="1" customWidth="1"/>
    <col min="12" max="12" width="12" bestFit="1" customWidth="1"/>
  </cols>
  <sheetData>
    <row r="1" spans="1:4" x14ac:dyDescent="0.35">
      <c r="A1" s="29" t="s">
        <v>82</v>
      </c>
      <c r="B1" s="29" t="s">
        <v>83</v>
      </c>
      <c r="C1" s="30" t="s">
        <v>84</v>
      </c>
      <c r="D1" s="30">
        <f>COUNTA([1]data!$B$9:$B$10157)</f>
        <v>920</v>
      </c>
    </row>
    <row r="2" spans="1:4" x14ac:dyDescent="0.35">
      <c r="A2" s="31">
        <v>44433</v>
      </c>
      <c r="B2" s="29">
        <v>685</v>
      </c>
      <c r="C2" s="30"/>
    </row>
    <row r="3" spans="1:4" x14ac:dyDescent="0.35">
      <c r="A3" s="31">
        <f>A2+7</f>
        <v>44440</v>
      </c>
      <c r="B3" s="29">
        <v>690</v>
      </c>
      <c r="C3" s="30"/>
    </row>
    <row r="4" spans="1:4" x14ac:dyDescent="0.35">
      <c r="A4" s="31">
        <v>44445</v>
      </c>
      <c r="B4" s="29">
        <v>761</v>
      </c>
      <c r="C4" s="30"/>
    </row>
    <row r="5" spans="1:4" x14ac:dyDescent="0.35">
      <c r="A5" s="31">
        <f t="shared" ref="A5:A35" si="0">A4+7</f>
        <v>44452</v>
      </c>
      <c r="B5" s="29">
        <v>761</v>
      </c>
      <c r="C5" s="30"/>
    </row>
    <row r="6" spans="1:4" x14ac:dyDescent="0.35">
      <c r="A6" s="31">
        <f t="shared" si="0"/>
        <v>44459</v>
      </c>
      <c r="B6" s="29">
        <v>762</v>
      </c>
      <c r="C6" s="30"/>
    </row>
    <row r="7" spans="1:4" x14ac:dyDescent="0.35">
      <c r="A7" s="31">
        <f t="shared" si="0"/>
        <v>44466</v>
      </c>
      <c r="B7" s="29">
        <v>762</v>
      </c>
    </row>
    <row r="8" spans="1:4" x14ac:dyDescent="0.35">
      <c r="A8" s="31">
        <f t="shared" si="0"/>
        <v>44473</v>
      </c>
      <c r="B8" s="29">
        <v>761</v>
      </c>
      <c r="C8" s="30"/>
    </row>
    <row r="9" spans="1:4" x14ac:dyDescent="0.35">
      <c r="A9" s="31">
        <f t="shared" si="0"/>
        <v>44480</v>
      </c>
      <c r="B9" s="29">
        <v>761</v>
      </c>
      <c r="C9" s="30"/>
    </row>
    <row r="10" spans="1:4" x14ac:dyDescent="0.35">
      <c r="A10" s="31">
        <f t="shared" si="0"/>
        <v>44487</v>
      </c>
      <c r="B10" s="29">
        <v>761</v>
      </c>
      <c r="C10" s="30"/>
    </row>
    <row r="11" spans="1:4" x14ac:dyDescent="0.35">
      <c r="A11" s="31">
        <f t="shared" si="0"/>
        <v>44494</v>
      </c>
      <c r="B11" s="29">
        <v>761</v>
      </c>
      <c r="C11" s="30"/>
    </row>
    <row r="12" spans="1:4" x14ac:dyDescent="0.35">
      <c r="A12" s="31">
        <f t="shared" si="0"/>
        <v>44501</v>
      </c>
      <c r="B12" s="29">
        <v>761</v>
      </c>
      <c r="C12" s="30"/>
    </row>
    <row r="13" spans="1:4" x14ac:dyDescent="0.35">
      <c r="A13" s="31">
        <f t="shared" si="0"/>
        <v>44508</v>
      </c>
      <c r="B13" s="29">
        <v>761</v>
      </c>
      <c r="C13" s="30"/>
    </row>
    <row r="14" spans="1:4" x14ac:dyDescent="0.35">
      <c r="A14" s="31">
        <f t="shared" si="0"/>
        <v>44515</v>
      </c>
      <c r="B14" s="29">
        <v>761</v>
      </c>
    </row>
    <row r="15" spans="1:4" x14ac:dyDescent="0.35">
      <c r="A15" s="31">
        <f t="shared" si="0"/>
        <v>44522</v>
      </c>
      <c r="B15" s="29">
        <v>761</v>
      </c>
    </row>
    <row r="16" spans="1:4" x14ac:dyDescent="0.35">
      <c r="A16" s="31">
        <f t="shared" si="0"/>
        <v>44529</v>
      </c>
      <c r="B16" s="29">
        <v>761</v>
      </c>
    </row>
    <row r="17" spans="1:2" x14ac:dyDescent="0.35">
      <c r="A17" s="31">
        <f t="shared" si="0"/>
        <v>44536</v>
      </c>
      <c r="B17" s="29">
        <v>760</v>
      </c>
    </row>
    <row r="18" spans="1:2" x14ac:dyDescent="0.35">
      <c r="A18" s="31">
        <f t="shared" si="0"/>
        <v>44543</v>
      </c>
      <c r="B18" s="29">
        <v>760</v>
      </c>
    </row>
    <row r="19" spans="1:2" x14ac:dyDescent="0.35">
      <c r="A19" s="31">
        <f t="shared" si="0"/>
        <v>44550</v>
      </c>
      <c r="B19" s="29">
        <v>760</v>
      </c>
    </row>
    <row r="20" spans="1:2" x14ac:dyDescent="0.35">
      <c r="A20" s="31">
        <f t="shared" si="0"/>
        <v>44557</v>
      </c>
      <c r="B20" s="29">
        <v>760</v>
      </c>
    </row>
    <row r="21" spans="1:2" x14ac:dyDescent="0.35">
      <c r="A21" s="31">
        <f t="shared" si="0"/>
        <v>44564</v>
      </c>
      <c r="B21" s="29">
        <v>760</v>
      </c>
    </row>
    <row r="22" spans="1:2" x14ac:dyDescent="0.35">
      <c r="A22" s="31">
        <f t="shared" si="0"/>
        <v>44571</v>
      </c>
      <c r="B22" s="29">
        <v>762</v>
      </c>
    </row>
    <row r="23" spans="1:2" x14ac:dyDescent="0.35">
      <c r="A23" s="31">
        <f t="shared" si="0"/>
        <v>44578</v>
      </c>
      <c r="B23" s="29">
        <v>762</v>
      </c>
    </row>
    <row r="24" spans="1:2" x14ac:dyDescent="0.35">
      <c r="A24" s="31">
        <f t="shared" si="0"/>
        <v>44585</v>
      </c>
      <c r="B24" s="29">
        <v>762</v>
      </c>
    </row>
    <row r="25" spans="1:2" x14ac:dyDescent="0.35">
      <c r="A25" s="31">
        <f t="shared" si="0"/>
        <v>44592</v>
      </c>
      <c r="B25" s="29">
        <v>762</v>
      </c>
    </row>
    <row r="26" spans="1:2" x14ac:dyDescent="0.35">
      <c r="A26" s="31">
        <v>44600</v>
      </c>
      <c r="B26" s="29">
        <v>763</v>
      </c>
    </row>
    <row r="27" spans="1:2" x14ac:dyDescent="0.35">
      <c r="A27" s="31">
        <f t="shared" si="0"/>
        <v>44607</v>
      </c>
      <c r="B27" s="29">
        <v>763</v>
      </c>
    </row>
    <row r="28" spans="1:2" x14ac:dyDescent="0.35">
      <c r="A28" s="31">
        <v>44613</v>
      </c>
      <c r="B28" s="29">
        <v>764</v>
      </c>
    </row>
    <row r="29" spans="1:2" x14ac:dyDescent="0.35">
      <c r="A29" s="31">
        <f t="shared" si="0"/>
        <v>44620</v>
      </c>
      <c r="B29" s="29">
        <v>764</v>
      </c>
    </row>
    <row r="30" spans="1:2" x14ac:dyDescent="0.35">
      <c r="A30" s="31">
        <f t="shared" si="0"/>
        <v>44627</v>
      </c>
      <c r="B30" s="29">
        <v>764</v>
      </c>
    </row>
    <row r="31" spans="1:2" x14ac:dyDescent="0.35">
      <c r="A31" s="31">
        <f t="shared" si="0"/>
        <v>44634</v>
      </c>
      <c r="B31" s="29">
        <v>787</v>
      </c>
    </row>
    <row r="32" spans="1:2" x14ac:dyDescent="0.35">
      <c r="A32" s="31">
        <f t="shared" si="0"/>
        <v>44641</v>
      </c>
      <c r="B32" s="29">
        <v>801</v>
      </c>
    </row>
    <row r="33" spans="1:2" x14ac:dyDescent="0.35">
      <c r="A33" s="31">
        <f t="shared" si="0"/>
        <v>44648</v>
      </c>
      <c r="B33" s="29">
        <v>812</v>
      </c>
    </row>
    <row r="34" spans="1:2" x14ac:dyDescent="0.35">
      <c r="A34" s="31">
        <v>44656</v>
      </c>
      <c r="B34" s="29">
        <v>812</v>
      </c>
    </row>
    <row r="35" spans="1:2" x14ac:dyDescent="0.35">
      <c r="A35" s="31">
        <f t="shared" si="0"/>
        <v>44663</v>
      </c>
      <c r="B35" s="29">
        <v>836</v>
      </c>
    </row>
    <row r="36" spans="1:2" x14ac:dyDescent="0.35">
      <c r="A36" s="31">
        <v>44669</v>
      </c>
      <c r="B36" s="29">
        <v>898</v>
      </c>
    </row>
    <row r="37" spans="1:2" x14ac:dyDescent="0.35">
      <c r="A37" s="31">
        <v>44677</v>
      </c>
      <c r="B37" s="29">
        <v>901</v>
      </c>
    </row>
    <row r="38" spans="1:2" x14ac:dyDescent="0.35">
      <c r="A38" s="31">
        <v>44684</v>
      </c>
      <c r="B38" s="29">
        <v>901</v>
      </c>
    </row>
    <row r="39" spans="1:2" x14ac:dyDescent="0.35">
      <c r="A39" s="31">
        <f t="shared" ref="A39:A44" si="1">A38+7</f>
        <v>44691</v>
      </c>
      <c r="B39" s="29">
        <v>909</v>
      </c>
    </row>
    <row r="40" spans="1:2" x14ac:dyDescent="0.35">
      <c r="A40" s="31">
        <f t="shared" si="1"/>
        <v>44698</v>
      </c>
      <c r="B40" s="29">
        <v>920</v>
      </c>
    </row>
    <row r="41" spans="1:2" x14ac:dyDescent="0.35">
      <c r="A41" s="31">
        <f t="shared" si="1"/>
        <v>44705</v>
      </c>
      <c r="B41" s="29">
        <v>932</v>
      </c>
    </row>
    <row r="42" spans="1:2" x14ac:dyDescent="0.35">
      <c r="A42" s="31">
        <f t="shared" si="1"/>
        <v>44712</v>
      </c>
      <c r="B42" s="29">
        <v>936</v>
      </c>
    </row>
    <row r="43" spans="1:2" x14ac:dyDescent="0.35">
      <c r="A43" s="31">
        <f t="shared" si="1"/>
        <v>44719</v>
      </c>
      <c r="B43" s="29">
        <v>942</v>
      </c>
    </row>
    <row r="44" spans="1:2" x14ac:dyDescent="0.35">
      <c r="A44" s="31">
        <f t="shared" si="1"/>
        <v>44726</v>
      </c>
      <c r="B44" s="29">
        <v>942</v>
      </c>
    </row>
    <row r="45" spans="1:2" x14ac:dyDescent="0.35">
      <c r="A45" s="31">
        <v>44729</v>
      </c>
      <c r="B45" s="29">
        <v>1070</v>
      </c>
    </row>
  </sheetData>
  <pageMargins left="0.7" right="0.7" top="0.75" bottom="0.75" header="0.3" footer="0.3"/>
  <pageSetup orientation="portrait" horizontalDpi="300" verticalDpi="0" copies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D6AF-ECDD-4D7C-A0DD-E3C91083649B}">
  <sheetPr>
    <tabColor rgb="FFFF0000"/>
  </sheetPr>
  <dimension ref="A1:T253"/>
  <sheetViews>
    <sheetView zoomScale="90" zoomScaleNormal="90" workbookViewId="0">
      <selection activeCell="F20" sqref="F20"/>
    </sheetView>
  </sheetViews>
  <sheetFormatPr baseColWidth="10" defaultRowHeight="14.5" x14ac:dyDescent="0.35"/>
  <cols>
    <col min="2" max="2" width="43" customWidth="1"/>
    <col min="10" max="10" width="15.453125" customWidth="1"/>
    <col min="14" max="17" width="0" hidden="1" customWidth="1"/>
    <col min="18" max="18" width="15.81640625" hidden="1" customWidth="1"/>
  </cols>
  <sheetData>
    <row r="1" spans="1:20" ht="43.5" x14ac:dyDescent="0.35">
      <c r="A1" s="32" t="s">
        <v>0</v>
      </c>
      <c r="B1" s="34" t="s">
        <v>1</v>
      </c>
      <c r="C1" s="34" t="s">
        <v>15</v>
      </c>
      <c r="D1" s="34" t="s">
        <v>64</v>
      </c>
      <c r="E1" s="34" t="s">
        <v>1112</v>
      </c>
      <c r="F1" s="34" t="s">
        <v>2</v>
      </c>
      <c r="G1" s="34" t="s">
        <v>3</v>
      </c>
      <c r="H1" s="34" t="s">
        <v>4</v>
      </c>
      <c r="I1" s="34" t="s">
        <v>5</v>
      </c>
      <c r="J1" s="34" t="s">
        <v>6</v>
      </c>
      <c r="K1" s="35" t="s">
        <v>79</v>
      </c>
      <c r="L1" s="35" t="s">
        <v>80</v>
      </c>
      <c r="M1" s="35" t="s">
        <v>81</v>
      </c>
      <c r="N1" s="34" t="s">
        <v>11</v>
      </c>
      <c r="O1" s="34" t="s">
        <v>12</v>
      </c>
      <c r="P1" s="41" t="s">
        <v>50</v>
      </c>
      <c r="Q1" s="35" t="s">
        <v>85</v>
      </c>
      <c r="R1" s="43" t="s">
        <v>52</v>
      </c>
      <c r="S1" s="45" t="s">
        <v>65</v>
      </c>
      <c r="T1" s="57" t="s">
        <v>1445</v>
      </c>
    </row>
    <row r="2" spans="1:20" x14ac:dyDescent="0.35">
      <c r="A2" s="33">
        <v>30006604</v>
      </c>
      <c r="B2" s="36" t="s">
        <v>1114</v>
      </c>
      <c r="C2" s="37" t="s">
        <v>86</v>
      </c>
      <c r="D2" s="38"/>
      <c r="E2" s="38" t="s">
        <v>102</v>
      </c>
      <c r="F2" s="37">
        <v>217</v>
      </c>
      <c r="G2" s="37">
        <v>216</v>
      </c>
      <c r="H2" s="37">
        <v>301</v>
      </c>
      <c r="I2" s="37" t="s">
        <v>8</v>
      </c>
      <c r="J2" s="37" t="str">
        <f>IF(F2+G2&lt;H2,"Sobre Stock","Bajo Stock")</f>
        <v>Bajo Stock</v>
      </c>
      <c r="K2" s="39" t="s">
        <v>1205</v>
      </c>
      <c r="L2" s="40"/>
      <c r="M2" s="40"/>
      <c r="N2" s="37"/>
      <c r="O2" s="36"/>
      <c r="P2" s="42"/>
      <c r="Q2" s="40"/>
      <c r="R2" s="39" t="s">
        <v>1210</v>
      </c>
      <c r="S2" s="44" t="s">
        <v>71</v>
      </c>
      <c r="T2" s="3" t="s">
        <v>1446</v>
      </c>
    </row>
    <row r="3" spans="1:20" x14ac:dyDescent="0.35">
      <c r="A3" s="33">
        <v>30006607</v>
      </c>
      <c r="B3" s="36" t="s">
        <v>1116</v>
      </c>
      <c r="C3" s="37" t="s">
        <v>86</v>
      </c>
      <c r="D3" s="38"/>
      <c r="E3" s="38" t="s">
        <v>102</v>
      </c>
      <c r="F3" s="37">
        <v>3</v>
      </c>
      <c r="G3" s="37">
        <v>2</v>
      </c>
      <c r="H3" s="37">
        <v>11</v>
      </c>
      <c r="I3" s="37" t="s">
        <v>8</v>
      </c>
      <c r="J3" s="37" t="str">
        <f>IF(H3&lt;F3,"Bajo Stock","Stock OK")</f>
        <v>Stock OK</v>
      </c>
      <c r="K3" s="39" t="s">
        <v>1205</v>
      </c>
      <c r="L3" s="40"/>
      <c r="M3" s="40"/>
      <c r="N3" s="37"/>
      <c r="O3" s="36"/>
      <c r="P3" s="42"/>
      <c r="Q3" s="40"/>
      <c r="R3" s="39" t="s">
        <v>1210</v>
      </c>
      <c r="S3" s="44" t="s">
        <v>71</v>
      </c>
      <c r="T3" s="3" t="s">
        <v>1446</v>
      </c>
    </row>
    <row r="4" spans="1:20" x14ac:dyDescent="0.35">
      <c r="A4" s="33">
        <v>30006617</v>
      </c>
      <c r="B4" s="36" t="s">
        <v>1120</v>
      </c>
      <c r="C4" s="37" t="s">
        <v>86</v>
      </c>
      <c r="D4" s="38"/>
      <c r="E4" s="38" t="s">
        <v>102</v>
      </c>
      <c r="F4" s="37">
        <v>21</v>
      </c>
      <c r="G4" s="37">
        <v>20</v>
      </c>
      <c r="H4" s="37">
        <v>36</v>
      </c>
      <c r="I4" s="37" t="s">
        <v>8</v>
      </c>
      <c r="J4" s="37" t="str">
        <f t="shared" ref="J4:J24" si="0">IF(H4&lt;F4,"Bajo Stock","Stock OK")</f>
        <v>Stock OK</v>
      </c>
      <c r="K4" s="39" t="s">
        <v>1205</v>
      </c>
      <c r="L4" s="40"/>
      <c r="M4" s="40"/>
      <c r="N4" s="37"/>
      <c r="O4" s="36"/>
      <c r="P4" s="42"/>
      <c r="Q4" s="40"/>
      <c r="R4" s="39" t="s">
        <v>1210</v>
      </c>
      <c r="S4" s="44" t="s">
        <v>71</v>
      </c>
      <c r="T4" s="3" t="s">
        <v>1446</v>
      </c>
    </row>
    <row r="5" spans="1:20" x14ac:dyDescent="0.35">
      <c r="A5" s="33">
        <v>30006621</v>
      </c>
      <c r="B5" s="36" t="s">
        <v>1122</v>
      </c>
      <c r="C5" s="37" t="s">
        <v>86</v>
      </c>
      <c r="D5" s="38"/>
      <c r="E5" s="38" t="s">
        <v>102</v>
      </c>
      <c r="F5" s="37">
        <v>2</v>
      </c>
      <c r="G5" s="37">
        <v>2</v>
      </c>
      <c r="H5" s="37">
        <v>3</v>
      </c>
      <c r="I5" s="37" t="s">
        <v>8</v>
      </c>
      <c r="J5" s="37" t="str">
        <f t="shared" si="0"/>
        <v>Stock OK</v>
      </c>
      <c r="K5" s="39" t="s">
        <v>1205</v>
      </c>
      <c r="L5" s="40"/>
      <c r="M5" s="40"/>
      <c r="N5" s="37"/>
      <c r="O5" s="36"/>
      <c r="P5" s="42"/>
      <c r="Q5" s="40"/>
      <c r="R5" s="39" t="s">
        <v>1210</v>
      </c>
      <c r="S5" s="44" t="s">
        <v>71</v>
      </c>
      <c r="T5" s="3" t="s">
        <v>1446</v>
      </c>
    </row>
    <row r="6" spans="1:20" x14ac:dyDescent="0.35">
      <c r="A6" s="33">
        <v>30006632</v>
      </c>
      <c r="B6" s="36" t="s">
        <v>1124</v>
      </c>
      <c r="C6" s="37" t="s">
        <v>86</v>
      </c>
      <c r="D6" s="38"/>
      <c r="E6" s="38" t="s">
        <v>102</v>
      </c>
      <c r="F6" s="37">
        <v>3</v>
      </c>
      <c r="G6" s="37">
        <v>2</v>
      </c>
      <c r="H6" s="37">
        <v>3</v>
      </c>
      <c r="I6" s="37" t="s">
        <v>8</v>
      </c>
      <c r="J6" s="37" t="str">
        <f t="shared" si="0"/>
        <v>Stock OK</v>
      </c>
      <c r="K6" s="39" t="s">
        <v>1205</v>
      </c>
      <c r="L6" s="40"/>
      <c r="M6" s="40"/>
      <c r="N6" s="37"/>
      <c r="O6" s="36"/>
      <c r="P6" s="42"/>
      <c r="Q6" s="40"/>
      <c r="R6" s="39" t="s">
        <v>1210</v>
      </c>
      <c r="S6" s="44" t="s">
        <v>71</v>
      </c>
      <c r="T6" s="3" t="s">
        <v>1446</v>
      </c>
    </row>
    <row r="7" spans="1:20" x14ac:dyDescent="0.35">
      <c r="A7" s="33">
        <v>30006715</v>
      </c>
      <c r="B7" s="36" t="s">
        <v>1131</v>
      </c>
      <c r="C7" s="37" t="s">
        <v>86</v>
      </c>
      <c r="D7" s="38"/>
      <c r="E7" s="38" t="s">
        <v>102</v>
      </c>
      <c r="F7" s="37">
        <v>21</v>
      </c>
      <c r="G7" s="37">
        <v>20</v>
      </c>
      <c r="H7" s="37">
        <v>35</v>
      </c>
      <c r="I7" s="37" t="s">
        <v>8</v>
      </c>
      <c r="J7" s="37" t="str">
        <f t="shared" si="0"/>
        <v>Stock OK</v>
      </c>
      <c r="K7" s="39" t="s">
        <v>1205</v>
      </c>
      <c r="L7" s="40"/>
      <c r="M7" s="40"/>
      <c r="N7" s="37"/>
      <c r="O7" s="36"/>
      <c r="P7" s="42"/>
      <c r="Q7" s="40"/>
      <c r="R7" s="39" t="s">
        <v>1210</v>
      </c>
      <c r="S7" s="44" t="s">
        <v>66</v>
      </c>
      <c r="T7" s="3" t="s">
        <v>1446</v>
      </c>
    </row>
    <row r="8" spans="1:20" x14ac:dyDescent="0.35">
      <c r="A8" s="33">
        <v>30006717</v>
      </c>
      <c r="B8" s="36" t="s">
        <v>1133</v>
      </c>
      <c r="C8" s="37" t="s">
        <v>86</v>
      </c>
      <c r="D8" s="38"/>
      <c r="E8" s="38" t="s">
        <v>102</v>
      </c>
      <c r="F8" s="37">
        <v>21</v>
      </c>
      <c r="G8" s="37">
        <v>20</v>
      </c>
      <c r="H8" s="37">
        <v>21</v>
      </c>
      <c r="I8" s="37" t="s">
        <v>8</v>
      </c>
      <c r="J8" s="37" t="str">
        <f t="shared" si="0"/>
        <v>Stock OK</v>
      </c>
      <c r="K8" s="39" t="s">
        <v>1205</v>
      </c>
      <c r="L8" s="40"/>
      <c r="M8" s="40"/>
      <c r="N8" s="37"/>
      <c r="O8" s="36"/>
      <c r="P8" s="42"/>
      <c r="Q8" s="40"/>
      <c r="R8" s="39" t="s">
        <v>1210</v>
      </c>
      <c r="S8" s="44" t="s">
        <v>66</v>
      </c>
      <c r="T8" s="3" t="s">
        <v>1446</v>
      </c>
    </row>
    <row r="9" spans="1:20" x14ac:dyDescent="0.35">
      <c r="A9" s="33">
        <v>30006723</v>
      </c>
      <c r="B9" s="36" t="s">
        <v>1134</v>
      </c>
      <c r="C9" s="37" t="s">
        <v>86</v>
      </c>
      <c r="D9" s="38"/>
      <c r="E9" s="38" t="s">
        <v>102</v>
      </c>
      <c r="F9" s="37">
        <v>2</v>
      </c>
      <c r="G9" s="37">
        <v>1</v>
      </c>
      <c r="H9" s="37">
        <v>3</v>
      </c>
      <c r="I9" s="37" t="s">
        <v>8</v>
      </c>
      <c r="J9" s="37" t="str">
        <f t="shared" si="0"/>
        <v>Stock OK</v>
      </c>
      <c r="K9" s="39" t="s">
        <v>1205</v>
      </c>
      <c r="L9" s="40"/>
      <c r="M9" s="40"/>
      <c r="N9" s="37"/>
      <c r="O9" s="36"/>
      <c r="P9" s="42"/>
      <c r="Q9" s="40"/>
      <c r="R9" s="39" t="s">
        <v>1210</v>
      </c>
      <c r="S9" s="44" t="s">
        <v>66</v>
      </c>
      <c r="T9" s="3" t="s">
        <v>1446</v>
      </c>
    </row>
    <row r="10" spans="1:20" x14ac:dyDescent="0.35">
      <c r="A10" s="33">
        <v>30006724</v>
      </c>
      <c r="B10" s="36" t="s">
        <v>528</v>
      </c>
      <c r="C10" s="37" t="s">
        <v>86</v>
      </c>
      <c r="D10" s="38"/>
      <c r="E10" s="38" t="s">
        <v>102</v>
      </c>
      <c r="F10" s="37">
        <v>21</v>
      </c>
      <c r="G10" s="37">
        <v>20</v>
      </c>
      <c r="H10" s="37">
        <v>18</v>
      </c>
      <c r="I10" s="37" t="s">
        <v>8</v>
      </c>
      <c r="J10" s="37" t="str">
        <f t="shared" si="0"/>
        <v>Bajo Stock</v>
      </c>
      <c r="K10" s="39" t="s">
        <v>1205</v>
      </c>
      <c r="L10" s="40"/>
      <c r="M10" s="40"/>
      <c r="N10" s="37"/>
      <c r="O10" s="36"/>
      <c r="P10" s="42"/>
      <c r="Q10" s="40"/>
      <c r="R10" s="39" t="s">
        <v>1210</v>
      </c>
      <c r="S10" s="44" t="s">
        <v>66</v>
      </c>
      <c r="T10" s="3" t="s">
        <v>1446</v>
      </c>
    </row>
    <row r="11" spans="1:20" x14ac:dyDescent="0.35">
      <c r="A11" s="33">
        <v>30006736</v>
      </c>
      <c r="B11" s="36" t="s">
        <v>1139</v>
      </c>
      <c r="C11" s="37" t="s">
        <v>86</v>
      </c>
      <c r="D11" s="38"/>
      <c r="E11" s="38" t="s">
        <v>102</v>
      </c>
      <c r="F11" s="37">
        <v>7</v>
      </c>
      <c r="G11" s="37">
        <v>6</v>
      </c>
      <c r="H11" s="37">
        <v>9</v>
      </c>
      <c r="I11" s="37" t="s">
        <v>8</v>
      </c>
      <c r="J11" s="37" t="str">
        <f t="shared" si="0"/>
        <v>Stock OK</v>
      </c>
      <c r="K11" s="39" t="s">
        <v>1205</v>
      </c>
      <c r="L11" s="40"/>
      <c r="M11" s="40"/>
      <c r="N11" s="37"/>
      <c r="O11" s="36"/>
      <c r="P11" s="42"/>
      <c r="Q11" s="40"/>
      <c r="R11" s="39" t="s">
        <v>1210</v>
      </c>
      <c r="S11" s="44" t="s">
        <v>66</v>
      </c>
      <c r="T11" s="3" t="s">
        <v>1446</v>
      </c>
    </row>
    <row r="12" spans="1:20" x14ac:dyDescent="0.35">
      <c r="A12" s="33">
        <v>30006739</v>
      </c>
      <c r="B12" s="36" t="s">
        <v>1066</v>
      </c>
      <c r="C12" s="37" t="s">
        <v>86</v>
      </c>
      <c r="D12" s="38"/>
      <c r="E12" s="38" t="s">
        <v>102</v>
      </c>
      <c r="F12" s="37">
        <v>3</v>
      </c>
      <c r="G12" s="37">
        <v>2</v>
      </c>
      <c r="H12" s="37">
        <v>4</v>
      </c>
      <c r="I12" s="37" t="s">
        <v>8</v>
      </c>
      <c r="J12" s="37" t="str">
        <f t="shared" si="0"/>
        <v>Stock OK</v>
      </c>
      <c r="K12" s="39" t="s">
        <v>1205</v>
      </c>
      <c r="L12" s="40"/>
      <c r="M12" s="40"/>
      <c r="N12" s="37"/>
      <c r="O12" s="36"/>
      <c r="P12" s="42"/>
      <c r="Q12" s="40"/>
      <c r="R12" s="39" t="s">
        <v>1210</v>
      </c>
      <c r="S12" s="44" t="s">
        <v>66</v>
      </c>
      <c r="T12" s="3" t="s">
        <v>1446</v>
      </c>
    </row>
    <row r="13" spans="1:20" x14ac:dyDescent="0.35">
      <c r="A13" s="33">
        <v>30006930</v>
      </c>
      <c r="B13" s="36" t="s">
        <v>1140</v>
      </c>
      <c r="C13" s="37" t="s">
        <v>86</v>
      </c>
      <c r="D13" s="38"/>
      <c r="E13" s="38" t="s">
        <v>102</v>
      </c>
      <c r="F13" s="37">
        <v>15</v>
      </c>
      <c r="G13" s="37">
        <v>14</v>
      </c>
      <c r="H13" s="37">
        <v>18</v>
      </c>
      <c r="I13" s="37" t="s">
        <v>8</v>
      </c>
      <c r="J13" s="37" t="str">
        <f t="shared" si="0"/>
        <v>Stock OK</v>
      </c>
      <c r="K13" s="39" t="s">
        <v>1205</v>
      </c>
      <c r="L13" s="40"/>
      <c r="M13" s="40"/>
      <c r="N13" s="37"/>
      <c r="O13" s="36"/>
      <c r="P13" s="42"/>
      <c r="Q13" s="40"/>
      <c r="R13" s="39" t="s">
        <v>1210</v>
      </c>
      <c r="S13" s="44" t="s">
        <v>71</v>
      </c>
      <c r="T13" s="3" t="s">
        <v>1447</v>
      </c>
    </row>
    <row r="14" spans="1:20" x14ac:dyDescent="0.35">
      <c r="A14" s="33">
        <v>30007152</v>
      </c>
      <c r="B14" s="36" t="s">
        <v>1141</v>
      </c>
      <c r="C14" s="37" t="s">
        <v>86</v>
      </c>
      <c r="D14" s="38"/>
      <c r="E14" s="38" t="s">
        <v>102</v>
      </c>
      <c r="F14" s="37">
        <v>3</v>
      </c>
      <c r="G14" s="37">
        <v>2</v>
      </c>
      <c r="H14" s="37">
        <v>3</v>
      </c>
      <c r="I14" s="37" t="s">
        <v>8</v>
      </c>
      <c r="J14" s="37" t="str">
        <f t="shared" si="0"/>
        <v>Stock OK</v>
      </c>
      <c r="K14" s="39" t="s">
        <v>1205</v>
      </c>
      <c r="L14" s="40"/>
      <c r="M14" s="40"/>
      <c r="N14" s="37"/>
      <c r="O14" s="36"/>
      <c r="P14" s="42"/>
      <c r="Q14" s="40"/>
      <c r="R14" s="39" t="s">
        <v>1210</v>
      </c>
      <c r="S14" s="44" t="s">
        <v>71</v>
      </c>
      <c r="T14" s="3" t="s">
        <v>1446</v>
      </c>
    </row>
    <row r="15" spans="1:20" x14ac:dyDescent="0.35">
      <c r="A15" s="33">
        <v>30007327</v>
      </c>
      <c r="B15" s="36" t="s">
        <v>794</v>
      </c>
      <c r="C15" s="37" t="s">
        <v>86</v>
      </c>
      <c r="D15" s="38"/>
      <c r="E15" s="38" t="s">
        <v>102</v>
      </c>
      <c r="F15" s="37">
        <v>3</v>
      </c>
      <c r="G15" s="37">
        <v>2</v>
      </c>
      <c r="H15" s="37">
        <v>4</v>
      </c>
      <c r="I15" s="37" t="s">
        <v>8</v>
      </c>
      <c r="J15" s="37" t="str">
        <f t="shared" si="0"/>
        <v>Stock OK</v>
      </c>
      <c r="K15" s="39" t="s">
        <v>1205</v>
      </c>
      <c r="L15" s="40"/>
      <c r="M15" s="40"/>
      <c r="N15" s="37"/>
      <c r="O15" s="36"/>
      <c r="P15" s="42"/>
      <c r="Q15" s="40"/>
      <c r="R15" s="39" t="s">
        <v>1210</v>
      </c>
      <c r="S15" s="44" t="s">
        <v>67</v>
      </c>
      <c r="T15" s="3" t="s">
        <v>1446</v>
      </c>
    </row>
    <row r="16" spans="1:20" x14ac:dyDescent="0.35">
      <c r="A16" s="33">
        <v>30007328</v>
      </c>
      <c r="B16" s="36" t="s">
        <v>795</v>
      </c>
      <c r="C16" s="37" t="s">
        <v>86</v>
      </c>
      <c r="D16" s="38"/>
      <c r="E16" s="38" t="s">
        <v>102</v>
      </c>
      <c r="F16" s="37">
        <v>3</v>
      </c>
      <c r="G16" s="37">
        <v>2</v>
      </c>
      <c r="H16" s="37">
        <v>4</v>
      </c>
      <c r="I16" s="37" t="s">
        <v>8</v>
      </c>
      <c r="J16" s="37" t="str">
        <f t="shared" si="0"/>
        <v>Stock OK</v>
      </c>
      <c r="K16" s="39" t="s">
        <v>1205</v>
      </c>
      <c r="L16" s="40"/>
      <c r="M16" s="40"/>
      <c r="N16" s="37"/>
      <c r="O16" s="36"/>
      <c r="P16" s="42"/>
      <c r="Q16" s="40"/>
      <c r="R16" s="39" t="s">
        <v>1210</v>
      </c>
      <c r="S16" s="44" t="s">
        <v>67</v>
      </c>
      <c r="T16" s="3" t="s">
        <v>1446</v>
      </c>
    </row>
    <row r="17" spans="1:20" x14ac:dyDescent="0.35">
      <c r="A17" s="33">
        <v>30007330</v>
      </c>
      <c r="B17" s="36" t="s">
        <v>797</v>
      </c>
      <c r="C17" s="37" t="s">
        <v>86</v>
      </c>
      <c r="D17" s="38"/>
      <c r="E17" s="38" t="s">
        <v>102</v>
      </c>
      <c r="F17" s="37">
        <v>3</v>
      </c>
      <c r="G17" s="37">
        <v>2</v>
      </c>
      <c r="H17" s="37">
        <v>4</v>
      </c>
      <c r="I17" s="37" t="s">
        <v>8</v>
      </c>
      <c r="J17" s="37" t="str">
        <f t="shared" si="0"/>
        <v>Stock OK</v>
      </c>
      <c r="K17" s="39" t="s">
        <v>1205</v>
      </c>
      <c r="L17" s="40"/>
      <c r="M17" s="40"/>
      <c r="N17" s="37"/>
      <c r="O17" s="36"/>
      <c r="P17" s="42"/>
      <c r="Q17" s="40"/>
      <c r="R17" s="39" t="s">
        <v>1210</v>
      </c>
      <c r="S17" s="44" t="s">
        <v>67</v>
      </c>
      <c r="T17" s="3" t="s">
        <v>1446</v>
      </c>
    </row>
    <row r="18" spans="1:20" x14ac:dyDescent="0.35">
      <c r="A18" s="33">
        <v>30007331</v>
      </c>
      <c r="B18" s="36" t="s">
        <v>798</v>
      </c>
      <c r="C18" s="37" t="s">
        <v>86</v>
      </c>
      <c r="D18" s="38"/>
      <c r="E18" s="38" t="s">
        <v>102</v>
      </c>
      <c r="F18" s="37">
        <v>2</v>
      </c>
      <c r="G18" s="37">
        <v>2</v>
      </c>
      <c r="H18" s="37">
        <v>3</v>
      </c>
      <c r="I18" s="37" t="s">
        <v>8</v>
      </c>
      <c r="J18" s="37" t="str">
        <f t="shared" si="0"/>
        <v>Stock OK</v>
      </c>
      <c r="K18" s="39" t="s">
        <v>1205</v>
      </c>
      <c r="L18" s="40"/>
      <c r="M18" s="40"/>
      <c r="N18" s="37"/>
      <c r="O18" s="36"/>
      <c r="P18" s="42"/>
      <c r="Q18" s="40"/>
      <c r="R18" s="39" t="s">
        <v>1210</v>
      </c>
      <c r="S18" s="44" t="s">
        <v>67</v>
      </c>
      <c r="T18" s="3" t="s">
        <v>1446</v>
      </c>
    </row>
    <row r="19" spans="1:20" x14ac:dyDescent="0.35">
      <c r="A19" s="33">
        <v>30007332</v>
      </c>
      <c r="B19" s="36" t="s">
        <v>799</v>
      </c>
      <c r="C19" s="37" t="s">
        <v>86</v>
      </c>
      <c r="D19" s="38"/>
      <c r="E19" s="38" t="s">
        <v>102</v>
      </c>
      <c r="F19" s="37">
        <v>2</v>
      </c>
      <c r="G19" s="37">
        <v>2</v>
      </c>
      <c r="H19" s="37">
        <v>6</v>
      </c>
      <c r="I19" s="37" t="s">
        <v>8</v>
      </c>
      <c r="J19" s="37" t="str">
        <f t="shared" si="0"/>
        <v>Stock OK</v>
      </c>
      <c r="K19" s="39" t="s">
        <v>1205</v>
      </c>
      <c r="L19" s="40"/>
      <c r="M19" s="40"/>
      <c r="N19" s="37"/>
      <c r="O19" s="36"/>
      <c r="P19" s="42"/>
      <c r="Q19" s="40"/>
      <c r="R19" s="39" t="s">
        <v>1210</v>
      </c>
      <c r="S19" s="44" t="s">
        <v>67</v>
      </c>
      <c r="T19" s="3" t="s">
        <v>1446</v>
      </c>
    </row>
    <row r="20" spans="1:20" x14ac:dyDescent="0.35">
      <c r="A20" s="33">
        <v>30007363</v>
      </c>
      <c r="B20" s="36" t="s">
        <v>801</v>
      </c>
      <c r="C20" s="37" t="s">
        <v>86</v>
      </c>
      <c r="D20" s="38"/>
      <c r="E20" s="38" t="s">
        <v>102</v>
      </c>
      <c r="F20" s="37">
        <v>3</v>
      </c>
      <c r="G20" s="37">
        <v>2</v>
      </c>
      <c r="H20" s="37">
        <v>4</v>
      </c>
      <c r="I20" s="37" t="s">
        <v>8</v>
      </c>
      <c r="J20" s="37" t="str">
        <f t="shared" si="0"/>
        <v>Stock OK</v>
      </c>
      <c r="K20" s="39" t="s">
        <v>1205</v>
      </c>
      <c r="L20" s="40"/>
      <c r="M20" s="40"/>
      <c r="N20" s="37"/>
      <c r="O20" s="36"/>
      <c r="P20" s="42"/>
      <c r="Q20" s="40"/>
      <c r="R20" s="39" t="s">
        <v>1210</v>
      </c>
      <c r="S20" s="44" t="s">
        <v>67</v>
      </c>
      <c r="T20" s="3" t="s">
        <v>1446</v>
      </c>
    </row>
    <row r="21" spans="1:20" x14ac:dyDescent="0.35">
      <c r="A21" s="33">
        <v>30007367</v>
      </c>
      <c r="B21" s="36" t="s">
        <v>803</v>
      </c>
      <c r="C21" s="37" t="s">
        <v>86</v>
      </c>
      <c r="D21" s="38"/>
      <c r="E21" s="38" t="s">
        <v>102</v>
      </c>
      <c r="F21" s="37">
        <v>3</v>
      </c>
      <c r="G21" s="37">
        <v>2</v>
      </c>
      <c r="H21" s="37">
        <v>4</v>
      </c>
      <c r="I21" s="37" t="s">
        <v>8</v>
      </c>
      <c r="J21" s="37" t="str">
        <f t="shared" si="0"/>
        <v>Stock OK</v>
      </c>
      <c r="K21" s="39" t="s">
        <v>1205</v>
      </c>
      <c r="L21" s="40"/>
      <c r="M21" s="40"/>
      <c r="N21" s="37"/>
      <c r="O21" s="36"/>
      <c r="P21" s="42"/>
      <c r="Q21" s="40"/>
      <c r="R21" s="39" t="s">
        <v>1210</v>
      </c>
      <c r="S21" s="44" t="s">
        <v>67</v>
      </c>
      <c r="T21" s="3" t="s">
        <v>1446</v>
      </c>
    </row>
    <row r="22" spans="1:20" x14ac:dyDescent="0.35">
      <c r="A22" s="33">
        <v>30007368</v>
      </c>
      <c r="B22" s="36" t="s">
        <v>804</v>
      </c>
      <c r="C22" s="37" t="s">
        <v>86</v>
      </c>
      <c r="D22" s="38"/>
      <c r="E22" s="38" t="s">
        <v>102</v>
      </c>
      <c r="F22" s="37">
        <v>3</v>
      </c>
      <c r="G22" s="37">
        <v>2</v>
      </c>
      <c r="H22" s="37">
        <v>4</v>
      </c>
      <c r="I22" s="37" t="s">
        <v>8</v>
      </c>
      <c r="J22" s="37" t="str">
        <f t="shared" si="0"/>
        <v>Stock OK</v>
      </c>
      <c r="K22" s="39" t="s">
        <v>1205</v>
      </c>
      <c r="L22" s="40"/>
      <c r="M22" s="40"/>
      <c r="N22" s="37"/>
      <c r="O22" s="36"/>
      <c r="P22" s="42"/>
      <c r="Q22" s="40"/>
      <c r="R22" s="39" t="s">
        <v>1210</v>
      </c>
      <c r="S22" s="44" t="s">
        <v>67</v>
      </c>
      <c r="T22" s="3" t="s">
        <v>1446</v>
      </c>
    </row>
    <row r="23" spans="1:20" x14ac:dyDescent="0.35">
      <c r="A23" s="33">
        <v>30007369</v>
      </c>
      <c r="B23" s="36" t="s">
        <v>872</v>
      </c>
      <c r="C23" s="37" t="s">
        <v>86</v>
      </c>
      <c r="D23" s="38"/>
      <c r="E23" s="38" t="s">
        <v>102</v>
      </c>
      <c r="F23" s="37">
        <v>3</v>
      </c>
      <c r="G23" s="37">
        <v>2</v>
      </c>
      <c r="H23" s="37">
        <v>4</v>
      </c>
      <c r="I23" s="37" t="s">
        <v>8</v>
      </c>
      <c r="J23" s="37" t="str">
        <f t="shared" si="0"/>
        <v>Stock OK</v>
      </c>
      <c r="K23" s="39" t="s">
        <v>1205</v>
      </c>
      <c r="L23" s="40"/>
      <c r="M23" s="40"/>
      <c r="N23" s="37"/>
      <c r="O23" s="36"/>
      <c r="P23" s="42"/>
      <c r="Q23" s="40"/>
      <c r="R23" s="39" t="s">
        <v>1210</v>
      </c>
      <c r="S23" s="44" t="s">
        <v>66</v>
      </c>
      <c r="T23" s="3" t="s">
        <v>1446</v>
      </c>
    </row>
    <row r="24" spans="1:20" x14ac:dyDescent="0.35">
      <c r="A24" s="33">
        <v>30007372</v>
      </c>
      <c r="B24" s="36" t="s">
        <v>806</v>
      </c>
      <c r="C24" s="37" t="s">
        <v>86</v>
      </c>
      <c r="D24" s="38"/>
      <c r="E24" s="38" t="s">
        <v>102</v>
      </c>
      <c r="F24" s="37">
        <v>3</v>
      </c>
      <c r="G24" s="37">
        <v>2</v>
      </c>
      <c r="H24" s="37">
        <v>4</v>
      </c>
      <c r="I24" s="37" t="s">
        <v>8</v>
      </c>
      <c r="J24" s="37" t="str">
        <f t="shared" si="0"/>
        <v>Stock OK</v>
      </c>
      <c r="K24" s="39" t="s">
        <v>1205</v>
      </c>
      <c r="L24" s="40"/>
      <c r="M24" s="40"/>
      <c r="N24" s="37"/>
      <c r="O24" s="36"/>
      <c r="P24" s="42"/>
      <c r="Q24" s="40"/>
      <c r="R24" s="39" t="s">
        <v>1210</v>
      </c>
      <c r="S24" s="44" t="s">
        <v>67</v>
      </c>
      <c r="T24" s="3" t="s">
        <v>1446</v>
      </c>
    </row>
    <row r="25" spans="1:20" x14ac:dyDescent="0.35">
      <c r="A25" s="33">
        <v>30007374</v>
      </c>
      <c r="B25" s="36" t="s">
        <v>807</v>
      </c>
      <c r="C25" s="37" t="s">
        <v>86</v>
      </c>
      <c r="D25" s="38"/>
      <c r="E25" s="38" t="s">
        <v>102</v>
      </c>
      <c r="F25" s="37">
        <v>3</v>
      </c>
      <c r="G25" s="37">
        <v>2</v>
      </c>
      <c r="H25" s="37">
        <v>0</v>
      </c>
      <c r="I25" s="37" t="s">
        <v>8</v>
      </c>
      <c r="J25" s="37" t="s">
        <v>1448</v>
      </c>
      <c r="K25" s="39" t="s">
        <v>1205</v>
      </c>
      <c r="L25" s="40"/>
      <c r="M25" s="40"/>
      <c r="N25" s="37"/>
      <c r="O25" s="36"/>
      <c r="P25" s="42"/>
      <c r="Q25" s="40"/>
      <c r="R25" s="39" t="s">
        <v>1210</v>
      </c>
      <c r="S25" s="44" t="s">
        <v>67</v>
      </c>
      <c r="T25" s="3" t="s">
        <v>1446</v>
      </c>
    </row>
    <row r="26" spans="1:20" x14ac:dyDescent="0.35">
      <c r="A26" s="33">
        <v>30007375</v>
      </c>
      <c r="B26" s="36" t="s">
        <v>808</v>
      </c>
      <c r="C26" s="37" t="s">
        <v>86</v>
      </c>
      <c r="D26" s="38"/>
      <c r="E26" s="38" t="s">
        <v>102</v>
      </c>
      <c r="F26" s="37">
        <v>3</v>
      </c>
      <c r="G26" s="37">
        <v>2</v>
      </c>
      <c r="H26" s="37">
        <v>0</v>
      </c>
      <c r="I26" s="37" t="s">
        <v>8</v>
      </c>
      <c r="J26" s="37" t="s">
        <v>1448</v>
      </c>
      <c r="K26" s="39" t="s">
        <v>1205</v>
      </c>
      <c r="L26" s="40"/>
      <c r="M26" s="40"/>
      <c r="N26" s="37"/>
      <c r="O26" s="36"/>
      <c r="P26" s="42"/>
      <c r="Q26" s="40"/>
      <c r="R26" s="39" t="s">
        <v>1210</v>
      </c>
      <c r="S26" s="44" t="s">
        <v>67</v>
      </c>
      <c r="T26" s="3" t="s">
        <v>1446</v>
      </c>
    </row>
    <row r="27" spans="1:20" x14ac:dyDescent="0.35">
      <c r="A27" s="33">
        <v>30007378</v>
      </c>
      <c r="B27" s="36" t="s">
        <v>809</v>
      </c>
      <c r="C27" s="37" t="s">
        <v>86</v>
      </c>
      <c r="D27" s="38"/>
      <c r="E27" s="38" t="s">
        <v>102</v>
      </c>
      <c r="F27" s="37">
        <v>3</v>
      </c>
      <c r="G27" s="37">
        <v>2</v>
      </c>
      <c r="H27" s="37">
        <v>4</v>
      </c>
      <c r="I27" s="37" t="s">
        <v>8</v>
      </c>
      <c r="J27" s="37" t="str">
        <f t="shared" ref="J27:J29" si="1">IF(H27&lt;F27,"Bajo Stock","Stock OK")</f>
        <v>Stock OK</v>
      </c>
      <c r="K27" s="39" t="s">
        <v>1205</v>
      </c>
      <c r="L27" s="40"/>
      <c r="M27" s="40"/>
      <c r="N27" s="37"/>
      <c r="O27" s="36"/>
      <c r="P27" s="42"/>
      <c r="Q27" s="40"/>
      <c r="R27" s="39" t="s">
        <v>1210</v>
      </c>
      <c r="S27" s="44" t="s">
        <v>67</v>
      </c>
      <c r="T27" s="3" t="s">
        <v>1446</v>
      </c>
    </row>
    <row r="28" spans="1:20" x14ac:dyDescent="0.35">
      <c r="A28" s="33">
        <v>30007380</v>
      </c>
      <c r="B28" s="36" t="s">
        <v>810</v>
      </c>
      <c r="C28" s="37" t="s">
        <v>86</v>
      </c>
      <c r="D28" s="38"/>
      <c r="E28" s="38" t="s">
        <v>102</v>
      </c>
      <c r="F28" s="37">
        <v>2</v>
      </c>
      <c r="G28" s="37">
        <v>2</v>
      </c>
      <c r="H28" s="37">
        <v>1</v>
      </c>
      <c r="I28" s="37" t="s">
        <v>8</v>
      </c>
      <c r="J28" s="37" t="str">
        <f t="shared" si="1"/>
        <v>Bajo Stock</v>
      </c>
      <c r="K28" s="39" t="s">
        <v>1205</v>
      </c>
      <c r="L28" s="40"/>
      <c r="M28" s="40"/>
      <c r="N28" s="37"/>
      <c r="O28" s="36"/>
      <c r="P28" s="42"/>
      <c r="Q28" s="40"/>
      <c r="R28" s="39" t="s">
        <v>1210</v>
      </c>
      <c r="S28" s="44" t="s">
        <v>67</v>
      </c>
      <c r="T28" s="3" t="s">
        <v>1447</v>
      </c>
    </row>
    <row r="29" spans="1:20" x14ac:dyDescent="0.35">
      <c r="A29" s="33">
        <v>30007383</v>
      </c>
      <c r="B29" s="36" t="s">
        <v>812</v>
      </c>
      <c r="C29" s="37" t="s">
        <v>86</v>
      </c>
      <c r="D29" s="38"/>
      <c r="E29" s="38" t="s">
        <v>102</v>
      </c>
      <c r="F29" s="37">
        <v>3</v>
      </c>
      <c r="G29" s="37">
        <v>2</v>
      </c>
      <c r="H29" s="37">
        <v>4</v>
      </c>
      <c r="I29" s="37" t="s">
        <v>8</v>
      </c>
      <c r="J29" s="37" t="str">
        <f t="shared" si="1"/>
        <v>Stock OK</v>
      </c>
      <c r="K29" s="39" t="s">
        <v>1205</v>
      </c>
      <c r="L29" s="40"/>
      <c r="M29" s="40"/>
      <c r="N29" s="37"/>
      <c r="O29" s="36"/>
      <c r="P29" s="42"/>
      <c r="Q29" s="40"/>
      <c r="R29" s="39" t="s">
        <v>1210</v>
      </c>
      <c r="S29" s="44" t="s">
        <v>67</v>
      </c>
      <c r="T29" s="3" t="s">
        <v>1446</v>
      </c>
    </row>
    <row r="30" spans="1:20" x14ac:dyDescent="0.35">
      <c r="A30" s="33">
        <v>30007386</v>
      </c>
      <c r="B30" s="36" t="s">
        <v>814</v>
      </c>
      <c r="C30" s="37" t="s">
        <v>86</v>
      </c>
      <c r="D30" s="38"/>
      <c r="E30" s="38" t="s">
        <v>102</v>
      </c>
      <c r="F30" s="37">
        <v>3</v>
      </c>
      <c r="G30" s="37">
        <v>2</v>
      </c>
      <c r="H30" s="37">
        <v>0</v>
      </c>
      <c r="I30" s="37" t="s">
        <v>8</v>
      </c>
      <c r="J30" s="37" t="s">
        <v>1448</v>
      </c>
      <c r="K30" s="39" t="s">
        <v>1205</v>
      </c>
      <c r="L30" s="40"/>
      <c r="M30" s="40"/>
      <c r="N30" s="37"/>
      <c r="O30" s="36"/>
      <c r="P30" s="42"/>
      <c r="Q30" s="40"/>
      <c r="R30" s="39" t="s">
        <v>1210</v>
      </c>
      <c r="S30" s="44" t="s">
        <v>67</v>
      </c>
      <c r="T30" s="3" t="s">
        <v>1447</v>
      </c>
    </row>
    <row r="31" spans="1:20" x14ac:dyDescent="0.35">
      <c r="A31" s="33">
        <v>30007388</v>
      </c>
      <c r="B31" s="36" t="s">
        <v>816</v>
      </c>
      <c r="C31" s="37" t="s">
        <v>86</v>
      </c>
      <c r="D31" s="38"/>
      <c r="E31" s="38" t="s">
        <v>102</v>
      </c>
      <c r="F31" s="37">
        <v>3</v>
      </c>
      <c r="G31" s="37">
        <v>2</v>
      </c>
      <c r="H31" s="37">
        <v>5</v>
      </c>
      <c r="I31" s="37" t="s">
        <v>8</v>
      </c>
      <c r="J31" s="37" t="str">
        <f>IF(H31&lt;F31,"Bajo Stock","Stock OK")</f>
        <v>Stock OK</v>
      </c>
      <c r="K31" s="39" t="s">
        <v>1205</v>
      </c>
      <c r="L31" s="40"/>
      <c r="M31" s="40"/>
      <c r="N31" s="37"/>
      <c r="O31" s="36"/>
      <c r="P31" s="42"/>
      <c r="Q31" s="40"/>
      <c r="R31" s="39" t="s">
        <v>1210</v>
      </c>
      <c r="S31" s="44" t="s">
        <v>67</v>
      </c>
      <c r="T31" s="3" t="s">
        <v>1446</v>
      </c>
    </row>
    <row r="32" spans="1:20" x14ac:dyDescent="0.35">
      <c r="A32" s="33">
        <v>30007389</v>
      </c>
      <c r="B32" s="36" t="s">
        <v>817</v>
      </c>
      <c r="C32" s="37" t="s">
        <v>86</v>
      </c>
      <c r="D32" s="38"/>
      <c r="E32" s="38" t="s">
        <v>102</v>
      </c>
      <c r="F32" s="37">
        <v>4</v>
      </c>
      <c r="G32" s="37">
        <v>3</v>
      </c>
      <c r="H32" s="37">
        <v>0</v>
      </c>
      <c r="I32" s="37" t="s">
        <v>8</v>
      </c>
      <c r="J32" s="37" t="s">
        <v>1448</v>
      </c>
      <c r="K32" s="39" t="s">
        <v>1205</v>
      </c>
      <c r="L32" s="40"/>
      <c r="M32" s="40"/>
      <c r="N32" s="37"/>
      <c r="O32" s="36"/>
      <c r="P32" s="42"/>
      <c r="Q32" s="40"/>
      <c r="R32" s="39" t="s">
        <v>1210</v>
      </c>
      <c r="S32" s="44" t="s">
        <v>67</v>
      </c>
      <c r="T32" s="3" t="s">
        <v>1446</v>
      </c>
    </row>
    <row r="33" spans="1:20" x14ac:dyDescent="0.35">
      <c r="A33" s="33">
        <v>30007390</v>
      </c>
      <c r="B33" s="36" t="s">
        <v>818</v>
      </c>
      <c r="C33" s="37" t="s">
        <v>86</v>
      </c>
      <c r="D33" s="38"/>
      <c r="E33" s="38" t="s">
        <v>102</v>
      </c>
      <c r="F33" s="37">
        <v>3</v>
      </c>
      <c r="G33" s="37">
        <v>2</v>
      </c>
      <c r="H33" s="37">
        <v>0</v>
      </c>
      <c r="I33" s="37" t="s">
        <v>8</v>
      </c>
      <c r="J33" s="37" t="s">
        <v>1448</v>
      </c>
      <c r="K33" s="39" t="s">
        <v>1205</v>
      </c>
      <c r="L33" s="40"/>
      <c r="M33" s="40"/>
      <c r="N33" s="37"/>
      <c r="O33" s="36"/>
      <c r="P33" s="42"/>
      <c r="Q33" s="40"/>
      <c r="R33" s="39" t="s">
        <v>1210</v>
      </c>
      <c r="S33" s="44" t="s">
        <v>67</v>
      </c>
      <c r="T33" s="3" t="s">
        <v>1446</v>
      </c>
    </row>
    <row r="34" spans="1:20" x14ac:dyDescent="0.35">
      <c r="A34" s="33">
        <v>30007391</v>
      </c>
      <c r="B34" s="36" t="s">
        <v>819</v>
      </c>
      <c r="C34" s="37" t="s">
        <v>86</v>
      </c>
      <c r="D34" s="38"/>
      <c r="E34" s="38" t="s">
        <v>102</v>
      </c>
      <c r="F34" s="37">
        <v>3</v>
      </c>
      <c r="G34" s="37">
        <v>2</v>
      </c>
      <c r="H34" s="37">
        <v>1</v>
      </c>
      <c r="I34" s="37" t="s">
        <v>8</v>
      </c>
      <c r="J34" s="37" t="str">
        <f>IF(H34&lt;F34,"Bajo Stock","Stock OK")</f>
        <v>Bajo Stock</v>
      </c>
      <c r="K34" s="39" t="s">
        <v>1205</v>
      </c>
      <c r="L34" s="40"/>
      <c r="M34" s="40"/>
      <c r="N34" s="37"/>
      <c r="O34" s="36"/>
      <c r="P34" s="42"/>
      <c r="Q34" s="40"/>
      <c r="R34" s="39" t="s">
        <v>1210</v>
      </c>
      <c r="S34" s="44" t="s">
        <v>67</v>
      </c>
      <c r="T34" s="3" t="s">
        <v>1446</v>
      </c>
    </row>
    <row r="35" spans="1:20" x14ac:dyDescent="0.35">
      <c r="A35" s="33">
        <v>30007396</v>
      </c>
      <c r="B35" s="36" t="s">
        <v>873</v>
      </c>
      <c r="C35" s="37" t="s">
        <v>86</v>
      </c>
      <c r="D35" s="38"/>
      <c r="E35" s="38" t="s">
        <v>102</v>
      </c>
      <c r="F35" s="37">
        <v>2</v>
      </c>
      <c r="G35" s="37">
        <v>2</v>
      </c>
      <c r="H35" s="37">
        <v>0</v>
      </c>
      <c r="I35" s="37" t="s">
        <v>8</v>
      </c>
      <c r="J35" s="37" t="s">
        <v>1448</v>
      </c>
      <c r="K35" s="39" t="s">
        <v>1205</v>
      </c>
      <c r="L35" s="40"/>
      <c r="M35" s="40"/>
      <c r="N35" s="37"/>
      <c r="O35" s="36"/>
      <c r="P35" s="42"/>
      <c r="Q35" s="40"/>
      <c r="R35" s="39" t="s">
        <v>1210</v>
      </c>
      <c r="S35" s="44" t="s">
        <v>71</v>
      </c>
      <c r="T35" s="3" t="s">
        <v>1446</v>
      </c>
    </row>
    <row r="36" spans="1:20" x14ac:dyDescent="0.35">
      <c r="A36" s="33">
        <v>30007403</v>
      </c>
      <c r="B36" s="36" t="s">
        <v>1071</v>
      </c>
      <c r="C36" s="37" t="s">
        <v>86</v>
      </c>
      <c r="D36" s="38"/>
      <c r="E36" s="38" t="s">
        <v>102</v>
      </c>
      <c r="F36" s="37">
        <v>5</v>
      </c>
      <c r="G36" s="37">
        <v>4</v>
      </c>
      <c r="H36" s="37">
        <v>16</v>
      </c>
      <c r="I36" s="37" t="s">
        <v>8</v>
      </c>
      <c r="J36" s="37" t="str">
        <f t="shared" ref="J36:J39" si="2">IF(H36&lt;F36,"Bajo Stock","Stock OK")</f>
        <v>Stock OK</v>
      </c>
      <c r="K36" s="39" t="s">
        <v>1205</v>
      </c>
      <c r="L36" s="40"/>
      <c r="M36" s="40"/>
      <c r="N36" s="37"/>
      <c r="O36" s="36"/>
      <c r="P36" s="42"/>
      <c r="Q36" s="40"/>
      <c r="R36" s="39" t="s">
        <v>1210</v>
      </c>
      <c r="S36" s="44" t="s">
        <v>66</v>
      </c>
      <c r="T36" s="3" t="s">
        <v>1446</v>
      </c>
    </row>
    <row r="37" spans="1:20" x14ac:dyDescent="0.35">
      <c r="A37" s="33">
        <v>30007405</v>
      </c>
      <c r="B37" s="36" t="s">
        <v>822</v>
      </c>
      <c r="C37" s="37" t="s">
        <v>86</v>
      </c>
      <c r="D37" s="38"/>
      <c r="E37" s="38" t="s">
        <v>102</v>
      </c>
      <c r="F37" s="37">
        <v>7</v>
      </c>
      <c r="G37" s="37">
        <v>6</v>
      </c>
      <c r="H37" s="37">
        <v>7</v>
      </c>
      <c r="I37" s="37" t="s">
        <v>8</v>
      </c>
      <c r="J37" s="37" t="str">
        <f t="shared" si="2"/>
        <v>Stock OK</v>
      </c>
      <c r="K37" s="39" t="s">
        <v>1205</v>
      </c>
      <c r="L37" s="40"/>
      <c r="M37" s="40"/>
      <c r="N37" s="37"/>
      <c r="O37" s="36"/>
      <c r="P37" s="42"/>
      <c r="Q37" s="40"/>
      <c r="R37" s="39" t="s">
        <v>1210</v>
      </c>
      <c r="S37" s="44" t="s">
        <v>67</v>
      </c>
      <c r="T37" s="3" t="s">
        <v>1446</v>
      </c>
    </row>
    <row r="38" spans="1:20" x14ac:dyDescent="0.35">
      <c r="A38" s="33">
        <v>30007406</v>
      </c>
      <c r="B38" s="36" t="s">
        <v>823</v>
      </c>
      <c r="C38" s="37" t="s">
        <v>86</v>
      </c>
      <c r="D38" s="38"/>
      <c r="E38" s="38" t="s">
        <v>102</v>
      </c>
      <c r="F38" s="37">
        <v>3</v>
      </c>
      <c r="G38" s="37">
        <v>2</v>
      </c>
      <c r="H38" s="37">
        <v>2</v>
      </c>
      <c r="I38" s="37" t="s">
        <v>8</v>
      </c>
      <c r="J38" s="37" t="str">
        <f t="shared" si="2"/>
        <v>Bajo Stock</v>
      </c>
      <c r="K38" s="39" t="s">
        <v>1205</v>
      </c>
      <c r="L38" s="40"/>
      <c r="M38" s="40"/>
      <c r="N38" s="37"/>
      <c r="O38" s="36"/>
      <c r="P38" s="42"/>
      <c r="Q38" s="40"/>
      <c r="R38" s="39" t="s">
        <v>1210</v>
      </c>
      <c r="S38" s="44" t="s">
        <v>67</v>
      </c>
      <c r="T38" s="3" t="s">
        <v>1446</v>
      </c>
    </row>
    <row r="39" spans="1:20" x14ac:dyDescent="0.35">
      <c r="A39" s="33">
        <v>30007407</v>
      </c>
      <c r="B39" s="36" t="s">
        <v>824</v>
      </c>
      <c r="C39" s="37" t="s">
        <v>86</v>
      </c>
      <c r="D39" s="38"/>
      <c r="E39" s="38" t="s">
        <v>102</v>
      </c>
      <c r="F39" s="37">
        <v>3</v>
      </c>
      <c r="G39" s="37">
        <v>2</v>
      </c>
      <c r="H39" s="37">
        <v>2</v>
      </c>
      <c r="I39" s="37" t="s">
        <v>8</v>
      </c>
      <c r="J39" s="37" t="str">
        <f t="shared" si="2"/>
        <v>Bajo Stock</v>
      </c>
      <c r="K39" s="39" t="s">
        <v>1205</v>
      </c>
      <c r="L39" s="40"/>
      <c r="M39" s="40"/>
      <c r="N39" s="37"/>
      <c r="O39" s="36"/>
      <c r="P39" s="42"/>
      <c r="Q39" s="40"/>
      <c r="R39" s="39" t="s">
        <v>1210</v>
      </c>
      <c r="S39" s="44" t="s">
        <v>67</v>
      </c>
      <c r="T39" s="3" t="s">
        <v>1446</v>
      </c>
    </row>
    <row r="40" spans="1:20" x14ac:dyDescent="0.35">
      <c r="A40" s="33">
        <v>30007410</v>
      </c>
      <c r="B40" s="36" t="s">
        <v>825</v>
      </c>
      <c r="C40" s="37" t="s">
        <v>86</v>
      </c>
      <c r="D40" s="38"/>
      <c r="E40" s="38" t="s">
        <v>102</v>
      </c>
      <c r="F40" s="37">
        <v>3</v>
      </c>
      <c r="G40" s="37">
        <v>2</v>
      </c>
      <c r="H40" s="37">
        <v>0</v>
      </c>
      <c r="I40" s="37" t="s">
        <v>8</v>
      </c>
      <c r="J40" s="37" t="s">
        <v>1448</v>
      </c>
      <c r="K40" s="39" t="s">
        <v>1205</v>
      </c>
      <c r="L40" s="40"/>
      <c r="M40" s="40"/>
      <c r="N40" s="37"/>
      <c r="O40" s="36"/>
      <c r="P40" s="42"/>
      <c r="Q40" s="40"/>
      <c r="R40" s="39" t="s">
        <v>1210</v>
      </c>
      <c r="S40" s="44" t="s">
        <v>67</v>
      </c>
      <c r="T40" s="3" t="s">
        <v>1447</v>
      </c>
    </row>
    <row r="41" spans="1:20" x14ac:dyDescent="0.35">
      <c r="A41" s="33">
        <v>30007413</v>
      </c>
      <c r="B41" s="36" t="s">
        <v>1142</v>
      </c>
      <c r="C41" s="37" t="s">
        <v>86</v>
      </c>
      <c r="D41" s="38"/>
      <c r="E41" s="38" t="s">
        <v>102</v>
      </c>
      <c r="F41" s="37">
        <v>24</v>
      </c>
      <c r="G41" s="37">
        <v>24</v>
      </c>
      <c r="H41" s="37">
        <v>25</v>
      </c>
      <c r="I41" s="37" t="s">
        <v>8</v>
      </c>
      <c r="J41" s="37" t="str">
        <f t="shared" ref="J41:J42" si="3">IF(H41&lt;F41,"Bajo Stock","Stock OK")</f>
        <v>Stock OK</v>
      </c>
      <c r="K41" s="39" t="s">
        <v>1205</v>
      </c>
      <c r="L41" s="40"/>
      <c r="M41" s="40"/>
      <c r="N41" s="37"/>
      <c r="O41" s="36"/>
      <c r="P41" s="42"/>
      <c r="Q41" s="40"/>
      <c r="R41" s="39" t="s">
        <v>1210</v>
      </c>
      <c r="S41" s="44" t="s">
        <v>66</v>
      </c>
      <c r="T41" s="3" t="s">
        <v>1446</v>
      </c>
    </row>
    <row r="42" spans="1:20" x14ac:dyDescent="0.35">
      <c r="A42" s="33">
        <v>30007424</v>
      </c>
      <c r="B42" s="36" t="s">
        <v>828</v>
      </c>
      <c r="C42" s="37" t="s">
        <v>86</v>
      </c>
      <c r="D42" s="38"/>
      <c r="E42" s="38" t="s">
        <v>102</v>
      </c>
      <c r="F42" s="37">
        <v>4</v>
      </c>
      <c r="G42" s="37">
        <v>3</v>
      </c>
      <c r="H42" s="37">
        <v>1</v>
      </c>
      <c r="I42" s="37" t="s">
        <v>8</v>
      </c>
      <c r="J42" s="37" t="str">
        <f t="shared" si="3"/>
        <v>Bajo Stock</v>
      </c>
      <c r="K42" s="39" t="s">
        <v>1205</v>
      </c>
      <c r="L42" s="40"/>
      <c r="M42" s="40"/>
      <c r="N42" s="37"/>
      <c r="O42" s="36"/>
      <c r="P42" s="42"/>
      <c r="Q42" s="40"/>
      <c r="R42" s="39" t="s">
        <v>1210</v>
      </c>
      <c r="S42" s="44" t="s">
        <v>67</v>
      </c>
      <c r="T42" s="3" t="s">
        <v>1446</v>
      </c>
    </row>
    <row r="43" spans="1:20" x14ac:dyDescent="0.35">
      <c r="A43" s="33">
        <v>30007425</v>
      </c>
      <c r="B43" s="36" t="s">
        <v>829</v>
      </c>
      <c r="C43" s="37" t="s">
        <v>86</v>
      </c>
      <c r="D43" s="38"/>
      <c r="E43" s="38" t="s">
        <v>102</v>
      </c>
      <c r="F43" s="37">
        <v>3</v>
      </c>
      <c r="G43" s="37">
        <v>2</v>
      </c>
      <c r="H43" s="37">
        <v>0</v>
      </c>
      <c r="I43" s="37" t="s">
        <v>8</v>
      </c>
      <c r="J43" s="37" t="s">
        <v>1448</v>
      </c>
      <c r="K43" s="39" t="s">
        <v>1205</v>
      </c>
      <c r="L43" s="40"/>
      <c r="M43" s="40"/>
      <c r="N43" s="37"/>
      <c r="O43" s="36"/>
      <c r="P43" s="42"/>
      <c r="Q43" s="40"/>
      <c r="R43" s="39" t="s">
        <v>1210</v>
      </c>
      <c r="S43" s="44" t="s">
        <v>67</v>
      </c>
      <c r="T43" s="3" t="s">
        <v>1447</v>
      </c>
    </row>
    <row r="44" spans="1:20" x14ac:dyDescent="0.35">
      <c r="A44" s="33">
        <v>30007430</v>
      </c>
      <c r="B44" s="36" t="s">
        <v>830</v>
      </c>
      <c r="C44" s="37" t="s">
        <v>86</v>
      </c>
      <c r="D44" s="38"/>
      <c r="E44" s="38" t="s">
        <v>102</v>
      </c>
      <c r="F44" s="37">
        <v>2</v>
      </c>
      <c r="G44" s="37">
        <v>2</v>
      </c>
      <c r="H44" s="37">
        <v>0</v>
      </c>
      <c r="I44" s="37" t="s">
        <v>8</v>
      </c>
      <c r="J44" s="37" t="s">
        <v>1448</v>
      </c>
      <c r="K44" s="39" t="s">
        <v>1205</v>
      </c>
      <c r="L44" s="40"/>
      <c r="M44" s="40"/>
      <c r="N44" s="37"/>
      <c r="O44" s="36"/>
      <c r="P44" s="42"/>
      <c r="Q44" s="40"/>
      <c r="R44" s="39" t="s">
        <v>1210</v>
      </c>
      <c r="S44" s="44" t="s">
        <v>67</v>
      </c>
      <c r="T44" s="3" t="s">
        <v>1447</v>
      </c>
    </row>
    <row r="45" spans="1:20" x14ac:dyDescent="0.35">
      <c r="A45" s="33">
        <v>30007431</v>
      </c>
      <c r="B45" s="36" t="s">
        <v>831</v>
      </c>
      <c r="C45" s="37" t="s">
        <v>86</v>
      </c>
      <c r="D45" s="38"/>
      <c r="E45" s="38" t="s">
        <v>102</v>
      </c>
      <c r="F45" s="37">
        <v>3</v>
      </c>
      <c r="G45" s="37">
        <v>2</v>
      </c>
      <c r="H45" s="37">
        <v>3</v>
      </c>
      <c r="I45" s="37" t="s">
        <v>8</v>
      </c>
      <c r="J45" s="37" t="str">
        <f t="shared" ref="J45:J48" si="4">IF(H45&lt;F45,"Bajo Stock","Stock OK")</f>
        <v>Stock OK</v>
      </c>
      <c r="K45" s="39" t="s">
        <v>1205</v>
      </c>
      <c r="L45" s="40"/>
      <c r="M45" s="40"/>
      <c r="N45" s="37"/>
      <c r="O45" s="36"/>
      <c r="P45" s="42"/>
      <c r="Q45" s="40"/>
      <c r="R45" s="39" t="s">
        <v>1210</v>
      </c>
      <c r="S45" s="44" t="s">
        <v>67</v>
      </c>
      <c r="T45" s="3" t="s">
        <v>1446</v>
      </c>
    </row>
    <row r="46" spans="1:20" x14ac:dyDescent="0.35">
      <c r="A46" s="33">
        <v>30007432</v>
      </c>
      <c r="B46" s="36" t="s">
        <v>832</v>
      </c>
      <c r="C46" s="37" t="s">
        <v>86</v>
      </c>
      <c r="D46" s="38"/>
      <c r="E46" s="38" t="s">
        <v>102</v>
      </c>
      <c r="F46" s="37">
        <v>3</v>
      </c>
      <c r="G46" s="37">
        <v>2</v>
      </c>
      <c r="H46" s="37">
        <v>15</v>
      </c>
      <c r="I46" s="37" t="s">
        <v>8</v>
      </c>
      <c r="J46" s="37" t="str">
        <f t="shared" si="4"/>
        <v>Stock OK</v>
      </c>
      <c r="K46" s="39" t="s">
        <v>1205</v>
      </c>
      <c r="L46" s="40"/>
      <c r="M46" s="40"/>
      <c r="N46" s="37"/>
      <c r="O46" s="36"/>
      <c r="P46" s="42"/>
      <c r="Q46" s="40"/>
      <c r="R46" s="39" t="s">
        <v>1210</v>
      </c>
      <c r="S46" s="44" t="s">
        <v>67</v>
      </c>
      <c r="T46" s="3" t="s">
        <v>1446</v>
      </c>
    </row>
    <row r="47" spans="1:20" x14ac:dyDescent="0.35">
      <c r="A47" s="33">
        <v>30007435</v>
      </c>
      <c r="B47" s="36" t="s">
        <v>835</v>
      </c>
      <c r="C47" s="37" t="s">
        <v>86</v>
      </c>
      <c r="D47" s="38"/>
      <c r="E47" s="38" t="s">
        <v>102</v>
      </c>
      <c r="F47" s="37">
        <v>4</v>
      </c>
      <c r="G47" s="37">
        <v>4</v>
      </c>
      <c r="H47" s="37">
        <v>5</v>
      </c>
      <c r="I47" s="37" t="s">
        <v>8</v>
      </c>
      <c r="J47" s="37" t="str">
        <f t="shared" si="4"/>
        <v>Stock OK</v>
      </c>
      <c r="K47" s="39" t="s">
        <v>1205</v>
      </c>
      <c r="L47" s="40"/>
      <c r="M47" s="40"/>
      <c r="N47" s="37"/>
      <c r="O47" s="36"/>
      <c r="P47" s="42"/>
      <c r="Q47" s="40"/>
      <c r="R47" s="39" t="s">
        <v>1210</v>
      </c>
      <c r="S47" s="44" t="s">
        <v>67</v>
      </c>
      <c r="T47" s="3" t="s">
        <v>1446</v>
      </c>
    </row>
    <row r="48" spans="1:20" x14ac:dyDescent="0.35">
      <c r="A48" s="33">
        <v>30007436</v>
      </c>
      <c r="B48" s="36" t="s">
        <v>836</v>
      </c>
      <c r="C48" s="37" t="s">
        <v>86</v>
      </c>
      <c r="D48" s="38"/>
      <c r="E48" s="38" t="s">
        <v>102</v>
      </c>
      <c r="F48" s="37">
        <v>3</v>
      </c>
      <c r="G48" s="37">
        <v>2</v>
      </c>
      <c r="H48" s="37">
        <v>3</v>
      </c>
      <c r="I48" s="37" t="s">
        <v>8</v>
      </c>
      <c r="J48" s="37" t="str">
        <f t="shared" si="4"/>
        <v>Stock OK</v>
      </c>
      <c r="K48" s="39" t="s">
        <v>1205</v>
      </c>
      <c r="L48" s="40"/>
      <c r="M48" s="40"/>
      <c r="N48" s="37"/>
      <c r="O48" s="36"/>
      <c r="P48" s="42"/>
      <c r="Q48" s="40"/>
      <c r="R48" s="39" t="s">
        <v>1210</v>
      </c>
      <c r="S48" s="44" t="s">
        <v>67</v>
      </c>
      <c r="T48" s="3" t="s">
        <v>1446</v>
      </c>
    </row>
    <row r="49" spans="1:20" x14ac:dyDescent="0.35">
      <c r="A49" s="33">
        <v>30007440</v>
      </c>
      <c r="B49" s="36" t="s">
        <v>838</v>
      </c>
      <c r="C49" s="37" t="s">
        <v>86</v>
      </c>
      <c r="D49" s="38"/>
      <c r="E49" s="38" t="s">
        <v>102</v>
      </c>
      <c r="F49" s="37">
        <v>2</v>
      </c>
      <c r="G49" s="37">
        <v>2</v>
      </c>
      <c r="H49" s="37">
        <v>0</v>
      </c>
      <c r="I49" s="37" t="s">
        <v>8</v>
      </c>
      <c r="J49" s="37" t="s">
        <v>1448</v>
      </c>
      <c r="K49" s="39" t="s">
        <v>1205</v>
      </c>
      <c r="L49" s="40"/>
      <c r="M49" s="40"/>
      <c r="N49" s="37"/>
      <c r="O49" s="36"/>
      <c r="P49" s="42"/>
      <c r="Q49" s="40"/>
      <c r="R49" s="39" t="s">
        <v>1210</v>
      </c>
      <c r="S49" s="44" t="s">
        <v>67</v>
      </c>
      <c r="T49" s="3" t="s">
        <v>1446</v>
      </c>
    </row>
    <row r="50" spans="1:20" x14ac:dyDescent="0.35">
      <c r="A50" s="33">
        <v>30007441</v>
      </c>
      <c r="B50" s="36" t="s">
        <v>839</v>
      </c>
      <c r="C50" s="37" t="s">
        <v>86</v>
      </c>
      <c r="D50" s="38"/>
      <c r="E50" s="38" t="s">
        <v>102</v>
      </c>
      <c r="F50" s="37">
        <v>2</v>
      </c>
      <c r="G50" s="37">
        <v>2</v>
      </c>
      <c r="H50" s="37">
        <v>1</v>
      </c>
      <c r="I50" s="37" t="s">
        <v>8</v>
      </c>
      <c r="J50" s="37" t="str">
        <f t="shared" ref="J50:J52" si="5">IF(H50&lt;F50,"Bajo Stock","Stock OK")</f>
        <v>Bajo Stock</v>
      </c>
      <c r="K50" s="39" t="s">
        <v>1205</v>
      </c>
      <c r="L50" s="40"/>
      <c r="M50" s="40"/>
      <c r="N50" s="37"/>
      <c r="O50" s="36"/>
      <c r="P50" s="42"/>
      <c r="Q50" s="40"/>
      <c r="R50" s="39" t="s">
        <v>1210</v>
      </c>
      <c r="S50" s="44" t="s">
        <v>67</v>
      </c>
      <c r="T50" s="3" t="s">
        <v>1446</v>
      </c>
    </row>
    <row r="51" spans="1:20" x14ac:dyDescent="0.35">
      <c r="A51" s="33">
        <v>30007444</v>
      </c>
      <c r="B51" s="36" t="s">
        <v>841</v>
      </c>
      <c r="C51" s="37" t="s">
        <v>86</v>
      </c>
      <c r="D51" s="38"/>
      <c r="E51" s="38" t="s">
        <v>102</v>
      </c>
      <c r="F51" s="37">
        <v>2</v>
      </c>
      <c r="G51" s="37">
        <v>2</v>
      </c>
      <c r="H51" s="37">
        <v>1</v>
      </c>
      <c r="I51" s="37" t="s">
        <v>8</v>
      </c>
      <c r="J51" s="37" t="str">
        <f t="shared" si="5"/>
        <v>Bajo Stock</v>
      </c>
      <c r="K51" s="39" t="s">
        <v>1205</v>
      </c>
      <c r="L51" s="40"/>
      <c r="M51" s="40"/>
      <c r="N51" s="37"/>
      <c r="O51" s="36"/>
      <c r="P51" s="42"/>
      <c r="Q51" s="40"/>
      <c r="R51" s="39" t="s">
        <v>1210</v>
      </c>
      <c r="S51" s="44" t="s">
        <v>67</v>
      </c>
      <c r="T51" s="3" t="s">
        <v>1446</v>
      </c>
    </row>
    <row r="52" spans="1:20" x14ac:dyDescent="0.35">
      <c r="A52" s="33">
        <v>30008664</v>
      </c>
      <c r="B52" s="36" t="s">
        <v>1072</v>
      </c>
      <c r="C52" s="37" t="s">
        <v>86</v>
      </c>
      <c r="D52" s="38"/>
      <c r="E52" s="38" t="s">
        <v>102</v>
      </c>
      <c r="F52" s="37">
        <v>113</v>
      </c>
      <c r="G52" s="37">
        <v>112</v>
      </c>
      <c r="H52" s="37">
        <v>60</v>
      </c>
      <c r="I52" s="37" t="s">
        <v>8</v>
      </c>
      <c r="J52" s="37" t="str">
        <f t="shared" si="5"/>
        <v>Bajo Stock</v>
      </c>
      <c r="K52" s="39" t="s">
        <v>1205</v>
      </c>
      <c r="L52" s="40"/>
      <c r="M52" s="40"/>
      <c r="N52" s="37"/>
      <c r="O52" s="36"/>
      <c r="P52" s="42"/>
      <c r="Q52" s="40"/>
      <c r="R52" s="39" t="s">
        <v>1210</v>
      </c>
      <c r="S52" s="44" t="s">
        <v>71</v>
      </c>
      <c r="T52" s="3" t="s">
        <v>1446</v>
      </c>
    </row>
    <row r="53" spans="1:20" x14ac:dyDescent="0.35">
      <c r="A53" s="33">
        <v>30008667</v>
      </c>
      <c r="B53" s="36" t="s">
        <v>876</v>
      </c>
      <c r="C53" s="37" t="s">
        <v>86</v>
      </c>
      <c r="D53" s="38"/>
      <c r="E53" s="38" t="s">
        <v>102</v>
      </c>
      <c r="F53" s="37">
        <v>2</v>
      </c>
      <c r="G53" s="37">
        <v>2</v>
      </c>
      <c r="H53" s="37">
        <v>0</v>
      </c>
      <c r="I53" s="37" t="s">
        <v>8</v>
      </c>
      <c r="J53" s="37" t="s">
        <v>1448</v>
      </c>
      <c r="K53" s="39" t="s">
        <v>1205</v>
      </c>
      <c r="L53" s="40"/>
      <c r="M53" s="40"/>
      <c r="N53" s="37"/>
      <c r="O53" s="36"/>
      <c r="P53" s="42"/>
      <c r="Q53" s="40"/>
      <c r="R53" s="39" t="s">
        <v>1210</v>
      </c>
      <c r="S53" s="44" t="s">
        <v>71</v>
      </c>
      <c r="T53" s="3" t="s">
        <v>1446</v>
      </c>
    </row>
    <row r="54" spans="1:20" x14ac:dyDescent="0.35">
      <c r="A54" s="33">
        <v>30008668</v>
      </c>
      <c r="B54" s="36" t="s">
        <v>877</v>
      </c>
      <c r="C54" s="37" t="s">
        <v>86</v>
      </c>
      <c r="D54" s="38"/>
      <c r="E54" s="38" t="s">
        <v>102</v>
      </c>
      <c r="F54" s="37">
        <v>2</v>
      </c>
      <c r="G54" s="37">
        <v>2</v>
      </c>
      <c r="H54" s="37">
        <v>0</v>
      </c>
      <c r="I54" s="37" t="s">
        <v>8</v>
      </c>
      <c r="J54" s="37" t="s">
        <v>1448</v>
      </c>
      <c r="K54" s="39" t="s">
        <v>1205</v>
      </c>
      <c r="L54" s="40"/>
      <c r="M54" s="40"/>
      <c r="N54" s="37"/>
      <c r="O54" s="36"/>
      <c r="P54" s="42"/>
      <c r="Q54" s="40"/>
      <c r="R54" s="39" t="s">
        <v>1210</v>
      </c>
      <c r="S54" s="44" t="s">
        <v>71</v>
      </c>
      <c r="T54" s="3" t="s">
        <v>1446</v>
      </c>
    </row>
    <row r="55" spans="1:20" x14ac:dyDescent="0.35">
      <c r="A55" s="33">
        <v>30008678</v>
      </c>
      <c r="B55" s="36" t="s">
        <v>878</v>
      </c>
      <c r="C55" s="37" t="s">
        <v>86</v>
      </c>
      <c r="D55" s="38"/>
      <c r="E55" s="38" t="s">
        <v>102</v>
      </c>
      <c r="F55" s="37">
        <v>2</v>
      </c>
      <c r="G55" s="37">
        <v>2</v>
      </c>
      <c r="H55" s="37">
        <v>0</v>
      </c>
      <c r="I55" s="37" t="s">
        <v>8</v>
      </c>
      <c r="J55" s="37" t="s">
        <v>1448</v>
      </c>
      <c r="K55" s="39" t="s">
        <v>1205</v>
      </c>
      <c r="L55" s="40"/>
      <c r="M55" s="40"/>
      <c r="N55" s="37"/>
      <c r="O55" s="36"/>
      <c r="P55" s="42"/>
      <c r="Q55" s="40"/>
      <c r="R55" s="39" t="s">
        <v>1210</v>
      </c>
      <c r="S55" s="44" t="s">
        <v>71</v>
      </c>
      <c r="T55" s="3" t="s">
        <v>1446</v>
      </c>
    </row>
    <row r="56" spans="1:20" x14ac:dyDescent="0.35">
      <c r="A56" s="33">
        <v>30008684</v>
      </c>
      <c r="B56" s="36" t="s">
        <v>879</v>
      </c>
      <c r="C56" s="37" t="s">
        <v>86</v>
      </c>
      <c r="D56" s="38"/>
      <c r="E56" s="38" t="s">
        <v>102</v>
      </c>
      <c r="F56" s="37">
        <v>41</v>
      </c>
      <c r="G56" s="37">
        <v>40</v>
      </c>
      <c r="H56" s="37">
        <v>0</v>
      </c>
      <c r="I56" s="37" t="s">
        <v>8</v>
      </c>
      <c r="J56" s="37" t="s">
        <v>1448</v>
      </c>
      <c r="K56" s="39" t="s">
        <v>1205</v>
      </c>
      <c r="L56" s="40"/>
      <c r="M56" s="40"/>
      <c r="N56" s="37"/>
      <c r="O56" s="36"/>
      <c r="P56" s="42"/>
      <c r="Q56" s="40"/>
      <c r="R56" s="39" t="s">
        <v>1210</v>
      </c>
      <c r="S56" s="44" t="s">
        <v>71</v>
      </c>
      <c r="T56" s="3" t="s">
        <v>1446</v>
      </c>
    </row>
    <row r="57" spans="1:20" x14ac:dyDescent="0.35">
      <c r="A57" s="33">
        <v>30008685</v>
      </c>
      <c r="B57" s="36" t="s">
        <v>880</v>
      </c>
      <c r="C57" s="37" t="s">
        <v>86</v>
      </c>
      <c r="D57" s="38"/>
      <c r="E57" s="38" t="s">
        <v>102</v>
      </c>
      <c r="F57" s="37">
        <v>21</v>
      </c>
      <c r="G57" s="37">
        <v>20</v>
      </c>
      <c r="H57" s="37">
        <v>0</v>
      </c>
      <c r="I57" s="37" t="s">
        <v>8</v>
      </c>
      <c r="J57" s="37" t="s">
        <v>1448</v>
      </c>
      <c r="K57" s="39" t="s">
        <v>1205</v>
      </c>
      <c r="L57" s="40"/>
      <c r="M57" s="40"/>
      <c r="N57" s="37"/>
      <c r="O57" s="36"/>
      <c r="P57" s="42"/>
      <c r="Q57" s="40"/>
      <c r="R57" s="39" t="s">
        <v>1210</v>
      </c>
      <c r="S57" s="44" t="s">
        <v>71</v>
      </c>
      <c r="T57" s="3" t="s">
        <v>1446</v>
      </c>
    </row>
    <row r="58" spans="1:20" x14ac:dyDescent="0.35">
      <c r="A58" s="33">
        <v>30008686</v>
      </c>
      <c r="B58" s="36" t="s">
        <v>881</v>
      </c>
      <c r="C58" s="37" t="s">
        <v>86</v>
      </c>
      <c r="D58" s="38"/>
      <c r="E58" s="38" t="s">
        <v>102</v>
      </c>
      <c r="F58" s="37">
        <v>1</v>
      </c>
      <c r="G58" s="37">
        <v>2</v>
      </c>
      <c r="H58" s="37">
        <v>0</v>
      </c>
      <c r="I58" s="37" t="s">
        <v>8</v>
      </c>
      <c r="J58" s="37" t="s">
        <v>1448</v>
      </c>
      <c r="K58" s="39" t="s">
        <v>1205</v>
      </c>
      <c r="L58" s="40"/>
      <c r="M58" s="40"/>
      <c r="N58" s="37"/>
      <c r="O58" s="36"/>
      <c r="P58" s="42"/>
      <c r="Q58" s="40"/>
      <c r="R58" s="39" t="s">
        <v>1210</v>
      </c>
      <c r="S58" s="44" t="s">
        <v>71</v>
      </c>
      <c r="T58" s="3" t="s">
        <v>1447</v>
      </c>
    </row>
    <row r="59" spans="1:20" x14ac:dyDescent="0.35">
      <c r="A59" s="33">
        <v>30008693</v>
      </c>
      <c r="B59" s="36" t="s">
        <v>1022</v>
      </c>
      <c r="C59" s="37" t="s">
        <v>86</v>
      </c>
      <c r="D59" s="38"/>
      <c r="E59" s="38" t="s">
        <v>102</v>
      </c>
      <c r="F59" s="37">
        <v>13</v>
      </c>
      <c r="G59" s="37">
        <v>12</v>
      </c>
      <c r="H59" s="37">
        <v>14</v>
      </c>
      <c r="I59" s="37" t="s">
        <v>8</v>
      </c>
      <c r="J59" s="37" t="str">
        <f>IF(H59&lt;F59,"Bajo Stock","Stock OK")</f>
        <v>Stock OK</v>
      </c>
      <c r="K59" s="39" t="s">
        <v>1205</v>
      </c>
      <c r="L59" s="40"/>
      <c r="M59" s="40"/>
      <c r="N59" s="37"/>
      <c r="O59" s="36"/>
      <c r="P59" s="42"/>
      <c r="Q59" s="40"/>
      <c r="R59" s="39" t="s">
        <v>1210</v>
      </c>
      <c r="S59" s="44" t="s">
        <v>71</v>
      </c>
      <c r="T59" s="3" t="s">
        <v>1446</v>
      </c>
    </row>
    <row r="60" spans="1:20" x14ac:dyDescent="0.35">
      <c r="A60" s="33">
        <v>30008705</v>
      </c>
      <c r="B60" s="36" t="s">
        <v>882</v>
      </c>
      <c r="C60" s="37" t="s">
        <v>86</v>
      </c>
      <c r="D60" s="38"/>
      <c r="E60" s="38" t="s">
        <v>102</v>
      </c>
      <c r="F60" s="37">
        <v>2</v>
      </c>
      <c r="G60" s="37">
        <v>1</v>
      </c>
      <c r="H60" s="37">
        <v>0</v>
      </c>
      <c r="I60" s="37" t="s">
        <v>8</v>
      </c>
      <c r="J60" s="37" t="s">
        <v>1448</v>
      </c>
      <c r="K60" s="39" t="s">
        <v>1205</v>
      </c>
      <c r="L60" s="40"/>
      <c r="M60" s="40"/>
      <c r="N60" s="37"/>
      <c r="O60" s="36"/>
      <c r="P60" s="42"/>
      <c r="Q60" s="40"/>
      <c r="R60" s="39" t="s">
        <v>1210</v>
      </c>
      <c r="S60" s="44" t="s">
        <v>71</v>
      </c>
      <c r="T60" s="3" t="s">
        <v>1446</v>
      </c>
    </row>
    <row r="61" spans="1:20" x14ac:dyDescent="0.35">
      <c r="A61" s="33">
        <v>30008707</v>
      </c>
      <c r="B61" s="36" t="s">
        <v>1023</v>
      </c>
      <c r="C61" s="37" t="s">
        <v>86</v>
      </c>
      <c r="D61" s="38"/>
      <c r="E61" s="38" t="s">
        <v>102</v>
      </c>
      <c r="F61" s="37">
        <v>2</v>
      </c>
      <c r="G61" s="37">
        <v>2</v>
      </c>
      <c r="H61" s="37">
        <v>2</v>
      </c>
      <c r="I61" s="37" t="s">
        <v>8</v>
      </c>
      <c r="J61" s="37" t="str">
        <f>IF(H61&lt;F61,"Bajo Stock","Stock OK")</f>
        <v>Stock OK</v>
      </c>
      <c r="K61" s="39" t="s">
        <v>1205</v>
      </c>
      <c r="L61" s="40"/>
      <c r="M61" s="40"/>
      <c r="N61" s="37"/>
      <c r="O61" s="36"/>
      <c r="P61" s="42"/>
      <c r="Q61" s="40"/>
      <c r="R61" s="39" t="s">
        <v>1210</v>
      </c>
      <c r="S61" s="44" t="s">
        <v>71</v>
      </c>
      <c r="T61" s="3" t="s">
        <v>1446</v>
      </c>
    </row>
    <row r="62" spans="1:20" x14ac:dyDescent="0.35">
      <c r="A62" s="33">
        <v>30008708</v>
      </c>
      <c r="B62" s="36" t="s">
        <v>883</v>
      </c>
      <c r="C62" s="37" t="s">
        <v>86</v>
      </c>
      <c r="D62" s="38"/>
      <c r="E62" s="38" t="s">
        <v>102</v>
      </c>
      <c r="F62" s="37">
        <v>2</v>
      </c>
      <c r="G62" s="37">
        <v>2</v>
      </c>
      <c r="H62" s="37">
        <v>0</v>
      </c>
      <c r="I62" s="37" t="s">
        <v>8</v>
      </c>
      <c r="J62" s="37" t="s">
        <v>1448</v>
      </c>
      <c r="K62" s="39" t="s">
        <v>1205</v>
      </c>
      <c r="L62" s="40"/>
      <c r="M62" s="40"/>
      <c r="N62" s="37"/>
      <c r="O62" s="36"/>
      <c r="P62" s="42"/>
      <c r="Q62" s="40"/>
      <c r="R62" s="39" t="s">
        <v>1210</v>
      </c>
      <c r="S62" s="44" t="s">
        <v>71</v>
      </c>
      <c r="T62" s="3" t="s">
        <v>1446</v>
      </c>
    </row>
    <row r="63" spans="1:20" x14ac:dyDescent="0.35">
      <c r="A63" s="33">
        <v>30008726</v>
      </c>
      <c r="B63" s="36" t="s">
        <v>1024</v>
      </c>
      <c r="C63" s="37" t="s">
        <v>86</v>
      </c>
      <c r="D63" s="38"/>
      <c r="E63" s="38" t="s">
        <v>102</v>
      </c>
      <c r="F63" s="37">
        <v>3</v>
      </c>
      <c r="G63" s="37">
        <v>2</v>
      </c>
      <c r="H63" s="37">
        <v>4</v>
      </c>
      <c r="I63" s="37" t="s">
        <v>8</v>
      </c>
      <c r="J63" s="37" t="str">
        <f t="shared" ref="J63:J67" si="6">IF(H63&lt;F63,"Bajo Stock","Stock OK")</f>
        <v>Stock OK</v>
      </c>
      <c r="K63" s="39" t="s">
        <v>1205</v>
      </c>
      <c r="L63" s="40"/>
      <c r="M63" s="40"/>
      <c r="N63" s="37"/>
      <c r="O63" s="36"/>
      <c r="P63" s="42"/>
      <c r="Q63" s="40"/>
      <c r="R63" s="39" t="s">
        <v>1210</v>
      </c>
      <c r="S63" s="44" t="s">
        <v>71</v>
      </c>
      <c r="T63" s="3" t="s">
        <v>1446</v>
      </c>
    </row>
    <row r="64" spans="1:20" x14ac:dyDescent="0.35">
      <c r="A64" s="33">
        <v>30008730</v>
      </c>
      <c r="B64" s="36" t="s">
        <v>1025</v>
      </c>
      <c r="C64" s="37" t="s">
        <v>86</v>
      </c>
      <c r="D64" s="38"/>
      <c r="E64" s="38" t="s">
        <v>102</v>
      </c>
      <c r="F64" s="37">
        <v>5</v>
      </c>
      <c r="G64" s="37">
        <v>4</v>
      </c>
      <c r="H64" s="37">
        <v>4</v>
      </c>
      <c r="I64" s="37" t="s">
        <v>8</v>
      </c>
      <c r="J64" s="37" t="str">
        <f t="shared" si="6"/>
        <v>Bajo Stock</v>
      </c>
      <c r="K64" s="39" t="s">
        <v>1205</v>
      </c>
      <c r="L64" s="40"/>
      <c r="M64" s="40"/>
      <c r="N64" s="37"/>
      <c r="O64" s="36"/>
      <c r="P64" s="42"/>
      <c r="Q64" s="40"/>
      <c r="R64" s="39" t="s">
        <v>1210</v>
      </c>
      <c r="S64" s="44" t="s">
        <v>66</v>
      </c>
      <c r="T64" s="3" t="s">
        <v>1446</v>
      </c>
    </row>
    <row r="65" spans="1:20" x14ac:dyDescent="0.35">
      <c r="A65" s="33">
        <v>30008776</v>
      </c>
      <c r="B65" s="36" t="s">
        <v>1075</v>
      </c>
      <c r="C65" s="37" t="s">
        <v>86</v>
      </c>
      <c r="D65" s="38"/>
      <c r="E65" s="38" t="s">
        <v>102</v>
      </c>
      <c r="F65" s="37">
        <v>4</v>
      </c>
      <c r="G65" s="37">
        <v>4</v>
      </c>
      <c r="H65" s="37">
        <v>5</v>
      </c>
      <c r="I65" s="37" t="s">
        <v>8</v>
      </c>
      <c r="J65" s="37" t="str">
        <f t="shared" si="6"/>
        <v>Stock OK</v>
      </c>
      <c r="K65" s="39" t="s">
        <v>1205</v>
      </c>
      <c r="L65" s="40"/>
      <c r="M65" s="40"/>
      <c r="N65" s="37"/>
      <c r="O65" s="36"/>
      <c r="P65" s="42"/>
      <c r="Q65" s="40"/>
      <c r="R65" s="39" t="s">
        <v>1210</v>
      </c>
      <c r="S65" s="44" t="s">
        <v>71</v>
      </c>
      <c r="T65" s="3" t="s">
        <v>1446</v>
      </c>
    </row>
    <row r="66" spans="1:20" x14ac:dyDescent="0.35">
      <c r="A66" s="33">
        <v>30008779</v>
      </c>
      <c r="B66" s="36" t="s">
        <v>1028</v>
      </c>
      <c r="C66" s="37" t="s">
        <v>86</v>
      </c>
      <c r="D66" s="38"/>
      <c r="E66" s="38" t="s">
        <v>102</v>
      </c>
      <c r="F66" s="37">
        <v>17</v>
      </c>
      <c r="G66" s="37">
        <v>16</v>
      </c>
      <c r="H66" s="37">
        <v>27</v>
      </c>
      <c r="I66" s="37" t="s">
        <v>8</v>
      </c>
      <c r="J66" s="37" t="str">
        <f t="shared" si="6"/>
        <v>Stock OK</v>
      </c>
      <c r="K66" s="39" t="s">
        <v>1205</v>
      </c>
      <c r="L66" s="40"/>
      <c r="M66" s="40"/>
      <c r="N66" s="37"/>
      <c r="O66" s="36"/>
      <c r="P66" s="42"/>
      <c r="Q66" s="40"/>
      <c r="R66" s="39" t="s">
        <v>1210</v>
      </c>
      <c r="S66" s="44" t="s">
        <v>71</v>
      </c>
      <c r="T66" s="3" t="s">
        <v>1446</v>
      </c>
    </row>
    <row r="67" spans="1:20" x14ac:dyDescent="0.35">
      <c r="A67" s="33">
        <v>30008781</v>
      </c>
      <c r="B67" s="36" t="s">
        <v>1076</v>
      </c>
      <c r="C67" s="37" t="s">
        <v>86</v>
      </c>
      <c r="D67" s="38"/>
      <c r="E67" s="38" t="s">
        <v>102</v>
      </c>
      <c r="F67" s="37">
        <v>9</v>
      </c>
      <c r="G67" s="37">
        <v>5</v>
      </c>
      <c r="H67" s="37">
        <v>10</v>
      </c>
      <c r="I67" s="37" t="s">
        <v>8</v>
      </c>
      <c r="J67" s="37" t="str">
        <f t="shared" si="6"/>
        <v>Stock OK</v>
      </c>
      <c r="K67" s="39" t="s">
        <v>1205</v>
      </c>
      <c r="L67" s="40"/>
      <c r="M67" s="40"/>
      <c r="N67" s="37"/>
      <c r="O67" s="36"/>
      <c r="P67" s="42"/>
      <c r="Q67" s="40"/>
      <c r="R67" s="39" t="s">
        <v>1210</v>
      </c>
      <c r="S67" s="44" t="s">
        <v>71</v>
      </c>
      <c r="T67" s="3" t="s">
        <v>1446</v>
      </c>
    </row>
    <row r="68" spans="1:20" x14ac:dyDescent="0.35">
      <c r="A68" s="33">
        <v>30008803</v>
      </c>
      <c r="B68" s="36" t="s">
        <v>1078</v>
      </c>
      <c r="C68" s="37" t="s">
        <v>86</v>
      </c>
      <c r="D68" s="38"/>
      <c r="E68" s="38" t="s">
        <v>102</v>
      </c>
      <c r="F68" s="37">
        <v>3</v>
      </c>
      <c r="G68" s="37">
        <v>2</v>
      </c>
      <c r="H68" s="37">
        <v>0</v>
      </c>
      <c r="I68" s="37" t="s">
        <v>8</v>
      </c>
      <c r="J68" s="37" t="s">
        <v>1448</v>
      </c>
      <c r="K68" s="39" t="s">
        <v>1205</v>
      </c>
      <c r="L68" s="40"/>
      <c r="M68" s="40"/>
      <c r="N68" s="37"/>
      <c r="O68" s="36"/>
      <c r="P68" s="42"/>
      <c r="Q68" s="40"/>
      <c r="R68" s="39" t="s">
        <v>1210</v>
      </c>
      <c r="S68" s="44" t="s">
        <v>71</v>
      </c>
      <c r="T68" s="3" t="s">
        <v>1446</v>
      </c>
    </row>
    <row r="69" spans="1:20" x14ac:dyDescent="0.35">
      <c r="A69" s="33">
        <v>30008804</v>
      </c>
      <c r="B69" s="36" t="s">
        <v>1079</v>
      </c>
      <c r="C69" s="37" t="s">
        <v>86</v>
      </c>
      <c r="D69" s="38"/>
      <c r="E69" s="38" t="s">
        <v>102</v>
      </c>
      <c r="F69" s="37">
        <v>3</v>
      </c>
      <c r="G69" s="37">
        <v>2</v>
      </c>
      <c r="H69" s="37">
        <v>0</v>
      </c>
      <c r="I69" s="37" t="s">
        <v>8</v>
      </c>
      <c r="J69" s="37" t="s">
        <v>1448</v>
      </c>
      <c r="K69" s="39" t="s">
        <v>1205</v>
      </c>
      <c r="L69" s="40"/>
      <c r="M69" s="40"/>
      <c r="N69" s="37"/>
      <c r="O69" s="36"/>
      <c r="P69" s="42"/>
      <c r="Q69" s="40"/>
      <c r="R69" s="39" t="s">
        <v>1210</v>
      </c>
      <c r="S69" s="44" t="s">
        <v>71</v>
      </c>
      <c r="T69" s="3" t="s">
        <v>1446</v>
      </c>
    </row>
    <row r="70" spans="1:20" x14ac:dyDescent="0.35">
      <c r="A70" s="33">
        <v>30008811</v>
      </c>
      <c r="B70" s="36" t="s">
        <v>1039</v>
      </c>
      <c r="C70" s="37" t="s">
        <v>86</v>
      </c>
      <c r="D70" s="38"/>
      <c r="E70" s="38" t="s">
        <v>102</v>
      </c>
      <c r="F70" s="37">
        <v>3</v>
      </c>
      <c r="G70" s="37">
        <v>2</v>
      </c>
      <c r="H70" s="37">
        <v>3</v>
      </c>
      <c r="I70" s="37" t="s">
        <v>8</v>
      </c>
      <c r="J70" s="37" t="str">
        <f t="shared" ref="J70:J92" si="7">IF(H70&lt;F70,"Bajo Stock","Stock OK")</f>
        <v>Stock OK</v>
      </c>
      <c r="K70" s="39" t="s">
        <v>1205</v>
      </c>
      <c r="L70" s="40"/>
      <c r="M70" s="40"/>
      <c r="N70" s="37"/>
      <c r="O70" s="36"/>
      <c r="P70" s="42"/>
      <c r="Q70" s="40"/>
      <c r="R70" s="39" t="s">
        <v>1210</v>
      </c>
      <c r="S70" s="44" t="s">
        <v>71</v>
      </c>
      <c r="T70" s="3" t="s">
        <v>1446</v>
      </c>
    </row>
    <row r="71" spans="1:20" x14ac:dyDescent="0.35">
      <c r="A71" s="33">
        <v>30008812</v>
      </c>
      <c r="B71" s="36" t="s">
        <v>1040</v>
      </c>
      <c r="C71" s="37" t="s">
        <v>86</v>
      </c>
      <c r="D71" s="38"/>
      <c r="E71" s="38" t="s">
        <v>102</v>
      </c>
      <c r="F71" s="37">
        <v>3</v>
      </c>
      <c r="G71" s="37">
        <v>2</v>
      </c>
      <c r="H71" s="37">
        <v>3</v>
      </c>
      <c r="I71" s="37" t="s">
        <v>8</v>
      </c>
      <c r="J71" s="37" t="str">
        <f t="shared" si="7"/>
        <v>Stock OK</v>
      </c>
      <c r="K71" s="39" t="s">
        <v>1205</v>
      </c>
      <c r="L71" s="40"/>
      <c r="M71" s="40"/>
      <c r="N71" s="37"/>
      <c r="O71" s="36"/>
      <c r="P71" s="42"/>
      <c r="Q71" s="40"/>
      <c r="R71" s="39" t="s">
        <v>1210</v>
      </c>
      <c r="S71" s="44" t="s">
        <v>71</v>
      </c>
      <c r="T71" s="3" t="s">
        <v>1446</v>
      </c>
    </row>
    <row r="72" spans="1:20" x14ac:dyDescent="0.35">
      <c r="A72" s="33">
        <v>30008813</v>
      </c>
      <c r="B72" s="36" t="s">
        <v>1041</v>
      </c>
      <c r="C72" s="37" t="s">
        <v>86</v>
      </c>
      <c r="D72" s="38"/>
      <c r="E72" s="38" t="s">
        <v>102</v>
      </c>
      <c r="F72" s="37">
        <v>3</v>
      </c>
      <c r="G72" s="37">
        <v>2</v>
      </c>
      <c r="H72" s="37">
        <v>3</v>
      </c>
      <c r="I72" s="37" t="s">
        <v>8</v>
      </c>
      <c r="J72" s="37" t="str">
        <f t="shared" si="7"/>
        <v>Stock OK</v>
      </c>
      <c r="K72" s="39" t="s">
        <v>1205</v>
      </c>
      <c r="L72" s="40"/>
      <c r="M72" s="40"/>
      <c r="N72" s="37"/>
      <c r="O72" s="36"/>
      <c r="P72" s="42"/>
      <c r="Q72" s="40"/>
      <c r="R72" s="39" t="s">
        <v>1210</v>
      </c>
      <c r="S72" s="44" t="s">
        <v>71</v>
      </c>
      <c r="T72" s="3" t="s">
        <v>1446</v>
      </c>
    </row>
    <row r="73" spans="1:20" x14ac:dyDescent="0.35">
      <c r="A73" s="33">
        <v>30008814</v>
      </c>
      <c r="B73" s="36" t="s">
        <v>1042</v>
      </c>
      <c r="C73" s="37" t="s">
        <v>86</v>
      </c>
      <c r="D73" s="38"/>
      <c r="E73" s="38" t="s">
        <v>102</v>
      </c>
      <c r="F73" s="37">
        <v>5</v>
      </c>
      <c r="G73" s="37">
        <v>4</v>
      </c>
      <c r="H73" s="37">
        <v>6</v>
      </c>
      <c r="I73" s="37" t="s">
        <v>8</v>
      </c>
      <c r="J73" s="37" t="str">
        <f t="shared" si="7"/>
        <v>Stock OK</v>
      </c>
      <c r="K73" s="39" t="s">
        <v>1205</v>
      </c>
      <c r="L73" s="40"/>
      <c r="M73" s="40"/>
      <c r="N73" s="37"/>
      <c r="O73" s="36"/>
      <c r="P73" s="42"/>
      <c r="Q73" s="40"/>
      <c r="R73" s="39" t="s">
        <v>1210</v>
      </c>
      <c r="S73" s="44" t="s">
        <v>71</v>
      </c>
      <c r="T73" s="3" t="s">
        <v>1446</v>
      </c>
    </row>
    <row r="74" spans="1:20" x14ac:dyDescent="0.35">
      <c r="A74" s="33">
        <v>30008816</v>
      </c>
      <c r="B74" s="36" t="s">
        <v>1044</v>
      </c>
      <c r="C74" s="37" t="s">
        <v>86</v>
      </c>
      <c r="D74" s="38"/>
      <c r="E74" s="38" t="s">
        <v>102</v>
      </c>
      <c r="F74" s="37">
        <v>3</v>
      </c>
      <c r="G74" s="37">
        <v>2</v>
      </c>
      <c r="H74" s="37">
        <v>1</v>
      </c>
      <c r="I74" s="37" t="s">
        <v>8</v>
      </c>
      <c r="J74" s="37" t="str">
        <f t="shared" si="7"/>
        <v>Bajo Stock</v>
      </c>
      <c r="K74" s="39" t="s">
        <v>1205</v>
      </c>
      <c r="L74" s="40"/>
      <c r="M74" s="40"/>
      <c r="N74" s="37"/>
      <c r="O74" s="36"/>
      <c r="P74" s="42"/>
      <c r="Q74" s="40"/>
      <c r="R74" s="39" t="s">
        <v>1210</v>
      </c>
      <c r="S74" s="44" t="s">
        <v>71</v>
      </c>
      <c r="T74" s="3" t="s">
        <v>1447</v>
      </c>
    </row>
    <row r="75" spans="1:20" x14ac:dyDescent="0.35">
      <c r="A75" s="33">
        <v>30016955</v>
      </c>
      <c r="B75" s="36" t="s">
        <v>885</v>
      </c>
      <c r="C75" s="37" t="s">
        <v>86</v>
      </c>
      <c r="D75" s="38"/>
      <c r="E75" s="38" t="s">
        <v>102</v>
      </c>
      <c r="F75" s="37">
        <v>7</v>
      </c>
      <c r="G75" s="37">
        <v>6</v>
      </c>
      <c r="H75" s="37">
        <v>9</v>
      </c>
      <c r="I75" s="37" t="s">
        <v>8</v>
      </c>
      <c r="J75" s="37" t="str">
        <f t="shared" si="7"/>
        <v>Stock OK</v>
      </c>
      <c r="K75" s="39" t="s">
        <v>1205</v>
      </c>
      <c r="L75" s="40"/>
      <c r="M75" s="40"/>
      <c r="N75" s="37"/>
      <c r="O75" s="36"/>
      <c r="P75" s="42"/>
      <c r="Q75" s="40"/>
      <c r="R75" s="39" t="s">
        <v>1210</v>
      </c>
      <c r="S75" s="44" t="s">
        <v>71</v>
      </c>
      <c r="T75" s="3" t="s">
        <v>1446</v>
      </c>
    </row>
    <row r="76" spans="1:20" x14ac:dyDescent="0.35">
      <c r="A76" s="33">
        <v>30017121</v>
      </c>
      <c r="B76" s="36" t="s">
        <v>1145</v>
      </c>
      <c r="C76" s="37" t="s">
        <v>86</v>
      </c>
      <c r="D76" s="38"/>
      <c r="E76" s="38" t="s">
        <v>102</v>
      </c>
      <c r="F76" s="37">
        <v>21</v>
      </c>
      <c r="G76" s="37">
        <v>20</v>
      </c>
      <c r="H76" s="37">
        <v>22</v>
      </c>
      <c r="I76" s="37" t="s">
        <v>8</v>
      </c>
      <c r="J76" s="37" t="str">
        <f t="shared" si="7"/>
        <v>Stock OK</v>
      </c>
      <c r="K76" s="39" t="s">
        <v>1205</v>
      </c>
      <c r="L76" s="40"/>
      <c r="M76" s="40"/>
      <c r="N76" s="37"/>
      <c r="O76" s="36"/>
      <c r="P76" s="42"/>
      <c r="Q76" s="40"/>
      <c r="R76" s="39" t="s">
        <v>1210</v>
      </c>
      <c r="S76" s="44" t="s">
        <v>66</v>
      </c>
      <c r="T76" s="3" t="s">
        <v>1446</v>
      </c>
    </row>
    <row r="77" spans="1:20" x14ac:dyDescent="0.35">
      <c r="A77" s="33">
        <v>30021359</v>
      </c>
      <c r="B77" s="36" t="s">
        <v>890</v>
      </c>
      <c r="C77" s="37" t="s">
        <v>86</v>
      </c>
      <c r="D77" s="38"/>
      <c r="E77" s="38" t="s">
        <v>102</v>
      </c>
      <c r="F77" s="37">
        <v>201</v>
      </c>
      <c r="G77" s="37">
        <v>200</v>
      </c>
      <c r="H77" s="37">
        <v>289</v>
      </c>
      <c r="I77" s="37" t="s">
        <v>8</v>
      </c>
      <c r="J77" s="37" t="str">
        <f t="shared" si="7"/>
        <v>Stock OK</v>
      </c>
      <c r="K77" s="39" t="s">
        <v>1205</v>
      </c>
      <c r="L77" s="40"/>
      <c r="M77" s="40"/>
      <c r="N77" s="37"/>
      <c r="O77" s="36"/>
      <c r="P77" s="42"/>
      <c r="Q77" s="40"/>
      <c r="R77" s="39" t="s">
        <v>1210</v>
      </c>
      <c r="S77" s="44" t="s">
        <v>71</v>
      </c>
      <c r="T77" s="3" t="s">
        <v>1446</v>
      </c>
    </row>
    <row r="78" spans="1:20" x14ac:dyDescent="0.35">
      <c r="A78" s="33">
        <v>30023557</v>
      </c>
      <c r="B78" s="36" t="s">
        <v>591</v>
      </c>
      <c r="C78" s="37" t="s">
        <v>86</v>
      </c>
      <c r="D78" s="38"/>
      <c r="E78" s="38" t="s">
        <v>102</v>
      </c>
      <c r="F78" s="37">
        <v>27</v>
      </c>
      <c r="G78" s="37">
        <v>26</v>
      </c>
      <c r="H78" s="37">
        <v>48</v>
      </c>
      <c r="I78" s="37" t="s">
        <v>8</v>
      </c>
      <c r="J78" s="37" t="str">
        <f t="shared" si="7"/>
        <v>Stock OK</v>
      </c>
      <c r="K78" s="39" t="s">
        <v>1205</v>
      </c>
      <c r="L78" s="40"/>
      <c r="M78" s="40"/>
      <c r="N78" s="37"/>
      <c r="O78" s="36"/>
      <c r="P78" s="42"/>
      <c r="Q78" s="40"/>
      <c r="R78" s="39" t="s">
        <v>1210</v>
      </c>
      <c r="S78" s="44" t="s">
        <v>71</v>
      </c>
      <c r="T78" s="3" t="s">
        <v>1446</v>
      </c>
    </row>
    <row r="79" spans="1:20" x14ac:dyDescent="0.35">
      <c r="A79" s="33">
        <v>30023956</v>
      </c>
      <c r="B79" s="36" t="s">
        <v>1154</v>
      </c>
      <c r="C79" s="37" t="s">
        <v>86</v>
      </c>
      <c r="D79" s="38"/>
      <c r="E79" s="38" t="s">
        <v>102</v>
      </c>
      <c r="F79" s="37">
        <v>2</v>
      </c>
      <c r="G79" s="37">
        <v>1</v>
      </c>
      <c r="H79" s="37">
        <v>2</v>
      </c>
      <c r="I79" s="37" t="s">
        <v>8</v>
      </c>
      <c r="J79" s="37" t="str">
        <f t="shared" si="7"/>
        <v>Stock OK</v>
      </c>
      <c r="K79" s="39" t="s">
        <v>1205</v>
      </c>
      <c r="L79" s="40"/>
      <c r="M79" s="40"/>
      <c r="N79" s="37"/>
      <c r="O79" s="36"/>
      <c r="P79" s="42"/>
      <c r="Q79" s="40"/>
      <c r="R79" s="39" t="s">
        <v>1210</v>
      </c>
      <c r="S79" s="44" t="s">
        <v>71</v>
      </c>
      <c r="T79" s="3" t="s">
        <v>1446</v>
      </c>
    </row>
    <row r="80" spans="1:20" x14ac:dyDescent="0.35">
      <c r="A80" s="33">
        <v>30023958</v>
      </c>
      <c r="B80" s="36" t="s">
        <v>1155</v>
      </c>
      <c r="C80" s="37" t="s">
        <v>86</v>
      </c>
      <c r="D80" s="38"/>
      <c r="E80" s="38" t="s">
        <v>102</v>
      </c>
      <c r="F80" s="37">
        <v>9</v>
      </c>
      <c r="G80" s="37">
        <v>8</v>
      </c>
      <c r="H80" s="37">
        <v>9</v>
      </c>
      <c r="I80" s="37" t="s">
        <v>8</v>
      </c>
      <c r="J80" s="37" t="str">
        <f t="shared" si="7"/>
        <v>Stock OK</v>
      </c>
      <c r="K80" s="39" t="s">
        <v>1205</v>
      </c>
      <c r="L80" s="40"/>
      <c r="M80" s="40"/>
      <c r="N80" s="37"/>
      <c r="O80" s="36"/>
      <c r="P80" s="42"/>
      <c r="Q80" s="40"/>
      <c r="R80" s="39" t="s">
        <v>1210</v>
      </c>
      <c r="S80" s="44" t="s">
        <v>71</v>
      </c>
      <c r="T80" s="3" t="s">
        <v>1446</v>
      </c>
    </row>
    <row r="81" spans="1:20" x14ac:dyDescent="0.35">
      <c r="A81" s="33">
        <v>30023959</v>
      </c>
      <c r="B81" s="36" t="s">
        <v>1156</v>
      </c>
      <c r="C81" s="37" t="s">
        <v>86</v>
      </c>
      <c r="D81" s="38"/>
      <c r="E81" s="38" t="s">
        <v>102</v>
      </c>
      <c r="F81" s="37">
        <v>3</v>
      </c>
      <c r="G81" s="37">
        <v>2</v>
      </c>
      <c r="H81" s="37">
        <v>4</v>
      </c>
      <c r="I81" s="37" t="s">
        <v>8</v>
      </c>
      <c r="J81" s="37" t="str">
        <f t="shared" si="7"/>
        <v>Stock OK</v>
      </c>
      <c r="K81" s="39" t="s">
        <v>1205</v>
      </c>
      <c r="L81" s="40"/>
      <c r="M81" s="40"/>
      <c r="N81" s="37"/>
      <c r="O81" s="36"/>
      <c r="P81" s="42"/>
      <c r="Q81" s="40"/>
      <c r="R81" s="39" t="s">
        <v>1210</v>
      </c>
      <c r="S81" s="44" t="s">
        <v>71</v>
      </c>
      <c r="T81" s="3" t="s">
        <v>1446</v>
      </c>
    </row>
    <row r="82" spans="1:20" x14ac:dyDescent="0.35">
      <c r="A82" s="33">
        <v>30023963</v>
      </c>
      <c r="B82" s="36" t="s">
        <v>1158</v>
      </c>
      <c r="C82" s="37" t="s">
        <v>86</v>
      </c>
      <c r="D82" s="38"/>
      <c r="E82" s="38" t="s">
        <v>102</v>
      </c>
      <c r="F82" s="37">
        <v>12</v>
      </c>
      <c r="G82" s="37">
        <v>11</v>
      </c>
      <c r="H82" s="37">
        <v>13</v>
      </c>
      <c r="I82" s="37" t="s">
        <v>8</v>
      </c>
      <c r="J82" s="37" t="str">
        <f t="shared" si="7"/>
        <v>Stock OK</v>
      </c>
      <c r="K82" s="39" t="s">
        <v>1205</v>
      </c>
      <c r="L82" s="40"/>
      <c r="M82" s="40"/>
      <c r="N82" s="37"/>
      <c r="O82" s="36"/>
      <c r="P82" s="42"/>
      <c r="Q82" s="40"/>
      <c r="R82" s="39" t="s">
        <v>1210</v>
      </c>
      <c r="S82" s="44" t="s">
        <v>71</v>
      </c>
      <c r="T82" s="3" t="s">
        <v>1446</v>
      </c>
    </row>
    <row r="83" spans="1:20" x14ac:dyDescent="0.35">
      <c r="A83" s="33">
        <v>30023965</v>
      </c>
      <c r="B83" s="36" t="s">
        <v>1159</v>
      </c>
      <c r="C83" s="37" t="s">
        <v>86</v>
      </c>
      <c r="D83" s="38"/>
      <c r="E83" s="38" t="s">
        <v>102</v>
      </c>
      <c r="F83" s="37">
        <v>6</v>
      </c>
      <c r="G83" s="37">
        <v>5</v>
      </c>
      <c r="H83" s="37">
        <v>6</v>
      </c>
      <c r="I83" s="37" t="s">
        <v>8</v>
      </c>
      <c r="J83" s="37" t="str">
        <f t="shared" si="7"/>
        <v>Stock OK</v>
      </c>
      <c r="K83" s="39" t="s">
        <v>1205</v>
      </c>
      <c r="L83" s="40"/>
      <c r="M83" s="40"/>
      <c r="N83" s="37"/>
      <c r="O83" s="36"/>
      <c r="P83" s="42"/>
      <c r="Q83" s="40"/>
      <c r="R83" s="39" t="s">
        <v>1210</v>
      </c>
      <c r="S83" s="44" t="s">
        <v>71</v>
      </c>
      <c r="T83" s="3" t="s">
        <v>1446</v>
      </c>
    </row>
    <row r="84" spans="1:20" x14ac:dyDescent="0.35">
      <c r="A84" s="33">
        <v>30024786</v>
      </c>
      <c r="B84" s="36" t="s">
        <v>895</v>
      </c>
      <c r="C84" s="37" t="s">
        <v>86</v>
      </c>
      <c r="D84" s="38"/>
      <c r="E84" s="38" t="s">
        <v>102</v>
      </c>
      <c r="F84" s="37">
        <v>5</v>
      </c>
      <c r="G84" s="37">
        <v>4</v>
      </c>
      <c r="H84" s="37">
        <v>4</v>
      </c>
      <c r="I84" s="37" t="s">
        <v>8</v>
      </c>
      <c r="J84" s="37" t="str">
        <f t="shared" si="7"/>
        <v>Bajo Stock</v>
      </c>
      <c r="K84" s="39" t="s">
        <v>1205</v>
      </c>
      <c r="L84" s="40"/>
      <c r="M84" s="40"/>
      <c r="N84" s="37"/>
      <c r="O84" s="36"/>
      <c r="P84" s="42"/>
      <c r="Q84" s="40"/>
      <c r="R84" s="39" t="s">
        <v>1210</v>
      </c>
      <c r="S84" s="44" t="s">
        <v>66</v>
      </c>
      <c r="T84" s="3" t="s">
        <v>1446</v>
      </c>
    </row>
    <row r="85" spans="1:20" x14ac:dyDescent="0.35">
      <c r="A85" s="33">
        <v>30024787</v>
      </c>
      <c r="B85" s="36" t="s">
        <v>896</v>
      </c>
      <c r="C85" s="37" t="s">
        <v>86</v>
      </c>
      <c r="D85" s="38"/>
      <c r="E85" s="38" t="s">
        <v>102</v>
      </c>
      <c r="F85" s="37">
        <v>5</v>
      </c>
      <c r="G85" s="37">
        <v>4</v>
      </c>
      <c r="H85" s="37">
        <v>7</v>
      </c>
      <c r="I85" s="37" t="s">
        <v>8</v>
      </c>
      <c r="J85" s="37" t="str">
        <f t="shared" si="7"/>
        <v>Stock OK</v>
      </c>
      <c r="K85" s="39" t="s">
        <v>1205</v>
      </c>
      <c r="L85" s="40"/>
      <c r="M85" s="40"/>
      <c r="N85" s="37"/>
      <c r="O85" s="36"/>
      <c r="P85" s="42"/>
      <c r="Q85" s="40"/>
      <c r="R85" s="39" t="s">
        <v>1210</v>
      </c>
      <c r="S85" s="44" t="s">
        <v>66</v>
      </c>
      <c r="T85" s="3" t="s">
        <v>1446</v>
      </c>
    </row>
    <row r="86" spans="1:20" x14ac:dyDescent="0.35">
      <c r="A86" s="33">
        <v>30024790</v>
      </c>
      <c r="B86" s="36" t="s">
        <v>854</v>
      </c>
      <c r="C86" s="37" t="s">
        <v>86</v>
      </c>
      <c r="D86" s="38"/>
      <c r="E86" s="38" t="s">
        <v>102</v>
      </c>
      <c r="F86" s="37">
        <v>5</v>
      </c>
      <c r="G86" s="37">
        <v>4</v>
      </c>
      <c r="H86" s="37">
        <v>8</v>
      </c>
      <c r="I86" s="37" t="s">
        <v>8</v>
      </c>
      <c r="J86" s="37" t="str">
        <f t="shared" si="7"/>
        <v>Stock OK</v>
      </c>
      <c r="K86" s="39" t="s">
        <v>1205</v>
      </c>
      <c r="L86" s="40"/>
      <c r="M86" s="40"/>
      <c r="N86" s="37"/>
      <c r="O86" s="36"/>
      <c r="P86" s="42"/>
      <c r="Q86" s="40"/>
      <c r="R86" s="39" t="s">
        <v>1210</v>
      </c>
      <c r="S86" s="44" t="s">
        <v>67</v>
      </c>
      <c r="T86" s="3" t="s">
        <v>1446</v>
      </c>
    </row>
    <row r="87" spans="1:20" x14ac:dyDescent="0.35">
      <c r="A87" s="33">
        <v>30024794</v>
      </c>
      <c r="B87" s="36" t="s">
        <v>1161</v>
      </c>
      <c r="C87" s="37" t="s">
        <v>86</v>
      </c>
      <c r="D87" s="38"/>
      <c r="E87" s="38" t="s">
        <v>102</v>
      </c>
      <c r="F87" s="37">
        <v>3</v>
      </c>
      <c r="G87" s="37">
        <v>2</v>
      </c>
      <c r="H87" s="37">
        <v>7</v>
      </c>
      <c r="I87" s="37" t="s">
        <v>8</v>
      </c>
      <c r="J87" s="37" t="str">
        <f t="shared" si="7"/>
        <v>Stock OK</v>
      </c>
      <c r="K87" s="39" t="s">
        <v>1205</v>
      </c>
      <c r="L87" s="40"/>
      <c r="M87" s="40"/>
      <c r="N87" s="37"/>
      <c r="O87" s="36"/>
      <c r="P87" s="42"/>
      <c r="Q87" s="40"/>
      <c r="R87" s="39" t="s">
        <v>1210</v>
      </c>
      <c r="S87" s="44" t="s">
        <v>66</v>
      </c>
      <c r="T87" s="3" t="s">
        <v>1446</v>
      </c>
    </row>
    <row r="88" spans="1:20" x14ac:dyDescent="0.35">
      <c r="A88" s="33">
        <v>30024855</v>
      </c>
      <c r="B88" s="36" t="s">
        <v>898</v>
      </c>
      <c r="C88" s="37" t="s">
        <v>86</v>
      </c>
      <c r="D88" s="38"/>
      <c r="E88" s="38" t="s">
        <v>102</v>
      </c>
      <c r="F88" s="37">
        <v>2</v>
      </c>
      <c r="G88" s="37">
        <v>2</v>
      </c>
      <c r="H88" s="37">
        <v>3</v>
      </c>
      <c r="I88" s="37" t="s">
        <v>8</v>
      </c>
      <c r="J88" s="37" t="str">
        <f t="shared" si="7"/>
        <v>Stock OK</v>
      </c>
      <c r="K88" s="39" t="s">
        <v>1205</v>
      </c>
      <c r="L88" s="40"/>
      <c r="M88" s="40"/>
      <c r="N88" s="37"/>
      <c r="O88" s="36"/>
      <c r="P88" s="42"/>
      <c r="Q88" s="40"/>
      <c r="R88" s="39" t="s">
        <v>1210</v>
      </c>
      <c r="S88" s="44" t="s">
        <v>66</v>
      </c>
      <c r="T88" s="3" t="s">
        <v>1446</v>
      </c>
    </row>
    <row r="89" spans="1:20" x14ac:dyDescent="0.35">
      <c r="A89" s="33">
        <v>30024865</v>
      </c>
      <c r="B89" s="36" t="s">
        <v>899</v>
      </c>
      <c r="C89" s="37" t="s">
        <v>86</v>
      </c>
      <c r="D89" s="38"/>
      <c r="E89" s="38" t="s">
        <v>102</v>
      </c>
      <c r="F89" s="37">
        <v>2</v>
      </c>
      <c r="G89" s="37">
        <v>2</v>
      </c>
      <c r="H89" s="37">
        <v>2</v>
      </c>
      <c r="I89" s="37" t="s">
        <v>8</v>
      </c>
      <c r="J89" s="37" t="str">
        <f t="shared" si="7"/>
        <v>Stock OK</v>
      </c>
      <c r="K89" s="39" t="s">
        <v>1205</v>
      </c>
      <c r="L89" s="40"/>
      <c r="M89" s="40"/>
      <c r="N89" s="37"/>
      <c r="O89" s="36"/>
      <c r="P89" s="42"/>
      <c r="Q89" s="40"/>
      <c r="R89" s="39" t="s">
        <v>1210</v>
      </c>
      <c r="S89" s="44" t="s">
        <v>71</v>
      </c>
      <c r="T89" s="3" t="s">
        <v>1446</v>
      </c>
    </row>
    <row r="90" spans="1:20" x14ac:dyDescent="0.35">
      <c r="A90" s="33">
        <v>30029757</v>
      </c>
      <c r="B90" s="36" t="s">
        <v>1163</v>
      </c>
      <c r="C90" s="37" t="s">
        <v>86</v>
      </c>
      <c r="D90" s="38"/>
      <c r="E90" s="38" t="s">
        <v>102</v>
      </c>
      <c r="F90" s="37">
        <v>5</v>
      </c>
      <c r="G90" s="37">
        <v>4</v>
      </c>
      <c r="H90" s="37">
        <v>4</v>
      </c>
      <c r="I90" s="37" t="s">
        <v>8</v>
      </c>
      <c r="J90" s="37" t="str">
        <f t="shared" si="7"/>
        <v>Bajo Stock</v>
      </c>
      <c r="K90" s="39" t="s">
        <v>1205</v>
      </c>
      <c r="L90" s="40"/>
      <c r="M90" s="40"/>
      <c r="N90" s="37"/>
      <c r="O90" s="36"/>
      <c r="P90" s="42"/>
      <c r="Q90" s="40"/>
      <c r="R90" s="39" t="s">
        <v>1210</v>
      </c>
      <c r="S90" s="44" t="s">
        <v>69</v>
      </c>
      <c r="T90" s="3" t="s">
        <v>1446</v>
      </c>
    </row>
    <row r="91" spans="1:20" x14ac:dyDescent="0.35">
      <c r="A91" s="33">
        <v>30029934</v>
      </c>
      <c r="B91" s="36" t="s">
        <v>1164</v>
      </c>
      <c r="C91" s="37" t="s">
        <v>86</v>
      </c>
      <c r="D91" s="38"/>
      <c r="E91" s="38" t="s">
        <v>102</v>
      </c>
      <c r="F91" s="37">
        <v>2</v>
      </c>
      <c r="G91" s="37">
        <v>2</v>
      </c>
      <c r="H91" s="37">
        <v>2</v>
      </c>
      <c r="I91" s="37" t="s">
        <v>8</v>
      </c>
      <c r="J91" s="37" t="str">
        <f t="shared" si="7"/>
        <v>Stock OK</v>
      </c>
      <c r="K91" s="39" t="s">
        <v>1205</v>
      </c>
      <c r="L91" s="40"/>
      <c r="M91" s="40"/>
      <c r="N91" s="37"/>
      <c r="O91" s="36"/>
      <c r="P91" s="42"/>
      <c r="Q91" s="40"/>
      <c r="R91" s="39" t="s">
        <v>1210</v>
      </c>
      <c r="S91" s="44" t="s">
        <v>69</v>
      </c>
      <c r="T91" s="3" t="s">
        <v>1446</v>
      </c>
    </row>
    <row r="92" spans="1:20" x14ac:dyDescent="0.35">
      <c r="A92" s="33">
        <v>30030285</v>
      </c>
      <c r="B92" s="36" t="s">
        <v>903</v>
      </c>
      <c r="C92" s="37" t="s">
        <v>86</v>
      </c>
      <c r="D92" s="38"/>
      <c r="E92" s="38" t="s">
        <v>102</v>
      </c>
      <c r="F92" s="37">
        <v>2</v>
      </c>
      <c r="G92" s="37">
        <v>1</v>
      </c>
      <c r="H92" s="37">
        <v>3</v>
      </c>
      <c r="I92" s="37" t="s">
        <v>8</v>
      </c>
      <c r="J92" s="37" t="str">
        <f t="shared" si="7"/>
        <v>Stock OK</v>
      </c>
      <c r="K92" s="39" t="s">
        <v>1205</v>
      </c>
      <c r="L92" s="40"/>
      <c r="M92" s="40"/>
      <c r="N92" s="37"/>
      <c r="O92" s="36"/>
      <c r="P92" s="42"/>
      <c r="Q92" s="40"/>
      <c r="R92" s="39" t="s">
        <v>1210</v>
      </c>
      <c r="S92" s="44" t="s">
        <v>71</v>
      </c>
      <c r="T92" s="3" t="s">
        <v>1446</v>
      </c>
    </row>
    <row r="93" spans="1:20" x14ac:dyDescent="0.35">
      <c r="A93" s="33">
        <v>30030294</v>
      </c>
      <c r="B93" s="36" t="s">
        <v>906</v>
      </c>
      <c r="C93" s="37" t="s">
        <v>86</v>
      </c>
      <c r="D93" s="38"/>
      <c r="E93" s="38" t="s">
        <v>102</v>
      </c>
      <c r="F93" s="37">
        <v>2</v>
      </c>
      <c r="G93" s="37">
        <v>2</v>
      </c>
      <c r="H93" s="37">
        <v>0</v>
      </c>
      <c r="I93" s="37" t="s">
        <v>8</v>
      </c>
      <c r="J93" s="37" t="s">
        <v>1448</v>
      </c>
      <c r="K93" s="39" t="s">
        <v>1205</v>
      </c>
      <c r="L93" s="40"/>
      <c r="M93" s="40"/>
      <c r="N93" s="37"/>
      <c r="O93" s="36"/>
      <c r="P93" s="42"/>
      <c r="Q93" s="40"/>
      <c r="R93" s="39" t="s">
        <v>1210</v>
      </c>
      <c r="S93" s="44" t="s">
        <v>66</v>
      </c>
      <c r="T93" s="3" t="s">
        <v>1446</v>
      </c>
    </row>
    <row r="94" spans="1:20" x14ac:dyDescent="0.35">
      <c r="A94" s="33">
        <v>30030298</v>
      </c>
      <c r="B94" s="36" t="s">
        <v>908</v>
      </c>
      <c r="C94" s="37" t="s">
        <v>86</v>
      </c>
      <c r="D94" s="38"/>
      <c r="E94" s="38" t="s">
        <v>102</v>
      </c>
      <c r="F94" s="37">
        <v>2</v>
      </c>
      <c r="G94" s="37">
        <v>1</v>
      </c>
      <c r="H94" s="37">
        <v>3</v>
      </c>
      <c r="I94" s="37" t="s">
        <v>8</v>
      </c>
      <c r="J94" s="37" t="str">
        <f t="shared" ref="J94:J96" si="8">IF(H94&lt;F94,"Bajo Stock","Stock OK")</f>
        <v>Stock OK</v>
      </c>
      <c r="K94" s="39" t="s">
        <v>1205</v>
      </c>
      <c r="L94" s="40"/>
      <c r="M94" s="40"/>
      <c r="N94" s="37"/>
      <c r="O94" s="36"/>
      <c r="P94" s="42"/>
      <c r="Q94" s="40"/>
      <c r="R94" s="39" t="s">
        <v>1210</v>
      </c>
      <c r="S94" s="44" t="s">
        <v>71</v>
      </c>
      <c r="T94" s="3" t="s">
        <v>1446</v>
      </c>
    </row>
    <row r="95" spans="1:20" x14ac:dyDescent="0.35">
      <c r="A95" s="33">
        <v>30030711</v>
      </c>
      <c r="B95" s="36" t="s">
        <v>909</v>
      </c>
      <c r="C95" s="37" t="s">
        <v>86</v>
      </c>
      <c r="D95" s="38"/>
      <c r="E95" s="38" t="s">
        <v>102</v>
      </c>
      <c r="F95" s="37">
        <v>2</v>
      </c>
      <c r="G95" s="37">
        <v>2</v>
      </c>
      <c r="H95" s="37">
        <v>1</v>
      </c>
      <c r="I95" s="37" t="s">
        <v>8</v>
      </c>
      <c r="J95" s="37" t="str">
        <f t="shared" si="8"/>
        <v>Bajo Stock</v>
      </c>
      <c r="K95" s="39" t="s">
        <v>1205</v>
      </c>
      <c r="L95" s="40"/>
      <c r="M95" s="40"/>
      <c r="N95" s="37"/>
      <c r="O95" s="36"/>
      <c r="P95" s="42"/>
      <c r="Q95" s="40"/>
      <c r="R95" s="39" t="s">
        <v>1210</v>
      </c>
      <c r="S95" s="44" t="s">
        <v>67</v>
      </c>
      <c r="T95" s="3" t="s">
        <v>1446</v>
      </c>
    </row>
    <row r="96" spans="1:20" x14ac:dyDescent="0.35">
      <c r="A96" s="33">
        <v>30030714</v>
      </c>
      <c r="B96" s="36" t="s">
        <v>1086</v>
      </c>
      <c r="C96" s="37" t="s">
        <v>86</v>
      </c>
      <c r="D96" s="38"/>
      <c r="E96" s="38" t="s">
        <v>102</v>
      </c>
      <c r="F96" s="37">
        <v>2</v>
      </c>
      <c r="G96" s="37">
        <v>1</v>
      </c>
      <c r="H96" s="37">
        <v>3</v>
      </c>
      <c r="I96" s="37" t="s">
        <v>8</v>
      </c>
      <c r="J96" s="37" t="str">
        <f t="shared" si="8"/>
        <v>Stock OK</v>
      </c>
      <c r="K96" s="39" t="s">
        <v>1205</v>
      </c>
      <c r="L96" s="40"/>
      <c r="M96" s="40"/>
      <c r="N96" s="37"/>
      <c r="O96" s="36"/>
      <c r="P96" s="42"/>
      <c r="Q96" s="40"/>
      <c r="R96" s="39" t="s">
        <v>1210</v>
      </c>
      <c r="S96" s="44" t="s">
        <v>67</v>
      </c>
      <c r="T96" s="3" t="s">
        <v>1446</v>
      </c>
    </row>
    <row r="97" spans="1:20" x14ac:dyDescent="0.35">
      <c r="A97" s="33">
        <v>30031744</v>
      </c>
      <c r="B97" s="36" t="s">
        <v>1166</v>
      </c>
      <c r="C97" s="37" t="s">
        <v>86</v>
      </c>
      <c r="D97" s="38"/>
      <c r="E97" s="38" t="s">
        <v>102</v>
      </c>
      <c r="F97" s="37">
        <v>1</v>
      </c>
      <c r="G97" s="37">
        <v>2</v>
      </c>
      <c r="H97" s="37">
        <v>0</v>
      </c>
      <c r="I97" s="37" t="s">
        <v>8</v>
      </c>
      <c r="J97" s="37" t="s">
        <v>1448</v>
      </c>
      <c r="K97" s="39" t="s">
        <v>1205</v>
      </c>
      <c r="L97" s="40"/>
      <c r="M97" s="40"/>
      <c r="N97" s="37"/>
      <c r="O97" s="36"/>
      <c r="P97" s="42"/>
      <c r="Q97" s="40"/>
      <c r="R97" s="39" t="s">
        <v>1210</v>
      </c>
      <c r="S97" s="44" t="s">
        <v>67</v>
      </c>
      <c r="T97" s="3" t="s">
        <v>1446</v>
      </c>
    </row>
    <row r="98" spans="1:20" x14ac:dyDescent="0.35">
      <c r="A98" s="33">
        <v>30032493</v>
      </c>
      <c r="B98" s="36" t="s">
        <v>910</v>
      </c>
      <c r="C98" s="37" t="s">
        <v>86</v>
      </c>
      <c r="D98" s="38"/>
      <c r="E98" s="38" t="s">
        <v>102</v>
      </c>
      <c r="F98" s="37">
        <v>2</v>
      </c>
      <c r="G98" s="37">
        <v>2</v>
      </c>
      <c r="H98" s="37">
        <v>4</v>
      </c>
      <c r="I98" s="37" t="s">
        <v>8</v>
      </c>
      <c r="J98" s="37" t="str">
        <f t="shared" ref="J98:J100" si="9">IF(H98&lt;F98,"Bajo Stock","Stock OK")</f>
        <v>Stock OK</v>
      </c>
      <c r="K98" s="39" t="s">
        <v>1205</v>
      </c>
      <c r="L98" s="40"/>
      <c r="M98" s="40"/>
      <c r="N98" s="37"/>
      <c r="O98" s="36"/>
      <c r="P98" s="42"/>
      <c r="Q98" s="40"/>
      <c r="R98" s="39" t="s">
        <v>1210</v>
      </c>
      <c r="S98" s="44" t="s">
        <v>71</v>
      </c>
      <c r="T98" s="3" t="s">
        <v>1446</v>
      </c>
    </row>
    <row r="99" spans="1:20" x14ac:dyDescent="0.35">
      <c r="A99" s="33">
        <v>30032494</v>
      </c>
      <c r="B99" s="36" t="s">
        <v>911</v>
      </c>
      <c r="C99" s="37" t="s">
        <v>86</v>
      </c>
      <c r="D99" s="38"/>
      <c r="E99" s="38" t="s">
        <v>102</v>
      </c>
      <c r="F99" s="37">
        <v>2</v>
      </c>
      <c r="G99" s="37">
        <v>1</v>
      </c>
      <c r="H99" s="37">
        <v>4</v>
      </c>
      <c r="I99" s="37" t="s">
        <v>8</v>
      </c>
      <c r="J99" s="37" t="str">
        <f t="shared" si="9"/>
        <v>Stock OK</v>
      </c>
      <c r="K99" s="39" t="s">
        <v>1205</v>
      </c>
      <c r="L99" s="40"/>
      <c r="M99" s="40"/>
      <c r="N99" s="37"/>
      <c r="O99" s="36"/>
      <c r="P99" s="42"/>
      <c r="Q99" s="40"/>
      <c r="R99" s="39" t="s">
        <v>1210</v>
      </c>
      <c r="S99" s="44" t="s">
        <v>71</v>
      </c>
      <c r="T99" s="3" t="s">
        <v>1446</v>
      </c>
    </row>
    <row r="100" spans="1:20" x14ac:dyDescent="0.35">
      <c r="A100" s="33">
        <v>30033930</v>
      </c>
      <c r="B100" s="36" t="s">
        <v>913</v>
      </c>
      <c r="C100" s="37" t="s">
        <v>86</v>
      </c>
      <c r="D100" s="38"/>
      <c r="E100" s="38" t="s">
        <v>102</v>
      </c>
      <c r="F100" s="37">
        <v>2</v>
      </c>
      <c r="G100" s="37">
        <v>2</v>
      </c>
      <c r="H100" s="37">
        <v>3</v>
      </c>
      <c r="I100" s="37" t="s">
        <v>8</v>
      </c>
      <c r="J100" s="37" t="str">
        <f t="shared" si="9"/>
        <v>Stock OK</v>
      </c>
      <c r="K100" s="39" t="s">
        <v>1205</v>
      </c>
      <c r="L100" s="40"/>
      <c r="M100" s="40"/>
      <c r="N100" s="37"/>
      <c r="O100" s="36"/>
      <c r="P100" s="42"/>
      <c r="Q100" s="40"/>
      <c r="R100" s="39" t="s">
        <v>1210</v>
      </c>
      <c r="S100" s="44" t="s">
        <v>67</v>
      </c>
      <c r="T100" s="3" t="s">
        <v>1446</v>
      </c>
    </row>
    <row r="101" spans="1:20" x14ac:dyDescent="0.35">
      <c r="A101" s="33">
        <v>30038594</v>
      </c>
      <c r="B101" s="36" t="s">
        <v>1087</v>
      </c>
      <c r="C101" s="37" t="s">
        <v>86</v>
      </c>
      <c r="D101" s="38"/>
      <c r="E101" s="38" t="s">
        <v>102</v>
      </c>
      <c r="F101" s="37">
        <v>3</v>
      </c>
      <c r="G101" s="37">
        <v>2</v>
      </c>
      <c r="H101" s="37">
        <v>0</v>
      </c>
      <c r="I101" s="37" t="s">
        <v>8</v>
      </c>
      <c r="J101" s="37" t="s">
        <v>1448</v>
      </c>
      <c r="K101" s="39" t="s">
        <v>1205</v>
      </c>
      <c r="L101" s="40"/>
      <c r="M101" s="40"/>
      <c r="N101" s="37"/>
      <c r="O101" s="36"/>
      <c r="P101" s="42"/>
      <c r="Q101" s="40"/>
      <c r="R101" s="39" t="s">
        <v>1210</v>
      </c>
      <c r="S101" s="44" t="s">
        <v>71</v>
      </c>
      <c r="T101" s="3" t="s">
        <v>1447</v>
      </c>
    </row>
    <row r="102" spans="1:20" x14ac:dyDescent="0.35">
      <c r="A102" s="33">
        <v>30038595</v>
      </c>
      <c r="B102" s="36" t="s">
        <v>1088</v>
      </c>
      <c r="C102" s="37" t="s">
        <v>86</v>
      </c>
      <c r="D102" s="38"/>
      <c r="E102" s="38" t="s">
        <v>102</v>
      </c>
      <c r="F102" s="37">
        <v>3</v>
      </c>
      <c r="G102" s="37">
        <v>2</v>
      </c>
      <c r="H102" s="37">
        <v>0</v>
      </c>
      <c r="I102" s="37" t="s">
        <v>8</v>
      </c>
      <c r="J102" s="37" t="s">
        <v>1448</v>
      </c>
      <c r="K102" s="39" t="s">
        <v>1205</v>
      </c>
      <c r="L102" s="40"/>
      <c r="M102" s="40"/>
      <c r="N102" s="37"/>
      <c r="O102" s="36"/>
      <c r="P102" s="42"/>
      <c r="Q102" s="40"/>
      <c r="R102" s="39" t="s">
        <v>1210</v>
      </c>
      <c r="S102" s="44" t="s">
        <v>71</v>
      </c>
      <c r="T102" s="3" t="s">
        <v>1447</v>
      </c>
    </row>
    <row r="103" spans="1:20" x14ac:dyDescent="0.35">
      <c r="A103" s="33">
        <v>30039193</v>
      </c>
      <c r="B103" s="36" t="s">
        <v>914</v>
      </c>
      <c r="C103" s="37" t="s">
        <v>86</v>
      </c>
      <c r="D103" s="38"/>
      <c r="E103" s="38" t="s">
        <v>102</v>
      </c>
      <c r="F103" s="37">
        <v>2</v>
      </c>
      <c r="G103" s="37">
        <v>2</v>
      </c>
      <c r="H103" s="37">
        <v>0</v>
      </c>
      <c r="I103" s="37" t="s">
        <v>8</v>
      </c>
      <c r="J103" s="37" t="s">
        <v>1448</v>
      </c>
      <c r="K103" s="39" t="s">
        <v>1205</v>
      </c>
      <c r="L103" s="40"/>
      <c r="M103" s="40"/>
      <c r="N103" s="37"/>
      <c r="O103" s="36"/>
      <c r="P103" s="42"/>
      <c r="Q103" s="40"/>
      <c r="R103" s="39" t="s">
        <v>1210</v>
      </c>
      <c r="S103" s="44" t="s">
        <v>67</v>
      </c>
      <c r="T103" s="3" t="s">
        <v>1446</v>
      </c>
    </row>
    <row r="104" spans="1:20" x14ac:dyDescent="0.35">
      <c r="A104" s="33">
        <v>30039288</v>
      </c>
      <c r="B104" s="36" t="s">
        <v>1168</v>
      </c>
      <c r="C104" s="37" t="s">
        <v>86</v>
      </c>
      <c r="D104" s="38"/>
      <c r="E104" s="38" t="s">
        <v>102</v>
      </c>
      <c r="F104" s="37">
        <v>21</v>
      </c>
      <c r="G104" s="37">
        <v>20</v>
      </c>
      <c r="H104" s="37">
        <v>47</v>
      </c>
      <c r="I104" s="37" t="s">
        <v>8</v>
      </c>
      <c r="J104" s="37" t="str">
        <f t="shared" ref="J104:J113" si="10">IF(H104&lt;F104,"Bajo Stock","Stock OK")</f>
        <v>Stock OK</v>
      </c>
      <c r="K104" s="39" t="s">
        <v>1205</v>
      </c>
      <c r="L104" s="40"/>
      <c r="M104" s="40"/>
      <c r="N104" s="37"/>
      <c r="O104" s="36"/>
      <c r="P104" s="42"/>
      <c r="Q104" s="40"/>
      <c r="R104" s="39" t="s">
        <v>1210</v>
      </c>
      <c r="S104" s="44" t="s">
        <v>71</v>
      </c>
      <c r="T104" s="3" t="s">
        <v>1447</v>
      </c>
    </row>
    <row r="105" spans="1:20" x14ac:dyDescent="0.35">
      <c r="A105" s="33">
        <v>30042134</v>
      </c>
      <c r="B105" s="36" t="s">
        <v>916</v>
      </c>
      <c r="C105" s="37" t="s">
        <v>86</v>
      </c>
      <c r="D105" s="38"/>
      <c r="E105" s="38" t="s">
        <v>102</v>
      </c>
      <c r="F105" s="37">
        <v>4</v>
      </c>
      <c r="G105" s="37">
        <v>3</v>
      </c>
      <c r="H105" s="37">
        <v>5</v>
      </c>
      <c r="I105" s="37" t="s">
        <v>8</v>
      </c>
      <c r="J105" s="37" t="str">
        <f t="shared" si="10"/>
        <v>Stock OK</v>
      </c>
      <c r="K105" s="39" t="s">
        <v>1205</v>
      </c>
      <c r="L105" s="40"/>
      <c r="M105" s="40"/>
      <c r="N105" s="37"/>
      <c r="O105" s="36"/>
      <c r="P105" s="42"/>
      <c r="Q105" s="40"/>
      <c r="R105" s="39" t="s">
        <v>1210</v>
      </c>
      <c r="S105" s="44" t="s">
        <v>71</v>
      </c>
      <c r="T105" s="3" t="s">
        <v>1446</v>
      </c>
    </row>
    <row r="106" spans="1:20" x14ac:dyDescent="0.35">
      <c r="A106" s="33">
        <v>30043637</v>
      </c>
      <c r="B106" s="36" t="s">
        <v>917</v>
      </c>
      <c r="C106" s="37" t="s">
        <v>86</v>
      </c>
      <c r="D106" s="38"/>
      <c r="E106" s="38" t="s">
        <v>102</v>
      </c>
      <c r="F106" s="37">
        <v>2</v>
      </c>
      <c r="G106" s="37">
        <v>2</v>
      </c>
      <c r="H106" s="37">
        <v>2</v>
      </c>
      <c r="I106" s="37" t="s">
        <v>8</v>
      </c>
      <c r="J106" s="37" t="str">
        <f t="shared" si="10"/>
        <v>Stock OK</v>
      </c>
      <c r="K106" s="39" t="s">
        <v>1205</v>
      </c>
      <c r="L106" s="40"/>
      <c r="M106" s="40"/>
      <c r="N106" s="37"/>
      <c r="O106" s="36"/>
      <c r="P106" s="42"/>
      <c r="Q106" s="40"/>
      <c r="R106" s="39" t="s">
        <v>1210</v>
      </c>
      <c r="S106" s="44" t="s">
        <v>71</v>
      </c>
      <c r="T106" s="3" t="s">
        <v>1446</v>
      </c>
    </row>
    <row r="107" spans="1:20" x14ac:dyDescent="0.35">
      <c r="A107" s="33">
        <v>30051151</v>
      </c>
      <c r="B107" s="36" t="s">
        <v>919</v>
      </c>
      <c r="C107" s="37" t="s">
        <v>86</v>
      </c>
      <c r="D107" s="38"/>
      <c r="E107" s="38" t="s">
        <v>102</v>
      </c>
      <c r="F107" s="37">
        <v>4</v>
      </c>
      <c r="G107" s="37">
        <v>3</v>
      </c>
      <c r="H107" s="37">
        <v>3</v>
      </c>
      <c r="I107" s="37" t="s">
        <v>8</v>
      </c>
      <c r="J107" s="37" t="str">
        <f t="shared" si="10"/>
        <v>Bajo Stock</v>
      </c>
      <c r="K107" s="39" t="s">
        <v>1205</v>
      </c>
      <c r="L107" s="40"/>
      <c r="M107" s="40"/>
      <c r="N107" s="37"/>
      <c r="O107" s="36"/>
      <c r="P107" s="42"/>
      <c r="Q107" s="40"/>
      <c r="R107" s="39" t="s">
        <v>1210</v>
      </c>
      <c r="S107" s="44" t="s">
        <v>71</v>
      </c>
      <c r="T107" s="3" t="s">
        <v>1446</v>
      </c>
    </row>
    <row r="108" spans="1:20" x14ac:dyDescent="0.35">
      <c r="A108" s="33">
        <v>30051548</v>
      </c>
      <c r="B108" s="36" t="s">
        <v>1169</v>
      </c>
      <c r="C108" s="37" t="s">
        <v>86</v>
      </c>
      <c r="D108" s="38"/>
      <c r="E108" s="38" t="s">
        <v>102</v>
      </c>
      <c r="F108" s="37">
        <v>3</v>
      </c>
      <c r="G108" s="37">
        <v>2</v>
      </c>
      <c r="H108" s="37">
        <v>3</v>
      </c>
      <c r="I108" s="37" t="s">
        <v>8</v>
      </c>
      <c r="J108" s="37" t="str">
        <f t="shared" si="10"/>
        <v>Stock OK</v>
      </c>
      <c r="K108" s="39" t="s">
        <v>1205</v>
      </c>
      <c r="L108" s="40"/>
      <c r="M108" s="40"/>
      <c r="N108" s="37"/>
      <c r="O108" s="36"/>
      <c r="P108" s="42"/>
      <c r="Q108" s="40"/>
      <c r="R108" s="39" t="s">
        <v>1210</v>
      </c>
      <c r="S108" s="44" t="s">
        <v>70</v>
      </c>
      <c r="T108" s="3" t="s">
        <v>1446</v>
      </c>
    </row>
    <row r="109" spans="1:20" x14ac:dyDescent="0.35">
      <c r="A109" s="33">
        <v>30053002</v>
      </c>
      <c r="B109" s="36" t="s">
        <v>920</v>
      </c>
      <c r="C109" s="37" t="s">
        <v>86</v>
      </c>
      <c r="D109" s="38"/>
      <c r="E109" s="38" t="s">
        <v>102</v>
      </c>
      <c r="F109" s="37">
        <v>3</v>
      </c>
      <c r="G109" s="37">
        <v>2</v>
      </c>
      <c r="H109" s="37">
        <v>3</v>
      </c>
      <c r="I109" s="37" t="s">
        <v>8</v>
      </c>
      <c r="J109" s="37" t="str">
        <f t="shared" si="10"/>
        <v>Stock OK</v>
      </c>
      <c r="K109" s="39" t="s">
        <v>1205</v>
      </c>
      <c r="L109" s="40"/>
      <c r="M109" s="40"/>
      <c r="N109" s="37"/>
      <c r="O109" s="36"/>
      <c r="P109" s="42"/>
      <c r="Q109" s="40"/>
      <c r="R109" s="39" t="s">
        <v>1210</v>
      </c>
      <c r="S109" s="44" t="s">
        <v>71</v>
      </c>
      <c r="T109" s="3" t="s">
        <v>1446</v>
      </c>
    </row>
    <row r="110" spans="1:20" x14ac:dyDescent="0.35">
      <c r="A110" s="33">
        <v>30053005</v>
      </c>
      <c r="B110" s="36" t="s">
        <v>921</v>
      </c>
      <c r="C110" s="37" t="s">
        <v>86</v>
      </c>
      <c r="D110" s="38"/>
      <c r="E110" s="38" t="s">
        <v>102</v>
      </c>
      <c r="F110" s="37">
        <v>2</v>
      </c>
      <c r="G110" s="37">
        <v>2</v>
      </c>
      <c r="H110" s="37">
        <v>3</v>
      </c>
      <c r="I110" s="37" t="s">
        <v>8</v>
      </c>
      <c r="J110" s="37" t="str">
        <f t="shared" si="10"/>
        <v>Stock OK</v>
      </c>
      <c r="K110" s="39" t="s">
        <v>1205</v>
      </c>
      <c r="L110" s="40"/>
      <c r="M110" s="40"/>
      <c r="N110" s="37"/>
      <c r="O110" s="36"/>
      <c r="P110" s="42"/>
      <c r="Q110" s="40"/>
      <c r="R110" s="39" t="s">
        <v>1210</v>
      </c>
      <c r="S110" s="44" t="s">
        <v>71</v>
      </c>
      <c r="T110" s="3" t="s">
        <v>1446</v>
      </c>
    </row>
    <row r="111" spans="1:20" x14ac:dyDescent="0.35">
      <c r="A111" s="33">
        <v>30053006</v>
      </c>
      <c r="B111" s="36" t="s">
        <v>922</v>
      </c>
      <c r="C111" s="37" t="s">
        <v>86</v>
      </c>
      <c r="D111" s="38"/>
      <c r="E111" s="38" t="s">
        <v>102</v>
      </c>
      <c r="F111" s="37">
        <v>2</v>
      </c>
      <c r="G111" s="37">
        <v>2</v>
      </c>
      <c r="H111" s="37">
        <v>3</v>
      </c>
      <c r="I111" s="37" t="s">
        <v>8</v>
      </c>
      <c r="J111" s="37" t="str">
        <f t="shared" si="10"/>
        <v>Stock OK</v>
      </c>
      <c r="K111" s="39" t="s">
        <v>1205</v>
      </c>
      <c r="L111" s="40"/>
      <c r="M111" s="40"/>
      <c r="N111" s="37"/>
      <c r="O111" s="36"/>
      <c r="P111" s="42"/>
      <c r="Q111" s="40"/>
      <c r="R111" s="39" t="s">
        <v>1210</v>
      </c>
      <c r="S111" s="44" t="s">
        <v>71</v>
      </c>
      <c r="T111" s="3" t="s">
        <v>1446</v>
      </c>
    </row>
    <row r="112" spans="1:20" x14ac:dyDescent="0.35">
      <c r="A112" s="33">
        <v>30053007</v>
      </c>
      <c r="B112" s="36" t="s">
        <v>923</v>
      </c>
      <c r="C112" s="37" t="s">
        <v>86</v>
      </c>
      <c r="D112" s="38"/>
      <c r="E112" s="38" t="s">
        <v>102</v>
      </c>
      <c r="F112" s="37">
        <v>2</v>
      </c>
      <c r="G112" s="37">
        <v>2</v>
      </c>
      <c r="H112" s="37">
        <v>3</v>
      </c>
      <c r="I112" s="37" t="s">
        <v>8</v>
      </c>
      <c r="J112" s="37" t="str">
        <f t="shared" si="10"/>
        <v>Stock OK</v>
      </c>
      <c r="K112" s="39" t="s">
        <v>1205</v>
      </c>
      <c r="L112" s="40"/>
      <c r="M112" s="40"/>
      <c r="N112" s="37"/>
      <c r="O112" s="36"/>
      <c r="P112" s="42"/>
      <c r="Q112" s="40"/>
      <c r="R112" s="39" t="s">
        <v>1210</v>
      </c>
      <c r="S112" s="44" t="s">
        <v>71</v>
      </c>
      <c r="T112" s="3" t="s">
        <v>1446</v>
      </c>
    </row>
    <row r="113" spans="1:20" x14ac:dyDescent="0.35">
      <c r="A113" s="33">
        <v>30063274</v>
      </c>
      <c r="B113" s="36" t="s">
        <v>924</v>
      </c>
      <c r="C113" s="37" t="s">
        <v>86</v>
      </c>
      <c r="D113" s="38"/>
      <c r="E113" s="38" t="s">
        <v>102</v>
      </c>
      <c r="F113" s="37">
        <v>3</v>
      </c>
      <c r="G113" s="37">
        <v>2</v>
      </c>
      <c r="H113" s="37">
        <v>1</v>
      </c>
      <c r="I113" s="37" t="s">
        <v>8</v>
      </c>
      <c r="J113" s="37" t="str">
        <f t="shared" si="10"/>
        <v>Bajo Stock</v>
      </c>
      <c r="K113" s="39" t="s">
        <v>1205</v>
      </c>
      <c r="L113" s="40"/>
      <c r="M113" s="40"/>
      <c r="N113" s="37"/>
      <c r="O113" s="36"/>
      <c r="P113" s="42"/>
      <c r="Q113" s="40"/>
      <c r="R113" s="39" t="s">
        <v>1210</v>
      </c>
      <c r="S113" s="44" t="s">
        <v>71</v>
      </c>
      <c r="T113" s="3" t="s">
        <v>1446</v>
      </c>
    </row>
    <row r="114" spans="1:20" x14ac:dyDescent="0.35">
      <c r="A114" s="33">
        <v>30067418</v>
      </c>
      <c r="B114" s="36" t="s">
        <v>1170</v>
      </c>
      <c r="C114" s="37" t="s">
        <v>86</v>
      </c>
      <c r="D114" s="38"/>
      <c r="E114" s="38" t="s">
        <v>102</v>
      </c>
      <c r="F114" s="37">
        <v>13</v>
      </c>
      <c r="G114" s="37">
        <v>12</v>
      </c>
      <c r="H114" s="37">
        <v>0</v>
      </c>
      <c r="I114" s="37" t="s">
        <v>8</v>
      </c>
      <c r="J114" s="37" t="s">
        <v>1448</v>
      </c>
      <c r="K114" s="39" t="s">
        <v>1205</v>
      </c>
      <c r="L114" s="40"/>
      <c r="M114" s="40"/>
      <c r="N114" s="37"/>
      <c r="O114" s="36"/>
      <c r="P114" s="42"/>
      <c r="Q114" s="40"/>
      <c r="R114" s="39" t="s">
        <v>1210</v>
      </c>
      <c r="S114" s="44" t="s">
        <v>71</v>
      </c>
      <c r="T114" s="3" t="s">
        <v>1447</v>
      </c>
    </row>
    <row r="115" spans="1:20" x14ac:dyDescent="0.35">
      <c r="A115" s="33">
        <v>30067419</v>
      </c>
      <c r="B115" s="36" t="s">
        <v>1171</v>
      </c>
      <c r="C115" s="37" t="s">
        <v>86</v>
      </c>
      <c r="D115" s="38"/>
      <c r="E115" s="38" t="s">
        <v>102</v>
      </c>
      <c r="F115" s="37">
        <v>5</v>
      </c>
      <c r="G115" s="37">
        <v>4</v>
      </c>
      <c r="H115" s="37">
        <v>0</v>
      </c>
      <c r="I115" s="37" t="s">
        <v>8</v>
      </c>
      <c r="J115" s="37" t="s">
        <v>1448</v>
      </c>
      <c r="K115" s="39" t="s">
        <v>1205</v>
      </c>
      <c r="L115" s="40"/>
      <c r="M115" s="40"/>
      <c r="N115" s="37"/>
      <c r="O115" s="36"/>
      <c r="P115" s="42"/>
      <c r="Q115" s="40"/>
      <c r="R115" s="39" t="s">
        <v>1210</v>
      </c>
      <c r="S115" s="44" t="s">
        <v>71</v>
      </c>
      <c r="T115" s="3" t="s">
        <v>1447</v>
      </c>
    </row>
    <row r="116" spans="1:20" x14ac:dyDescent="0.35">
      <c r="A116" s="33">
        <v>30067420</v>
      </c>
      <c r="B116" s="36" t="s">
        <v>1172</v>
      </c>
      <c r="C116" s="37" t="s">
        <v>86</v>
      </c>
      <c r="D116" s="38"/>
      <c r="E116" s="38" t="s">
        <v>102</v>
      </c>
      <c r="F116" s="37">
        <v>52</v>
      </c>
      <c r="G116" s="37">
        <v>51</v>
      </c>
      <c r="H116" s="37">
        <v>0</v>
      </c>
      <c r="I116" s="37" t="s">
        <v>8</v>
      </c>
      <c r="J116" s="37" t="s">
        <v>1448</v>
      </c>
      <c r="K116" s="39" t="s">
        <v>1205</v>
      </c>
      <c r="L116" s="40"/>
      <c r="M116" s="40"/>
      <c r="N116" s="37"/>
      <c r="O116" s="36"/>
      <c r="P116" s="42"/>
      <c r="Q116" s="40"/>
      <c r="R116" s="39" t="s">
        <v>1210</v>
      </c>
      <c r="S116" s="44" t="s">
        <v>71</v>
      </c>
      <c r="T116" s="3" t="s">
        <v>1447</v>
      </c>
    </row>
    <row r="117" spans="1:20" x14ac:dyDescent="0.35">
      <c r="A117" s="33">
        <v>30067421</v>
      </c>
      <c r="B117" s="36" t="s">
        <v>1173</v>
      </c>
      <c r="C117" s="37" t="s">
        <v>86</v>
      </c>
      <c r="D117" s="38"/>
      <c r="E117" s="38" t="s">
        <v>102</v>
      </c>
      <c r="F117" s="37">
        <v>17</v>
      </c>
      <c r="G117" s="37">
        <v>16</v>
      </c>
      <c r="H117" s="37">
        <v>0</v>
      </c>
      <c r="I117" s="37" t="s">
        <v>8</v>
      </c>
      <c r="J117" s="37" t="s">
        <v>1448</v>
      </c>
      <c r="K117" s="39" t="s">
        <v>1205</v>
      </c>
      <c r="L117" s="40"/>
      <c r="M117" s="40"/>
      <c r="N117" s="37"/>
      <c r="O117" s="36"/>
      <c r="P117" s="42"/>
      <c r="Q117" s="40"/>
      <c r="R117" s="39" t="s">
        <v>1210</v>
      </c>
      <c r="S117" s="44" t="s">
        <v>71</v>
      </c>
      <c r="T117" s="3" t="s">
        <v>1447</v>
      </c>
    </row>
    <row r="118" spans="1:20" x14ac:dyDescent="0.35">
      <c r="A118" s="33">
        <v>30067422</v>
      </c>
      <c r="B118" s="36" t="s">
        <v>1174</v>
      </c>
      <c r="C118" s="37" t="s">
        <v>86</v>
      </c>
      <c r="D118" s="38"/>
      <c r="E118" s="38" t="s">
        <v>102</v>
      </c>
      <c r="F118" s="37">
        <v>17</v>
      </c>
      <c r="G118" s="37">
        <v>16</v>
      </c>
      <c r="H118" s="37">
        <v>0</v>
      </c>
      <c r="I118" s="37" t="s">
        <v>8</v>
      </c>
      <c r="J118" s="37" t="s">
        <v>1448</v>
      </c>
      <c r="K118" s="39" t="s">
        <v>1205</v>
      </c>
      <c r="L118" s="40"/>
      <c r="M118" s="40"/>
      <c r="N118" s="37"/>
      <c r="O118" s="36"/>
      <c r="P118" s="42"/>
      <c r="Q118" s="40"/>
      <c r="R118" s="39" t="s">
        <v>1210</v>
      </c>
      <c r="S118" s="44" t="s">
        <v>71</v>
      </c>
      <c r="T118" s="3" t="s">
        <v>1447</v>
      </c>
    </row>
    <row r="119" spans="1:20" x14ac:dyDescent="0.35">
      <c r="A119" s="33">
        <v>30067423</v>
      </c>
      <c r="B119" s="36" t="s">
        <v>1175</v>
      </c>
      <c r="C119" s="37" t="s">
        <v>86</v>
      </c>
      <c r="D119" s="38"/>
      <c r="E119" s="38" t="s">
        <v>102</v>
      </c>
      <c r="F119" s="37">
        <v>35</v>
      </c>
      <c r="G119" s="37">
        <v>34</v>
      </c>
      <c r="H119" s="37">
        <v>1</v>
      </c>
      <c r="I119" s="37" t="s">
        <v>8</v>
      </c>
      <c r="J119" s="37" t="str">
        <f>IF(H119&lt;F119,"Bajo Stock","Stock OK")</f>
        <v>Bajo Stock</v>
      </c>
      <c r="K119" s="39" t="s">
        <v>1205</v>
      </c>
      <c r="L119" s="40"/>
      <c r="M119" s="40"/>
      <c r="N119" s="37"/>
      <c r="O119" s="36"/>
      <c r="P119" s="42"/>
      <c r="Q119" s="40"/>
      <c r="R119" s="39" t="s">
        <v>1210</v>
      </c>
      <c r="S119" s="44" t="s">
        <v>71</v>
      </c>
      <c r="T119" s="3" t="s">
        <v>1447</v>
      </c>
    </row>
    <row r="120" spans="1:20" x14ac:dyDescent="0.35">
      <c r="A120" s="33">
        <v>30067424</v>
      </c>
      <c r="B120" s="36" t="s">
        <v>1176</v>
      </c>
      <c r="C120" s="37" t="s">
        <v>86</v>
      </c>
      <c r="D120" s="38"/>
      <c r="E120" s="38" t="s">
        <v>102</v>
      </c>
      <c r="F120" s="37">
        <v>5</v>
      </c>
      <c r="G120" s="37">
        <v>4</v>
      </c>
      <c r="H120" s="37">
        <v>0</v>
      </c>
      <c r="I120" s="37" t="s">
        <v>8</v>
      </c>
      <c r="J120" s="37" t="s">
        <v>1448</v>
      </c>
      <c r="K120" s="39" t="s">
        <v>1205</v>
      </c>
      <c r="L120" s="40"/>
      <c r="M120" s="40"/>
      <c r="N120" s="37"/>
      <c r="O120" s="36"/>
      <c r="P120" s="42"/>
      <c r="Q120" s="40"/>
      <c r="R120" s="39" t="s">
        <v>1210</v>
      </c>
      <c r="S120" s="44" t="s">
        <v>71</v>
      </c>
      <c r="T120" s="3" t="s">
        <v>1447</v>
      </c>
    </row>
    <row r="121" spans="1:20" x14ac:dyDescent="0.35">
      <c r="A121" s="33">
        <v>30067425</v>
      </c>
      <c r="B121" s="36" t="s">
        <v>1177</v>
      </c>
      <c r="C121" s="37" t="s">
        <v>86</v>
      </c>
      <c r="D121" s="38"/>
      <c r="E121" s="38" t="s">
        <v>102</v>
      </c>
      <c r="F121" s="37">
        <v>5</v>
      </c>
      <c r="G121" s="37">
        <v>4</v>
      </c>
      <c r="H121" s="37">
        <v>0</v>
      </c>
      <c r="I121" s="37" t="s">
        <v>8</v>
      </c>
      <c r="J121" s="37" t="s">
        <v>1448</v>
      </c>
      <c r="K121" s="39" t="s">
        <v>1205</v>
      </c>
      <c r="L121" s="40"/>
      <c r="M121" s="40"/>
      <c r="N121" s="37"/>
      <c r="O121" s="36"/>
      <c r="P121" s="42"/>
      <c r="Q121" s="40"/>
      <c r="R121" s="39" t="s">
        <v>1210</v>
      </c>
      <c r="S121" s="44" t="s">
        <v>71</v>
      </c>
      <c r="T121" s="3" t="s">
        <v>1447</v>
      </c>
    </row>
    <row r="122" spans="1:20" x14ac:dyDescent="0.35">
      <c r="A122" s="33">
        <v>30067426</v>
      </c>
      <c r="B122" s="36" t="s">
        <v>1178</v>
      </c>
      <c r="C122" s="37" t="s">
        <v>86</v>
      </c>
      <c r="D122" s="38"/>
      <c r="E122" s="38" t="s">
        <v>102</v>
      </c>
      <c r="F122" s="37">
        <v>64</v>
      </c>
      <c r="G122" s="37">
        <v>63</v>
      </c>
      <c r="H122" s="37">
        <v>0</v>
      </c>
      <c r="I122" s="37" t="s">
        <v>8</v>
      </c>
      <c r="J122" s="37" t="s">
        <v>1448</v>
      </c>
      <c r="K122" s="39" t="s">
        <v>1205</v>
      </c>
      <c r="L122" s="40"/>
      <c r="M122" s="40"/>
      <c r="N122" s="37"/>
      <c r="O122" s="36"/>
      <c r="P122" s="42"/>
      <c r="Q122" s="40"/>
      <c r="R122" s="39" t="s">
        <v>1210</v>
      </c>
      <c r="S122" s="44" t="s">
        <v>71</v>
      </c>
      <c r="T122" s="3" t="s">
        <v>1447</v>
      </c>
    </row>
    <row r="123" spans="1:20" x14ac:dyDescent="0.35">
      <c r="A123" s="33">
        <v>30067427</v>
      </c>
      <c r="B123" s="36" t="s">
        <v>1179</v>
      </c>
      <c r="C123" s="37" t="s">
        <v>86</v>
      </c>
      <c r="D123" s="38"/>
      <c r="E123" s="38" t="s">
        <v>102</v>
      </c>
      <c r="F123" s="37">
        <v>11</v>
      </c>
      <c r="G123" s="37">
        <v>10</v>
      </c>
      <c r="H123" s="37">
        <v>0</v>
      </c>
      <c r="I123" s="37" t="s">
        <v>8</v>
      </c>
      <c r="J123" s="37" t="s">
        <v>1448</v>
      </c>
      <c r="K123" s="39" t="s">
        <v>1205</v>
      </c>
      <c r="L123" s="40"/>
      <c r="M123" s="40"/>
      <c r="N123" s="37"/>
      <c r="O123" s="36"/>
      <c r="P123" s="42"/>
      <c r="Q123" s="40"/>
      <c r="R123" s="39" t="s">
        <v>1210</v>
      </c>
      <c r="S123" s="44" t="s">
        <v>71</v>
      </c>
      <c r="T123" s="3" t="s">
        <v>1447</v>
      </c>
    </row>
    <row r="124" spans="1:20" x14ac:dyDescent="0.35">
      <c r="A124" s="33">
        <v>30067428</v>
      </c>
      <c r="B124" s="36" t="s">
        <v>1180</v>
      </c>
      <c r="C124" s="37" t="s">
        <v>86</v>
      </c>
      <c r="D124" s="38"/>
      <c r="E124" s="38" t="s">
        <v>102</v>
      </c>
      <c r="F124" s="37">
        <v>121</v>
      </c>
      <c r="G124" s="37">
        <v>120</v>
      </c>
      <c r="H124" s="37">
        <v>1</v>
      </c>
      <c r="I124" s="37" t="s">
        <v>8</v>
      </c>
      <c r="J124" s="37" t="str">
        <f t="shared" ref="J124:J126" si="11">IF(H124&lt;F124,"Bajo Stock","Stock OK")</f>
        <v>Bajo Stock</v>
      </c>
      <c r="K124" s="39" t="s">
        <v>1205</v>
      </c>
      <c r="L124" s="40"/>
      <c r="M124" s="40"/>
      <c r="N124" s="37"/>
      <c r="O124" s="36"/>
      <c r="P124" s="42"/>
      <c r="Q124" s="40"/>
      <c r="R124" s="39" t="s">
        <v>1210</v>
      </c>
      <c r="S124" s="44" t="s">
        <v>71</v>
      </c>
      <c r="T124" s="3" t="s">
        <v>1447</v>
      </c>
    </row>
    <row r="125" spans="1:20" x14ac:dyDescent="0.35">
      <c r="A125" s="33">
        <v>30067429</v>
      </c>
      <c r="B125" s="36" t="s">
        <v>1181</v>
      </c>
      <c r="C125" s="37" t="s">
        <v>86</v>
      </c>
      <c r="D125" s="38"/>
      <c r="E125" s="38" t="s">
        <v>102</v>
      </c>
      <c r="F125" s="37">
        <v>46</v>
      </c>
      <c r="G125" s="37">
        <v>45</v>
      </c>
      <c r="H125" s="37">
        <v>1</v>
      </c>
      <c r="I125" s="37" t="s">
        <v>8</v>
      </c>
      <c r="J125" s="37" t="str">
        <f t="shared" si="11"/>
        <v>Bajo Stock</v>
      </c>
      <c r="K125" s="39" t="s">
        <v>1205</v>
      </c>
      <c r="L125" s="40"/>
      <c r="M125" s="40"/>
      <c r="N125" s="37"/>
      <c r="O125" s="36"/>
      <c r="P125" s="42"/>
      <c r="Q125" s="40"/>
      <c r="R125" s="39" t="s">
        <v>1210</v>
      </c>
      <c r="S125" s="44" t="s">
        <v>71</v>
      </c>
      <c r="T125" s="3" t="s">
        <v>1447</v>
      </c>
    </row>
    <row r="126" spans="1:20" x14ac:dyDescent="0.35">
      <c r="A126" s="33">
        <v>30067430</v>
      </c>
      <c r="B126" s="36" t="s">
        <v>1182</v>
      </c>
      <c r="C126" s="37" t="s">
        <v>86</v>
      </c>
      <c r="D126" s="38"/>
      <c r="E126" s="38" t="s">
        <v>102</v>
      </c>
      <c r="F126" s="37">
        <v>13</v>
      </c>
      <c r="G126" s="37">
        <v>12</v>
      </c>
      <c r="H126" s="37">
        <v>2</v>
      </c>
      <c r="I126" s="37" t="s">
        <v>8</v>
      </c>
      <c r="J126" s="37" t="str">
        <f t="shared" si="11"/>
        <v>Bajo Stock</v>
      </c>
      <c r="K126" s="39" t="s">
        <v>1205</v>
      </c>
      <c r="L126" s="40"/>
      <c r="M126" s="40"/>
      <c r="N126" s="37"/>
      <c r="O126" s="36"/>
      <c r="P126" s="42"/>
      <c r="Q126" s="40"/>
      <c r="R126" s="39" t="s">
        <v>1210</v>
      </c>
      <c r="S126" s="44" t="s">
        <v>71</v>
      </c>
      <c r="T126" s="3" t="s">
        <v>1447</v>
      </c>
    </row>
    <row r="127" spans="1:20" x14ac:dyDescent="0.35">
      <c r="A127" s="33">
        <v>30067431</v>
      </c>
      <c r="B127" s="36" t="s">
        <v>1183</v>
      </c>
      <c r="C127" s="37" t="s">
        <v>86</v>
      </c>
      <c r="D127" s="38"/>
      <c r="E127" s="38" t="s">
        <v>102</v>
      </c>
      <c r="F127" s="37">
        <v>4</v>
      </c>
      <c r="G127" s="37">
        <v>3</v>
      </c>
      <c r="H127" s="37">
        <v>0</v>
      </c>
      <c r="I127" s="37" t="s">
        <v>8</v>
      </c>
      <c r="J127" s="37" t="s">
        <v>1448</v>
      </c>
      <c r="K127" s="39" t="s">
        <v>1205</v>
      </c>
      <c r="L127" s="40"/>
      <c r="M127" s="40"/>
      <c r="N127" s="37"/>
      <c r="O127" s="36"/>
      <c r="P127" s="42"/>
      <c r="Q127" s="40"/>
      <c r="R127" s="39" t="s">
        <v>1210</v>
      </c>
      <c r="S127" s="44" t="s">
        <v>71</v>
      </c>
      <c r="T127" s="3" t="s">
        <v>1447</v>
      </c>
    </row>
    <row r="128" spans="1:20" x14ac:dyDescent="0.35">
      <c r="A128" s="33">
        <v>30067432</v>
      </c>
      <c r="B128" s="36" t="s">
        <v>1184</v>
      </c>
      <c r="C128" s="37" t="s">
        <v>86</v>
      </c>
      <c r="D128" s="38"/>
      <c r="E128" s="38" t="s">
        <v>102</v>
      </c>
      <c r="F128" s="37">
        <v>69</v>
      </c>
      <c r="G128" s="37">
        <v>68</v>
      </c>
      <c r="H128" s="37">
        <v>1</v>
      </c>
      <c r="I128" s="37" t="s">
        <v>8</v>
      </c>
      <c r="J128" s="37" t="str">
        <f>IF(H128&lt;F128,"Bajo Stock","Stock OK")</f>
        <v>Bajo Stock</v>
      </c>
      <c r="K128" s="39" t="s">
        <v>1205</v>
      </c>
      <c r="L128" s="40"/>
      <c r="M128" s="40"/>
      <c r="N128" s="37"/>
      <c r="O128" s="36"/>
      <c r="P128" s="42"/>
      <c r="Q128" s="40"/>
      <c r="R128" s="39" t="s">
        <v>1210</v>
      </c>
      <c r="S128" s="44" t="s">
        <v>71</v>
      </c>
      <c r="T128" s="3" t="s">
        <v>1447</v>
      </c>
    </row>
    <row r="129" spans="1:20" x14ac:dyDescent="0.35">
      <c r="A129" s="33">
        <v>30067433</v>
      </c>
      <c r="B129" s="36" t="s">
        <v>1185</v>
      </c>
      <c r="C129" s="37" t="s">
        <v>86</v>
      </c>
      <c r="D129" s="38"/>
      <c r="E129" s="38" t="s">
        <v>102</v>
      </c>
      <c r="F129" s="37">
        <v>39</v>
      </c>
      <c r="G129" s="37">
        <v>38</v>
      </c>
      <c r="H129" s="37">
        <v>0</v>
      </c>
      <c r="I129" s="37" t="s">
        <v>8</v>
      </c>
      <c r="J129" s="37" t="s">
        <v>1448</v>
      </c>
      <c r="K129" s="39" t="s">
        <v>1205</v>
      </c>
      <c r="L129" s="40"/>
      <c r="M129" s="40"/>
      <c r="N129" s="37"/>
      <c r="O129" s="36"/>
      <c r="P129" s="42"/>
      <c r="Q129" s="40"/>
      <c r="R129" s="39" t="s">
        <v>1210</v>
      </c>
      <c r="S129" s="44" t="s">
        <v>71</v>
      </c>
      <c r="T129" s="3" t="s">
        <v>1447</v>
      </c>
    </row>
    <row r="130" spans="1:20" x14ac:dyDescent="0.35">
      <c r="A130" s="33">
        <v>30067434</v>
      </c>
      <c r="B130" s="36" t="s">
        <v>1186</v>
      </c>
      <c r="C130" s="37" t="s">
        <v>86</v>
      </c>
      <c r="D130" s="38"/>
      <c r="E130" s="38" t="s">
        <v>102</v>
      </c>
      <c r="F130" s="37">
        <v>2</v>
      </c>
      <c r="G130" s="37">
        <v>1</v>
      </c>
      <c r="H130" s="37">
        <v>0</v>
      </c>
      <c r="I130" s="37" t="s">
        <v>8</v>
      </c>
      <c r="J130" s="37" t="s">
        <v>1448</v>
      </c>
      <c r="K130" s="39" t="s">
        <v>1205</v>
      </c>
      <c r="L130" s="40"/>
      <c r="M130" s="40"/>
      <c r="N130" s="37"/>
      <c r="O130" s="36"/>
      <c r="P130" s="42"/>
      <c r="Q130" s="40"/>
      <c r="R130" s="39" t="s">
        <v>1210</v>
      </c>
      <c r="S130" s="44" t="s">
        <v>71</v>
      </c>
      <c r="T130" s="3" t="s">
        <v>1447</v>
      </c>
    </row>
    <row r="131" spans="1:20" x14ac:dyDescent="0.35">
      <c r="A131" s="33">
        <v>30067435</v>
      </c>
      <c r="B131" s="36" t="s">
        <v>1187</v>
      </c>
      <c r="C131" s="37" t="s">
        <v>86</v>
      </c>
      <c r="D131" s="38"/>
      <c r="E131" s="38" t="s">
        <v>102</v>
      </c>
      <c r="F131" s="37">
        <v>3</v>
      </c>
      <c r="G131" s="37">
        <v>2</v>
      </c>
      <c r="H131" s="37">
        <v>0</v>
      </c>
      <c r="I131" s="37" t="s">
        <v>8</v>
      </c>
      <c r="J131" s="37" t="s">
        <v>1448</v>
      </c>
      <c r="K131" s="39" t="s">
        <v>1205</v>
      </c>
      <c r="L131" s="40"/>
      <c r="M131" s="40"/>
      <c r="N131" s="37"/>
      <c r="O131" s="36"/>
      <c r="P131" s="42"/>
      <c r="Q131" s="40"/>
      <c r="R131" s="39" t="s">
        <v>1210</v>
      </c>
      <c r="S131" s="44" t="s">
        <v>71</v>
      </c>
      <c r="T131" s="3" t="s">
        <v>1447</v>
      </c>
    </row>
    <row r="132" spans="1:20" x14ac:dyDescent="0.35">
      <c r="A132" s="33">
        <v>30067436</v>
      </c>
      <c r="B132" s="36" t="s">
        <v>1188</v>
      </c>
      <c r="C132" s="37" t="s">
        <v>86</v>
      </c>
      <c r="D132" s="38"/>
      <c r="E132" s="38" t="s">
        <v>102</v>
      </c>
      <c r="F132" s="37">
        <v>61</v>
      </c>
      <c r="G132" s="37">
        <v>60</v>
      </c>
      <c r="H132" s="37">
        <v>0</v>
      </c>
      <c r="I132" s="37" t="s">
        <v>8</v>
      </c>
      <c r="J132" s="37" t="s">
        <v>1448</v>
      </c>
      <c r="K132" s="39" t="s">
        <v>1205</v>
      </c>
      <c r="L132" s="40"/>
      <c r="M132" s="40"/>
      <c r="N132" s="37"/>
      <c r="O132" s="36"/>
      <c r="P132" s="42"/>
      <c r="Q132" s="40"/>
      <c r="R132" s="39" t="s">
        <v>1210</v>
      </c>
      <c r="S132" s="44" t="s">
        <v>71</v>
      </c>
      <c r="T132" s="3" t="s">
        <v>1447</v>
      </c>
    </row>
    <row r="133" spans="1:20" x14ac:dyDescent="0.35">
      <c r="A133" s="33">
        <v>30067437</v>
      </c>
      <c r="B133" s="36" t="s">
        <v>1189</v>
      </c>
      <c r="C133" s="37" t="s">
        <v>86</v>
      </c>
      <c r="D133" s="38"/>
      <c r="E133" s="38" t="s">
        <v>102</v>
      </c>
      <c r="F133" s="37">
        <v>13</v>
      </c>
      <c r="G133" s="37">
        <v>12</v>
      </c>
      <c r="H133" s="37">
        <v>0</v>
      </c>
      <c r="I133" s="37" t="s">
        <v>8</v>
      </c>
      <c r="J133" s="37" t="s">
        <v>1448</v>
      </c>
      <c r="K133" s="39" t="s">
        <v>1205</v>
      </c>
      <c r="L133" s="40"/>
      <c r="M133" s="40"/>
      <c r="N133" s="37"/>
      <c r="O133" s="36"/>
      <c r="P133" s="42"/>
      <c r="Q133" s="40"/>
      <c r="R133" s="39" t="s">
        <v>1210</v>
      </c>
      <c r="S133" s="44" t="s">
        <v>71</v>
      </c>
      <c r="T133" s="3" t="s">
        <v>1447</v>
      </c>
    </row>
    <row r="134" spans="1:20" x14ac:dyDescent="0.35">
      <c r="A134" s="33">
        <v>30067438</v>
      </c>
      <c r="B134" s="36" t="s">
        <v>1190</v>
      </c>
      <c r="C134" s="37" t="s">
        <v>86</v>
      </c>
      <c r="D134" s="38"/>
      <c r="E134" s="38" t="s">
        <v>102</v>
      </c>
      <c r="F134" s="37">
        <v>41</v>
      </c>
      <c r="G134" s="37">
        <v>40</v>
      </c>
      <c r="H134" s="37">
        <v>1</v>
      </c>
      <c r="I134" s="37" t="s">
        <v>8</v>
      </c>
      <c r="J134" s="37" t="str">
        <f>IF(H134&lt;F134,"Bajo Stock","Stock OK")</f>
        <v>Bajo Stock</v>
      </c>
      <c r="K134" s="39" t="s">
        <v>1205</v>
      </c>
      <c r="L134" s="40"/>
      <c r="M134" s="40"/>
      <c r="N134" s="37"/>
      <c r="O134" s="36"/>
      <c r="P134" s="42"/>
      <c r="Q134" s="40"/>
      <c r="R134" s="39" t="s">
        <v>1210</v>
      </c>
      <c r="S134" s="44" t="s">
        <v>71</v>
      </c>
      <c r="T134" s="3" t="s">
        <v>1447</v>
      </c>
    </row>
    <row r="135" spans="1:20" x14ac:dyDescent="0.35">
      <c r="A135" s="33">
        <v>30067439</v>
      </c>
      <c r="B135" s="36" t="s">
        <v>1191</v>
      </c>
      <c r="C135" s="37" t="s">
        <v>86</v>
      </c>
      <c r="D135" s="38"/>
      <c r="E135" s="38" t="s">
        <v>102</v>
      </c>
      <c r="F135" s="37">
        <v>2</v>
      </c>
      <c r="G135" s="37">
        <v>1</v>
      </c>
      <c r="H135" s="37">
        <v>0</v>
      </c>
      <c r="I135" s="37" t="s">
        <v>8</v>
      </c>
      <c r="J135" s="37" t="s">
        <v>1448</v>
      </c>
      <c r="K135" s="39" t="s">
        <v>1205</v>
      </c>
      <c r="L135" s="40"/>
      <c r="M135" s="40"/>
      <c r="N135" s="37"/>
      <c r="O135" s="36"/>
      <c r="P135" s="42"/>
      <c r="Q135" s="40"/>
      <c r="R135" s="39" t="s">
        <v>1210</v>
      </c>
      <c r="S135" s="44" t="s">
        <v>71</v>
      </c>
      <c r="T135" s="3" t="s">
        <v>1447</v>
      </c>
    </row>
    <row r="136" spans="1:20" x14ac:dyDescent="0.35">
      <c r="A136" s="33">
        <v>30067440</v>
      </c>
      <c r="B136" s="36" t="s">
        <v>1192</v>
      </c>
      <c r="C136" s="37" t="s">
        <v>86</v>
      </c>
      <c r="D136" s="38"/>
      <c r="E136" s="38" t="s">
        <v>102</v>
      </c>
      <c r="F136" s="37">
        <v>86</v>
      </c>
      <c r="G136" s="37">
        <v>85</v>
      </c>
      <c r="H136" s="37">
        <v>1</v>
      </c>
      <c r="I136" s="37" t="s">
        <v>8</v>
      </c>
      <c r="J136" s="37" t="str">
        <f>IF(H136&lt;F136,"Bajo Stock","Stock OK")</f>
        <v>Bajo Stock</v>
      </c>
      <c r="K136" s="39" t="s">
        <v>1205</v>
      </c>
      <c r="L136" s="40"/>
      <c r="M136" s="40"/>
      <c r="N136" s="37"/>
      <c r="O136" s="36"/>
      <c r="P136" s="42"/>
      <c r="Q136" s="40"/>
      <c r="R136" s="39" t="s">
        <v>1210</v>
      </c>
      <c r="S136" s="44" t="s">
        <v>71</v>
      </c>
      <c r="T136" s="3" t="s">
        <v>1447</v>
      </c>
    </row>
    <row r="137" spans="1:20" x14ac:dyDescent="0.35">
      <c r="A137" s="33">
        <v>30067441</v>
      </c>
      <c r="B137" s="36" t="s">
        <v>1193</v>
      </c>
      <c r="C137" s="37" t="s">
        <v>86</v>
      </c>
      <c r="D137" s="38"/>
      <c r="E137" s="38" t="s">
        <v>102</v>
      </c>
      <c r="F137" s="37">
        <v>2</v>
      </c>
      <c r="G137" s="37">
        <v>1</v>
      </c>
      <c r="H137" s="37">
        <v>0</v>
      </c>
      <c r="I137" s="37" t="s">
        <v>8</v>
      </c>
      <c r="J137" s="37" t="s">
        <v>1448</v>
      </c>
      <c r="K137" s="39" t="s">
        <v>1205</v>
      </c>
      <c r="L137" s="40"/>
      <c r="M137" s="40"/>
      <c r="N137" s="37"/>
      <c r="O137" s="36"/>
      <c r="P137" s="42"/>
      <c r="Q137" s="40"/>
      <c r="R137" s="39" t="s">
        <v>1210</v>
      </c>
      <c r="S137" s="44" t="s">
        <v>71</v>
      </c>
      <c r="T137" s="3" t="s">
        <v>1447</v>
      </c>
    </row>
    <row r="138" spans="1:20" x14ac:dyDescent="0.35">
      <c r="A138" s="33">
        <v>30067442</v>
      </c>
      <c r="B138" s="36" t="s">
        <v>1194</v>
      </c>
      <c r="C138" s="37" t="s">
        <v>86</v>
      </c>
      <c r="D138" s="38"/>
      <c r="E138" s="38" t="s">
        <v>102</v>
      </c>
      <c r="F138" s="37">
        <v>3</v>
      </c>
      <c r="G138" s="37">
        <v>2</v>
      </c>
      <c r="H138" s="37">
        <v>0</v>
      </c>
      <c r="I138" s="37" t="s">
        <v>8</v>
      </c>
      <c r="J138" s="37" t="s">
        <v>1448</v>
      </c>
      <c r="K138" s="39" t="s">
        <v>1205</v>
      </c>
      <c r="L138" s="40"/>
      <c r="M138" s="40"/>
      <c r="N138" s="37"/>
      <c r="O138" s="36"/>
      <c r="P138" s="42"/>
      <c r="Q138" s="40"/>
      <c r="R138" s="39" t="s">
        <v>1210</v>
      </c>
      <c r="S138" s="44" t="s">
        <v>71</v>
      </c>
      <c r="T138" s="3" t="s">
        <v>1447</v>
      </c>
    </row>
    <row r="139" spans="1:20" x14ac:dyDescent="0.35">
      <c r="A139" s="33">
        <v>30067443</v>
      </c>
      <c r="B139" s="36" t="s">
        <v>1195</v>
      </c>
      <c r="C139" s="37" t="s">
        <v>86</v>
      </c>
      <c r="D139" s="38"/>
      <c r="E139" s="38" t="s">
        <v>102</v>
      </c>
      <c r="F139" s="37">
        <v>61</v>
      </c>
      <c r="G139" s="37">
        <v>60</v>
      </c>
      <c r="H139" s="37">
        <v>2</v>
      </c>
      <c r="I139" s="37" t="s">
        <v>8</v>
      </c>
      <c r="J139" s="37" t="str">
        <f t="shared" ref="J139:J142" si="12">IF(H139&lt;F139,"Bajo Stock","Stock OK")</f>
        <v>Bajo Stock</v>
      </c>
      <c r="K139" s="39" t="s">
        <v>1205</v>
      </c>
      <c r="L139" s="40"/>
      <c r="M139" s="40"/>
      <c r="N139" s="37"/>
      <c r="O139" s="36"/>
      <c r="P139" s="42"/>
      <c r="Q139" s="40"/>
      <c r="R139" s="39" t="s">
        <v>1210</v>
      </c>
      <c r="S139" s="44" t="s">
        <v>71</v>
      </c>
      <c r="T139" s="3" t="s">
        <v>1447</v>
      </c>
    </row>
    <row r="140" spans="1:20" x14ac:dyDescent="0.35">
      <c r="A140" s="33">
        <v>30067444</v>
      </c>
      <c r="B140" s="36" t="s">
        <v>1196</v>
      </c>
      <c r="C140" s="37" t="s">
        <v>86</v>
      </c>
      <c r="D140" s="38"/>
      <c r="E140" s="38" t="s">
        <v>102</v>
      </c>
      <c r="F140" s="37">
        <v>42</v>
      </c>
      <c r="G140" s="37">
        <v>41</v>
      </c>
      <c r="H140" s="37">
        <v>1</v>
      </c>
      <c r="I140" s="37" t="s">
        <v>8</v>
      </c>
      <c r="J140" s="37" t="str">
        <f t="shared" si="12"/>
        <v>Bajo Stock</v>
      </c>
      <c r="K140" s="39" t="s">
        <v>1205</v>
      </c>
      <c r="L140" s="40"/>
      <c r="M140" s="40"/>
      <c r="N140" s="37"/>
      <c r="O140" s="36"/>
      <c r="P140" s="42"/>
      <c r="Q140" s="40"/>
      <c r="R140" s="39" t="s">
        <v>1210</v>
      </c>
      <c r="S140" s="44" t="s">
        <v>71</v>
      </c>
      <c r="T140" s="3" t="s">
        <v>1447</v>
      </c>
    </row>
    <row r="141" spans="1:20" x14ac:dyDescent="0.35">
      <c r="A141" s="33">
        <v>30067445</v>
      </c>
      <c r="B141" s="36" t="s">
        <v>1197</v>
      </c>
      <c r="C141" s="37" t="s">
        <v>86</v>
      </c>
      <c r="D141" s="38"/>
      <c r="E141" s="38" t="s">
        <v>102</v>
      </c>
      <c r="F141" s="37">
        <v>31</v>
      </c>
      <c r="G141" s="37">
        <v>30</v>
      </c>
      <c r="H141" s="37">
        <v>1</v>
      </c>
      <c r="I141" s="37" t="s">
        <v>8</v>
      </c>
      <c r="J141" s="37" t="str">
        <f t="shared" si="12"/>
        <v>Bajo Stock</v>
      </c>
      <c r="K141" s="39" t="s">
        <v>1205</v>
      </c>
      <c r="L141" s="40"/>
      <c r="M141" s="40"/>
      <c r="N141" s="37"/>
      <c r="O141" s="36"/>
      <c r="P141" s="42"/>
      <c r="Q141" s="40"/>
      <c r="R141" s="39" t="s">
        <v>1210</v>
      </c>
      <c r="S141" s="44" t="s">
        <v>71</v>
      </c>
      <c r="T141" s="3" t="s">
        <v>1447</v>
      </c>
    </row>
    <row r="142" spans="1:20" x14ac:dyDescent="0.35">
      <c r="A142" s="33">
        <v>30067446</v>
      </c>
      <c r="B142" s="36" t="s">
        <v>1198</v>
      </c>
      <c r="C142" s="37" t="s">
        <v>86</v>
      </c>
      <c r="D142" s="38"/>
      <c r="E142" s="38" t="s">
        <v>102</v>
      </c>
      <c r="F142" s="37">
        <v>81</v>
      </c>
      <c r="G142" s="37">
        <v>80</v>
      </c>
      <c r="H142" s="37">
        <v>1</v>
      </c>
      <c r="I142" s="37" t="s">
        <v>8</v>
      </c>
      <c r="J142" s="37" t="str">
        <f t="shared" si="12"/>
        <v>Bajo Stock</v>
      </c>
      <c r="K142" s="39" t="s">
        <v>1205</v>
      </c>
      <c r="L142" s="40"/>
      <c r="M142" s="40"/>
      <c r="N142" s="37"/>
      <c r="O142" s="36"/>
      <c r="P142" s="42"/>
      <c r="Q142" s="40"/>
      <c r="R142" s="39" t="s">
        <v>1210</v>
      </c>
      <c r="S142" s="44" t="s">
        <v>71</v>
      </c>
      <c r="T142" s="3" t="s">
        <v>1447</v>
      </c>
    </row>
    <row r="143" spans="1:20" x14ac:dyDescent="0.35">
      <c r="A143" s="33">
        <v>30067447</v>
      </c>
      <c r="B143" s="36" t="s">
        <v>1199</v>
      </c>
      <c r="C143" s="37" t="s">
        <v>86</v>
      </c>
      <c r="D143" s="38"/>
      <c r="E143" s="38" t="s">
        <v>102</v>
      </c>
      <c r="F143" s="37">
        <v>41</v>
      </c>
      <c r="G143" s="37">
        <v>40</v>
      </c>
      <c r="H143" s="37">
        <v>0</v>
      </c>
      <c r="I143" s="37" t="s">
        <v>8</v>
      </c>
      <c r="J143" s="37" t="s">
        <v>1448</v>
      </c>
      <c r="K143" s="39" t="s">
        <v>1205</v>
      </c>
      <c r="L143" s="40"/>
      <c r="M143" s="40"/>
      <c r="N143" s="37"/>
      <c r="O143" s="36"/>
      <c r="P143" s="42"/>
      <c r="Q143" s="40"/>
      <c r="R143" s="39" t="s">
        <v>1210</v>
      </c>
      <c r="S143" s="44" t="s">
        <v>71</v>
      </c>
      <c r="T143" s="3" t="s">
        <v>1447</v>
      </c>
    </row>
    <row r="144" spans="1:20" x14ac:dyDescent="0.35">
      <c r="A144" s="33">
        <v>30067448</v>
      </c>
      <c r="B144" s="36" t="s">
        <v>1200</v>
      </c>
      <c r="C144" s="37" t="s">
        <v>86</v>
      </c>
      <c r="D144" s="38"/>
      <c r="E144" s="38" t="s">
        <v>102</v>
      </c>
      <c r="F144" s="37">
        <v>28</v>
      </c>
      <c r="G144" s="37">
        <v>27</v>
      </c>
      <c r="H144" s="37">
        <v>1</v>
      </c>
      <c r="I144" s="37" t="s">
        <v>8</v>
      </c>
      <c r="J144" s="37" t="str">
        <f>IF(H144&lt;F144,"Bajo Stock","Stock OK")</f>
        <v>Bajo Stock</v>
      </c>
      <c r="K144" s="39" t="s">
        <v>1205</v>
      </c>
      <c r="L144" s="40"/>
      <c r="M144" s="40"/>
      <c r="N144" s="37"/>
      <c r="O144" s="36"/>
      <c r="P144" s="42"/>
      <c r="Q144" s="40"/>
      <c r="R144" s="39" t="s">
        <v>1210</v>
      </c>
      <c r="S144" s="44" t="s">
        <v>71</v>
      </c>
      <c r="T144" s="3" t="s">
        <v>1447</v>
      </c>
    </row>
    <row r="145" spans="1:20" x14ac:dyDescent="0.35">
      <c r="A145" s="33">
        <v>30067449</v>
      </c>
      <c r="B145" s="36" t="s">
        <v>1201</v>
      </c>
      <c r="C145" s="37" t="s">
        <v>86</v>
      </c>
      <c r="D145" s="38"/>
      <c r="E145" s="38" t="s">
        <v>102</v>
      </c>
      <c r="F145" s="37">
        <v>53</v>
      </c>
      <c r="G145" s="37">
        <v>52</v>
      </c>
      <c r="H145" s="37">
        <v>0</v>
      </c>
      <c r="I145" s="37" t="s">
        <v>8</v>
      </c>
      <c r="J145" s="37" t="s">
        <v>1448</v>
      </c>
      <c r="K145" s="39" t="s">
        <v>1205</v>
      </c>
      <c r="L145" s="40"/>
      <c r="M145" s="40"/>
      <c r="N145" s="37"/>
      <c r="O145" s="36"/>
      <c r="P145" s="42"/>
      <c r="Q145" s="40"/>
      <c r="R145" s="39" t="s">
        <v>1210</v>
      </c>
      <c r="S145" s="44" t="s">
        <v>71</v>
      </c>
      <c r="T145" s="3" t="s">
        <v>1447</v>
      </c>
    </row>
    <row r="146" spans="1:20" x14ac:dyDescent="0.35">
      <c r="A146" s="33">
        <v>30067450</v>
      </c>
      <c r="B146" s="36" t="s">
        <v>1202</v>
      </c>
      <c r="C146" s="37" t="s">
        <v>86</v>
      </c>
      <c r="D146" s="38"/>
      <c r="E146" s="38" t="s">
        <v>102</v>
      </c>
      <c r="F146" s="37">
        <v>2</v>
      </c>
      <c r="G146" s="37">
        <v>1</v>
      </c>
      <c r="H146" s="37">
        <v>2</v>
      </c>
      <c r="I146" s="37" t="s">
        <v>8</v>
      </c>
      <c r="J146" s="37" t="str">
        <f>IF(H146&lt;F146,"Bajo Stock","Stock OK")</f>
        <v>Stock OK</v>
      </c>
      <c r="K146" s="39" t="s">
        <v>1205</v>
      </c>
      <c r="L146" s="40"/>
      <c r="M146" s="40"/>
      <c r="N146" s="37"/>
      <c r="O146" s="36"/>
      <c r="P146" s="42"/>
      <c r="Q146" s="40"/>
      <c r="R146" s="39" t="s">
        <v>1210</v>
      </c>
      <c r="S146" s="44" t="s">
        <v>71</v>
      </c>
      <c r="T146" s="3" t="s">
        <v>1446</v>
      </c>
    </row>
    <row r="147" spans="1:20" x14ac:dyDescent="0.35">
      <c r="A147" s="33">
        <v>30067451</v>
      </c>
      <c r="B147" s="36" t="s">
        <v>1203</v>
      </c>
      <c r="C147" s="37" t="s">
        <v>86</v>
      </c>
      <c r="D147" s="38"/>
      <c r="E147" s="38" t="s">
        <v>102</v>
      </c>
      <c r="F147" s="37">
        <v>71</v>
      </c>
      <c r="G147" s="37">
        <v>70</v>
      </c>
      <c r="H147" s="37">
        <v>0</v>
      </c>
      <c r="I147" s="37" t="s">
        <v>8</v>
      </c>
      <c r="J147" s="37" t="s">
        <v>1448</v>
      </c>
      <c r="K147" s="39" t="s">
        <v>1205</v>
      </c>
      <c r="L147" s="40"/>
      <c r="M147" s="40"/>
      <c r="N147" s="37"/>
      <c r="O147" s="36"/>
      <c r="P147" s="42"/>
      <c r="Q147" s="40"/>
      <c r="R147" s="39" t="s">
        <v>1210</v>
      </c>
      <c r="S147" s="44" t="s">
        <v>71</v>
      </c>
      <c r="T147" s="3" t="s">
        <v>1447</v>
      </c>
    </row>
    <row r="148" spans="1:20" x14ac:dyDescent="0.35">
      <c r="A148" s="33">
        <v>30067453</v>
      </c>
      <c r="B148" s="36" t="s">
        <v>1204</v>
      </c>
      <c r="C148" s="37" t="s">
        <v>86</v>
      </c>
      <c r="D148" s="38"/>
      <c r="E148" s="38" t="s">
        <v>102</v>
      </c>
      <c r="F148" s="37">
        <v>27</v>
      </c>
      <c r="G148" s="37">
        <v>26</v>
      </c>
      <c r="H148" s="37">
        <v>0</v>
      </c>
      <c r="I148" s="37" t="s">
        <v>8</v>
      </c>
      <c r="J148" s="37" t="s">
        <v>1448</v>
      </c>
      <c r="K148" s="39" t="s">
        <v>1205</v>
      </c>
      <c r="L148" s="40"/>
      <c r="M148" s="40"/>
      <c r="N148" s="37"/>
      <c r="O148" s="36"/>
      <c r="P148" s="42"/>
      <c r="Q148" s="40"/>
      <c r="R148" s="39" t="s">
        <v>1210</v>
      </c>
      <c r="S148" s="44" t="s">
        <v>71</v>
      </c>
      <c r="T148" s="3" t="s">
        <v>1447</v>
      </c>
    </row>
    <row r="149" spans="1:20" x14ac:dyDescent="0.35">
      <c r="A149" s="33">
        <v>30067598</v>
      </c>
      <c r="B149" s="36" t="s">
        <v>926</v>
      </c>
      <c r="C149" s="37" t="s">
        <v>86</v>
      </c>
      <c r="D149" s="38"/>
      <c r="E149" s="38" t="s">
        <v>102</v>
      </c>
      <c r="F149" s="37">
        <v>46</v>
      </c>
      <c r="G149" s="37">
        <v>45</v>
      </c>
      <c r="H149" s="37">
        <v>0</v>
      </c>
      <c r="I149" s="37" t="s">
        <v>8</v>
      </c>
      <c r="J149" s="37" t="s">
        <v>1448</v>
      </c>
      <c r="K149" s="39" t="s">
        <v>1205</v>
      </c>
      <c r="L149" s="40"/>
      <c r="M149" s="40"/>
      <c r="N149" s="37"/>
      <c r="O149" s="36"/>
      <c r="P149" s="42"/>
      <c r="Q149" s="40"/>
      <c r="R149" s="39" t="s">
        <v>1210</v>
      </c>
      <c r="S149" s="44" t="s">
        <v>71</v>
      </c>
      <c r="T149" s="3" t="s">
        <v>1447</v>
      </c>
    </row>
    <row r="150" spans="1:20" x14ac:dyDescent="0.35">
      <c r="A150" s="33">
        <v>30067599</v>
      </c>
      <c r="B150" s="36" t="s">
        <v>927</v>
      </c>
      <c r="C150" s="37" t="s">
        <v>86</v>
      </c>
      <c r="D150" s="38"/>
      <c r="E150" s="38" t="s">
        <v>102</v>
      </c>
      <c r="F150" s="37">
        <v>5</v>
      </c>
      <c r="G150" s="37">
        <v>4</v>
      </c>
      <c r="H150" s="37">
        <v>0</v>
      </c>
      <c r="I150" s="37" t="s">
        <v>8</v>
      </c>
      <c r="J150" s="37" t="s">
        <v>1448</v>
      </c>
      <c r="K150" s="39" t="s">
        <v>1205</v>
      </c>
      <c r="L150" s="40"/>
      <c r="M150" s="40"/>
      <c r="N150" s="37"/>
      <c r="O150" s="36"/>
      <c r="P150" s="42"/>
      <c r="Q150" s="40"/>
      <c r="R150" s="39" t="s">
        <v>1210</v>
      </c>
      <c r="S150" s="44" t="s">
        <v>71</v>
      </c>
      <c r="T150" s="3" t="s">
        <v>1447</v>
      </c>
    </row>
    <row r="151" spans="1:20" x14ac:dyDescent="0.35">
      <c r="A151" s="33">
        <v>30067600</v>
      </c>
      <c r="B151" s="36" t="s">
        <v>928</v>
      </c>
      <c r="C151" s="37" t="s">
        <v>86</v>
      </c>
      <c r="D151" s="38"/>
      <c r="E151" s="38" t="s">
        <v>102</v>
      </c>
      <c r="F151" s="37">
        <v>3</v>
      </c>
      <c r="G151" s="37">
        <v>2</v>
      </c>
      <c r="H151" s="37">
        <v>0</v>
      </c>
      <c r="I151" s="37" t="s">
        <v>8</v>
      </c>
      <c r="J151" s="37" t="s">
        <v>1448</v>
      </c>
      <c r="K151" s="39" t="s">
        <v>1205</v>
      </c>
      <c r="L151" s="40"/>
      <c r="M151" s="40"/>
      <c r="N151" s="37"/>
      <c r="O151" s="36"/>
      <c r="P151" s="42"/>
      <c r="Q151" s="40"/>
      <c r="R151" s="39" t="s">
        <v>1210</v>
      </c>
      <c r="S151" s="44" t="s">
        <v>71</v>
      </c>
      <c r="T151" s="3" t="s">
        <v>1447</v>
      </c>
    </row>
    <row r="152" spans="1:20" x14ac:dyDescent="0.35">
      <c r="A152" s="33">
        <v>30067601</v>
      </c>
      <c r="B152" s="36" t="s">
        <v>929</v>
      </c>
      <c r="C152" s="37" t="s">
        <v>86</v>
      </c>
      <c r="D152" s="38"/>
      <c r="E152" s="38" t="s">
        <v>102</v>
      </c>
      <c r="F152" s="37">
        <v>16</v>
      </c>
      <c r="G152" s="37">
        <v>15</v>
      </c>
      <c r="H152" s="37">
        <v>0</v>
      </c>
      <c r="I152" s="37" t="s">
        <v>8</v>
      </c>
      <c r="J152" s="37" t="s">
        <v>1448</v>
      </c>
      <c r="K152" s="39" t="s">
        <v>1205</v>
      </c>
      <c r="L152" s="40"/>
      <c r="M152" s="40"/>
      <c r="N152" s="37"/>
      <c r="O152" s="36"/>
      <c r="P152" s="42"/>
      <c r="Q152" s="40"/>
      <c r="R152" s="39" t="s">
        <v>1210</v>
      </c>
      <c r="S152" s="44" t="s">
        <v>71</v>
      </c>
      <c r="T152" s="3" t="s">
        <v>1447</v>
      </c>
    </row>
    <row r="153" spans="1:20" x14ac:dyDescent="0.35">
      <c r="A153" s="33">
        <v>30067602</v>
      </c>
      <c r="B153" s="36" t="s">
        <v>930</v>
      </c>
      <c r="C153" s="37" t="s">
        <v>86</v>
      </c>
      <c r="D153" s="38"/>
      <c r="E153" s="38" t="s">
        <v>102</v>
      </c>
      <c r="F153" s="37">
        <v>16</v>
      </c>
      <c r="G153" s="37">
        <v>15</v>
      </c>
      <c r="H153" s="37">
        <v>0</v>
      </c>
      <c r="I153" s="37" t="s">
        <v>8</v>
      </c>
      <c r="J153" s="37" t="s">
        <v>1448</v>
      </c>
      <c r="K153" s="39" t="s">
        <v>1205</v>
      </c>
      <c r="L153" s="40"/>
      <c r="M153" s="40"/>
      <c r="N153" s="37"/>
      <c r="O153" s="36"/>
      <c r="P153" s="42"/>
      <c r="Q153" s="40"/>
      <c r="R153" s="39" t="s">
        <v>1210</v>
      </c>
      <c r="S153" s="44" t="s">
        <v>71</v>
      </c>
      <c r="T153" s="3" t="s">
        <v>1447</v>
      </c>
    </row>
    <row r="154" spans="1:20" x14ac:dyDescent="0.35">
      <c r="A154" s="33">
        <v>30067604</v>
      </c>
      <c r="B154" s="36" t="s">
        <v>931</v>
      </c>
      <c r="C154" s="37" t="s">
        <v>86</v>
      </c>
      <c r="D154" s="38"/>
      <c r="E154" s="38" t="s">
        <v>102</v>
      </c>
      <c r="F154" s="37">
        <v>2</v>
      </c>
      <c r="G154" s="37">
        <v>2</v>
      </c>
      <c r="H154" s="37">
        <v>0</v>
      </c>
      <c r="I154" s="37" t="s">
        <v>8</v>
      </c>
      <c r="J154" s="37" t="s">
        <v>1448</v>
      </c>
      <c r="K154" s="39" t="s">
        <v>1205</v>
      </c>
      <c r="L154" s="40"/>
      <c r="M154" s="40"/>
      <c r="N154" s="37"/>
      <c r="O154" s="36"/>
      <c r="P154" s="42"/>
      <c r="Q154" s="40"/>
      <c r="R154" s="39" t="s">
        <v>1210</v>
      </c>
      <c r="S154" s="44" t="s">
        <v>71</v>
      </c>
      <c r="T154" s="3" t="s">
        <v>1447</v>
      </c>
    </row>
    <row r="155" spans="1:20" x14ac:dyDescent="0.35">
      <c r="A155" s="33">
        <v>30067605</v>
      </c>
      <c r="B155" s="36" t="s">
        <v>932</v>
      </c>
      <c r="C155" s="37" t="s">
        <v>86</v>
      </c>
      <c r="D155" s="38"/>
      <c r="E155" s="38" t="s">
        <v>102</v>
      </c>
      <c r="F155" s="37">
        <v>2</v>
      </c>
      <c r="G155" s="37">
        <v>2</v>
      </c>
      <c r="H155" s="37">
        <v>0</v>
      </c>
      <c r="I155" s="37" t="s">
        <v>8</v>
      </c>
      <c r="J155" s="37" t="s">
        <v>1448</v>
      </c>
      <c r="K155" s="39" t="s">
        <v>1205</v>
      </c>
      <c r="L155" s="40"/>
      <c r="M155" s="40"/>
      <c r="N155" s="37"/>
      <c r="O155" s="36"/>
      <c r="P155" s="42"/>
      <c r="Q155" s="40"/>
      <c r="R155" s="39" t="s">
        <v>1210</v>
      </c>
      <c r="S155" s="44" t="s">
        <v>71</v>
      </c>
      <c r="T155" s="3" t="s">
        <v>1447</v>
      </c>
    </row>
    <row r="156" spans="1:20" x14ac:dyDescent="0.35">
      <c r="A156" s="33">
        <v>30067606</v>
      </c>
      <c r="B156" s="36" t="s">
        <v>933</v>
      </c>
      <c r="C156" s="37" t="s">
        <v>86</v>
      </c>
      <c r="D156" s="38"/>
      <c r="E156" s="38" t="s">
        <v>102</v>
      </c>
      <c r="F156" s="37">
        <v>2</v>
      </c>
      <c r="G156" s="37">
        <v>2</v>
      </c>
      <c r="H156" s="37">
        <v>0</v>
      </c>
      <c r="I156" s="37" t="s">
        <v>8</v>
      </c>
      <c r="J156" s="37" t="s">
        <v>1448</v>
      </c>
      <c r="K156" s="39" t="s">
        <v>1205</v>
      </c>
      <c r="L156" s="40"/>
      <c r="M156" s="40"/>
      <c r="N156" s="37"/>
      <c r="O156" s="36"/>
      <c r="P156" s="42"/>
      <c r="Q156" s="40"/>
      <c r="R156" s="39" t="s">
        <v>1210</v>
      </c>
      <c r="S156" s="44" t="s">
        <v>71</v>
      </c>
      <c r="T156" s="3" t="s">
        <v>1447</v>
      </c>
    </row>
    <row r="157" spans="1:20" x14ac:dyDescent="0.35">
      <c r="A157" s="33">
        <v>30067607</v>
      </c>
      <c r="B157" s="36" t="s">
        <v>934</v>
      </c>
      <c r="C157" s="37" t="s">
        <v>86</v>
      </c>
      <c r="D157" s="38"/>
      <c r="E157" s="38" t="s">
        <v>102</v>
      </c>
      <c r="F157" s="37">
        <v>2</v>
      </c>
      <c r="G157" s="37">
        <v>2</v>
      </c>
      <c r="H157" s="37">
        <v>0</v>
      </c>
      <c r="I157" s="37" t="s">
        <v>8</v>
      </c>
      <c r="J157" s="37" t="s">
        <v>1448</v>
      </c>
      <c r="K157" s="39" t="s">
        <v>1205</v>
      </c>
      <c r="L157" s="40"/>
      <c r="M157" s="40"/>
      <c r="N157" s="37"/>
      <c r="O157" s="36"/>
      <c r="P157" s="42"/>
      <c r="Q157" s="40"/>
      <c r="R157" s="39" t="s">
        <v>1210</v>
      </c>
      <c r="S157" s="44" t="s">
        <v>71</v>
      </c>
      <c r="T157" s="3" t="s">
        <v>1447</v>
      </c>
    </row>
    <row r="158" spans="1:20" x14ac:dyDescent="0.35">
      <c r="A158" s="33">
        <v>30067608</v>
      </c>
      <c r="B158" s="36" t="s">
        <v>935</v>
      </c>
      <c r="C158" s="37" t="s">
        <v>86</v>
      </c>
      <c r="D158" s="38"/>
      <c r="E158" s="38" t="s">
        <v>102</v>
      </c>
      <c r="F158" s="37">
        <v>2</v>
      </c>
      <c r="G158" s="37">
        <v>2</v>
      </c>
      <c r="H158" s="37">
        <v>0</v>
      </c>
      <c r="I158" s="37" t="s">
        <v>8</v>
      </c>
      <c r="J158" s="37" t="s">
        <v>1448</v>
      </c>
      <c r="K158" s="39" t="s">
        <v>1205</v>
      </c>
      <c r="L158" s="40"/>
      <c r="M158" s="40"/>
      <c r="N158" s="37"/>
      <c r="O158" s="36"/>
      <c r="P158" s="42"/>
      <c r="Q158" s="40"/>
      <c r="R158" s="39" t="s">
        <v>1210</v>
      </c>
      <c r="S158" s="44" t="s">
        <v>71</v>
      </c>
      <c r="T158" s="3" t="s">
        <v>1447</v>
      </c>
    </row>
    <row r="159" spans="1:20" x14ac:dyDescent="0.35">
      <c r="A159" s="33">
        <v>30067609</v>
      </c>
      <c r="B159" s="36" t="s">
        <v>936</v>
      </c>
      <c r="C159" s="37" t="s">
        <v>86</v>
      </c>
      <c r="D159" s="38"/>
      <c r="E159" s="38" t="s">
        <v>102</v>
      </c>
      <c r="F159" s="37">
        <v>2</v>
      </c>
      <c r="G159" s="37">
        <v>2</v>
      </c>
      <c r="H159" s="37">
        <v>0</v>
      </c>
      <c r="I159" s="37" t="s">
        <v>8</v>
      </c>
      <c r="J159" s="37" t="s">
        <v>1448</v>
      </c>
      <c r="K159" s="39" t="s">
        <v>1205</v>
      </c>
      <c r="L159" s="40"/>
      <c r="M159" s="40"/>
      <c r="N159" s="37"/>
      <c r="O159" s="36"/>
      <c r="P159" s="42"/>
      <c r="Q159" s="40"/>
      <c r="R159" s="39" t="s">
        <v>1210</v>
      </c>
      <c r="S159" s="44" t="s">
        <v>71</v>
      </c>
      <c r="T159" s="3" t="s">
        <v>1447</v>
      </c>
    </row>
    <row r="160" spans="1:20" x14ac:dyDescent="0.35">
      <c r="A160" s="33">
        <v>30067610</v>
      </c>
      <c r="B160" s="36" t="s">
        <v>937</v>
      </c>
      <c r="C160" s="37" t="s">
        <v>86</v>
      </c>
      <c r="D160" s="38"/>
      <c r="E160" s="38" t="s">
        <v>102</v>
      </c>
      <c r="F160" s="37">
        <v>2</v>
      </c>
      <c r="G160" s="37">
        <v>2</v>
      </c>
      <c r="H160" s="37">
        <v>0</v>
      </c>
      <c r="I160" s="37" t="s">
        <v>8</v>
      </c>
      <c r="J160" s="37" t="s">
        <v>1448</v>
      </c>
      <c r="K160" s="39" t="s">
        <v>1205</v>
      </c>
      <c r="L160" s="40"/>
      <c r="M160" s="40"/>
      <c r="N160" s="37"/>
      <c r="O160" s="36"/>
      <c r="P160" s="42"/>
      <c r="Q160" s="40"/>
      <c r="R160" s="39" t="s">
        <v>1210</v>
      </c>
      <c r="S160" s="44" t="s">
        <v>71</v>
      </c>
      <c r="T160" s="3" t="s">
        <v>1447</v>
      </c>
    </row>
    <row r="161" spans="1:20" x14ac:dyDescent="0.35">
      <c r="A161" s="33">
        <v>30067611</v>
      </c>
      <c r="B161" s="36" t="s">
        <v>938</v>
      </c>
      <c r="C161" s="37" t="s">
        <v>86</v>
      </c>
      <c r="D161" s="38"/>
      <c r="E161" s="38" t="s">
        <v>102</v>
      </c>
      <c r="F161" s="37">
        <v>2</v>
      </c>
      <c r="G161" s="37">
        <v>2</v>
      </c>
      <c r="H161" s="37">
        <v>0</v>
      </c>
      <c r="I161" s="37" t="s">
        <v>8</v>
      </c>
      <c r="J161" s="37" t="s">
        <v>1448</v>
      </c>
      <c r="K161" s="39" t="s">
        <v>1205</v>
      </c>
      <c r="L161" s="40"/>
      <c r="M161" s="40"/>
      <c r="N161" s="37"/>
      <c r="O161" s="36"/>
      <c r="P161" s="42"/>
      <c r="Q161" s="40"/>
      <c r="R161" s="39" t="s">
        <v>1210</v>
      </c>
      <c r="S161" s="44" t="s">
        <v>71</v>
      </c>
      <c r="T161" s="3" t="s">
        <v>1447</v>
      </c>
    </row>
    <row r="162" spans="1:20" x14ac:dyDescent="0.35">
      <c r="A162" s="33">
        <v>30067612</v>
      </c>
      <c r="B162" s="36" t="s">
        <v>939</v>
      </c>
      <c r="C162" s="37" t="s">
        <v>86</v>
      </c>
      <c r="D162" s="38"/>
      <c r="E162" s="38" t="s">
        <v>102</v>
      </c>
      <c r="F162" s="37">
        <v>2</v>
      </c>
      <c r="G162" s="37">
        <v>2</v>
      </c>
      <c r="H162" s="37">
        <v>0</v>
      </c>
      <c r="I162" s="37" t="s">
        <v>8</v>
      </c>
      <c r="J162" s="37" t="s">
        <v>1448</v>
      </c>
      <c r="K162" s="39" t="s">
        <v>1205</v>
      </c>
      <c r="L162" s="40"/>
      <c r="M162" s="40"/>
      <c r="N162" s="37"/>
      <c r="O162" s="36"/>
      <c r="P162" s="42"/>
      <c r="Q162" s="40"/>
      <c r="R162" s="39" t="s">
        <v>1210</v>
      </c>
      <c r="S162" s="44" t="s">
        <v>71</v>
      </c>
      <c r="T162" s="3" t="s">
        <v>1447</v>
      </c>
    </row>
    <row r="163" spans="1:20" x14ac:dyDescent="0.35">
      <c r="A163" s="33">
        <v>30067613</v>
      </c>
      <c r="B163" s="36" t="s">
        <v>940</v>
      </c>
      <c r="C163" s="37" t="s">
        <v>86</v>
      </c>
      <c r="D163" s="38"/>
      <c r="E163" s="38" t="s">
        <v>102</v>
      </c>
      <c r="F163" s="37">
        <v>2</v>
      </c>
      <c r="G163" s="37">
        <v>2</v>
      </c>
      <c r="H163" s="37">
        <v>0</v>
      </c>
      <c r="I163" s="37" t="s">
        <v>8</v>
      </c>
      <c r="J163" s="37" t="s">
        <v>1448</v>
      </c>
      <c r="K163" s="39" t="s">
        <v>1205</v>
      </c>
      <c r="L163" s="40"/>
      <c r="M163" s="40"/>
      <c r="N163" s="37"/>
      <c r="O163" s="36"/>
      <c r="P163" s="42"/>
      <c r="Q163" s="40"/>
      <c r="R163" s="39" t="s">
        <v>1210</v>
      </c>
      <c r="S163" s="44" t="s">
        <v>71</v>
      </c>
      <c r="T163" s="3" t="s">
        <v>1447</v>
      </c>
    </row>
    <row r="164" spans="1:20" x14ac:dyDescent="0.35">
      <c r="A164" s="33">
        <v>30067614</v>
      </c>
      <c r="B164" s="36" t="s">
        <v>941</v>
      </c>
      <c r="C164" s="37" t="s">
        <v>86</v>
      </c>
      <c r="D164" s="38"/>
      <c r="E164" s="38" t="s">
        <v>102</v>
      </c>
      <c r="F164" s="37">
        <v>2</v>
      </c>
      <c r="G164" s="37">
        <v>2</v>
      </c>
      <c r="H164" s="37">
        <v>0</v>
      </c>
      <c r="I164" s="37" t="s">
        <v>8</v>
      </c>
      <c r="J164" s="37" t="s">
        <v>1448</v>
      </c>
      <c r="K164" s="39" t="s">
        <v>1205</v>
      </c>
      <c r="L164" s="40"/>
      <c r="M164" s="40"/>
      <c r="N164" s="37"/>
      <c r="O164" s="36"/>
      <c r="P164" s="42"/>
      <c r="Q164" s="40"/>
      <c r="R164" s="39" t="s">
        <v>1210</v>
      </c>
      <c r="S164" s="44" t="s">
        <v>71</v>
      </c>
      <c r="T164" s="3" t="s">
        <v>1447</v>
      </c>
    </row>
    <row r="165" spans="1:20" x14ac:dyDescent="0.35">
      <c r="A165" s="33">
        <v>30067615</v>
      </c>
      <c r="B165" s="36" t="s">
        <v>942</v>
      </c>
      <c r="C165" s="37" t="s">
        <v>86</v>
      </c>
      <c r="D165" s="38"/>
      <c r="E165" s="38" t="s">
        <v>102</v>
      </c>
      <c r="F165" s="37">
        <v>2</v>
      </c>
      <c r="G165" s="37">
        <v>2</v>
      </c>
      <c r="H165" s="37">
        <v>0</v>
      </c>
      <c r="I165" s="37" t="s">
        <v>8</v>
      </c>
      <c r="J165" s="37" t="s">
        <v>1448</v>
      </c>
      <c r="K165" s="39" t="s">
        <v>1205</v>
      </c>
      <c r="L165" s="40"/>
      <c r="M165" s="40"/>
      <c r="N165" s="37"/>
      <c r="O165" s="36"/>
      <c r="P165" s="42"/>
      <c r="Q165" s="40"/>
      <c r="R165" s="39" t="s">
        <v>1210</v>
      </c>
      <c r="S165" s="44" t="s">
        <v>71</v>
      </c>
      <c r="T165" s="3" t="s">
        <v>1447</v>
      </c>
    </row>
    <row r="166" spans="1:20" x14ac:dyDescent="0.35">
      <c r="A166" s="33">
        <v>30067616</v>
      </c>
      <c r="B166" s="36" t="s">
        <v>943</v>
      </c>
      <c r="C166" s="37" t="s">
        <v>86</v>
      </c>
      <c r="D166" s="38"/>
      <c r="E166" s="38" t="s">
        <v>102</v>
      </c>
      <c r="F166" s="37">
        <v>3</v>
      </c>
      <c r="G166" s="37">
        <v>2</v>
      </c>
      <c r="H166" s="37">
        <v>0</v>
      </c>
      <c r="I166" s="37" t="s">
        <v>8</v>
      </c>
      <c r="J166" s="37" t="s">
        <v>1448</v>
      </c>
      <c r="K166" s="39" t="s">
        <v>1205</v>
      </c>
      <c r="L166" s="40"/>
      <c r="M166" s="40"/>
      <c r="N166" s="37"/>
      <c r="O166" s="36"/>
      <c r="P166" s="42"/>
      <c r="Q166" s="40"/>
      <c r="R166" s="39" t="s">
        <v>1210</v>
      </c>
      <c r="S166" s="44" t="s">
        <v>71</v>
      </c>
      <c r="T166" s="3" t="s">
        <v>1447</v>
      </c>
    </row>
    <row r="167" spans="1:20" x14ac:dyDescent="0.35">
      <c r="A167" s="33">
        <v>30067617</v>
      </c>
      <c r="B167" s="36" t="s">
        <v>944</v>
      </c>
      <c r="C167" s="37" t="s">
        <v>86</v>
      </c>
      <c r="D167" s="38"/>
      <c r="E167" s="38" t="s">
        <v>102</v>
      </c>
      <c r="F167" s="37">
        <v>2</v>
      </c>
      <c r="G167" s="37">
        <v>2</v>
      </c>
      <c r="H167" s="37">
        <v>0</v>
      </c>
      <c r="I167" s="37" t="s">
        <v>8</v>
      </c>
      <c r="J167" s="37" t="s">
        <v>1448</v>
      </c>
      <c r="K167" s="39" t="s">
        <v>1205</v>
      </c>
      <c r="L167" s="40"/>
      <c r="M167" s="40"/>
      <c r="N167" s="37"/>
      <c r="O167" s="36"/>
      <c r="P167" s="42"/>
      <c r="Q167" s="40"/>
      <c r="R167" s="39" t="s">
        <v>1210</v>
      </c>
      <c r="S167" s="44" t="s">
        <v>71</v>
      </c>
      <c r="T167" s="3" t="s">
        <v>1447</v>
      </c>
    </row>
    <row r="168" spans="1:20" x14ac:dyDescent="0.35">
      <c r="A168" s="33">
        <v>30067618</v>
      </c>
      <c r="B168" s="36" t="s">
        <v>945</v>
      </c>
      <c r="C168" s="37" t="s">
        <v>86</v>
      </c>
      <c r="D168" s="38"/>
      <c r="E168" s="38" t="s">
        <v>102</v>
      </c>
      <c r="F168" s="37">
        <v>2</v>
      </c>
      <c r="G168" s="37">
        <v>2</v>
      </c>
      <c r="H168" s="37">
        <v>0</v>
      </c>
      <c r="I168" s="37" t="s">
        <v>8</v>
      </c>
      <c r="J168" s="37" t="s">
        <v>1448</v>
      </c>
      <c r="K168" s="39" t="s">
        <v>1205</v>
      </c>
      <c r="L168" s="40"/>
      <c r="M168" s="40"/>
      <c r="N168" s="37"/>
      <c r="O168" s="36"/>
      <c r="P168" s="42"/>
      <c r="Q168" s="40"/>
      <c r="R168" s="39" t="s">
        <v>1210</v>
      </c>
      <c r="S168" s="44" t="s">
        <v>71</v>
      </c>
      <c r="T168" s="3" t="s">
        <v>1447</v>
      </c>
    </row>
    <row r="169" spans="1:20" x14ac:dyDescent="0.35">
      <c r="A169" s="33">
        <v>30067619</v>
      </c>
      <c r="B169" s="36" t="s">
        <v>946</v>
      </c>
      <c r="C169" s="37" t="s">
        <v>86</v>
      </c>
      <c r="D169" s="38"/>
      <c r="E169" s="38" t="s">
        <v>102</v>
      </c>
      <c r="F169" s="37">
        <v>2</v>
      </c>
      <c r="G169" s="37">
        <v>2</v>
      </c>
      <c r="H169" s="37">
        <v>0</v>
      </c>
      <c r="I169" s="37" t="s">
        <v>8</v>
      </c>
      <c r="J169" s="37" t="s">
        <v>1448</v>
      </c>
      <c r="K169" s="39" t="s">
        <v>1205</v>
      </c>
      <c r="L169" s="40"/>
      <c r="M169" s="40"/>
      <c r="N169" s="37"/>
      <c r="O169" s="36"/>
      <c r="P169" s="42"/>
      <c r="Q169" s="40"/>
      <c r="R169" s="39" t="s">
        <v>1210</v>
      </c>
      <c r="S169" s="44" t="s">
        <v>71</v>
      </c>
      <c r="T169" s="3" t="s">
        <v>1447</v>
      </c>
    </row>
    <row r="170" spans="1:20" x14ac:dyDescent="0.35">
      <c r="A170" s="33">
        <v>30067620</v>
      </c>
      <c r="B170" s="36" t="s">
        <v>947</v>
      </c>
      <c r="C170" s="37" t="s">
        <v>86</v>
      </c>
      <c r="D170" s="38"/>
      <c r="E170" s="38" t="s">
        <v>102</v>
      </c>
      <c r="F170" s="37">
        <v>2</v>
      </c>
      <c r="G170" s="37">
        <v>2</v>
      </c>
      <c r="H170" s="37">
        <v>0</v>
      </c>
      <c r="I170" s="37" t="s">
        <v>8</v>
      </c>
      <c r="J170" s="37" t="s">
        <v>1448</v>
      </c>
      <c r="K170" s="39" t="s">
        <v>1205</v>
      </c>
      <c r="L170" s="40"/>
      <c r="M170" s="40"/>
      <c r="N170" s="37"/>
      <c r="O170" s="36"/>
      <c r="P170" s="42"/>
      <c r="Q170" s="40"/>
      <c r="R170" s="39" t="s">
        <v>1210</v>
      </c>
      <c r="S170" s="44" t="s">
        <v>71</v>
      </c>
      <c r="T170" s="3" t="s">
        <v>1447</v>
      </c>
    </row>
    <row r="171" spans="1:20" x14ac:dyDescent="0.35">
      <c r="A171" s="33">
        <v>30067621</v>
      </c>
      <c r="B171" s="36" t="s">
        <v>948</v>
      </c>
      <c r="C171" s="37" t="s">
        <v>86</v>
      </c>
      <c r="D171" s="38"/>
      <c r="E171" s="38" t="s">
        <v>102</v>
      </c>
      <c r="F171" s="37">
        <v>3</v>
      </c>
      <c r="G171" s="37">
        <v>2</v>
      </c>
      <c r="H171" s="37">
        <v>0</v>
      </c>
      <c r="I171" s="37" t="s">
        <v>8</v>
      </c>
      <c r="J171" s="37" t="s">
        <v>1448</v>
      </c>
      <c r="K171" s="39" t="s">
        <v>1205</v>
      </c>
      <c r="L171" s="40"/>
      <c r="M171" s="40"/>
      <c r="N171" s="37"/>
      <c r="O171" s="36"/>
      <c r="P171" s="42"/>
      <c r="Q171" s="40"/>
      <c r="R171" s="39" t="s">
        <v>1210</v>
      </c>
      <c r="S171" s="44" t="s">
        <v>71</v>
      </c>
      <c r="T171" s="3" t="s">
        <v>1447</v>
      </c>
    </row>
    <row r="172" spans="1:20" x14ac:dyDescent="0.35">
      <c r="A172" s="33">
        <v>30067622</v>
      </c>
      <c r="B172" s="36" t="s">
        <v>949</v>
      </c>
      <c r="C172" s="37" t="s">
        <v>86</v>
      </c>
      <c r="D172" s="38"/>
      <c r="E172" s="38" t="s">
        <v>102</v>
      </c>
      <c r="F172" s="37">
        <v>2</v>
      </c>
      <c r="G172" s="37">
        <v>2</v>
      </c>
      <c r="H172" s="37">
        <v>0</v>
      </c>
      <c r="I172" s="37" t="s">
        <v>8</v>
      </c>
      <c r="J172" s="37" t="s">
        <v>1448</v>
      </c>
      <c r="K172" s="39" t="s">
        <v>1205</v>
      </c>
      <c r="L172" s="40"/>
      <c r="M172" s="40"/>
      <c r="N172" s="37"/>
      <c r="O172" s="36"/>
      <c r="P172" s="42"/>
      <c r="Q172" s="40"/>
      <c r="R172" s="39" t="s">
        <v>1210</v>
      </c>
      <c r="S172" s="44" t="s">
        <v>71</v>
      </c>
      <c r="T172" s="3" t="s">
        <v>1447</v>
      </c>
    </row>
    <row r="173" spans="1:20" x14ac:dyDescent="0.35">
      <c r="A173" s="33">
        <v>30067623</v>
      </c>
      <c r="B173" s="36" t="s">
        <v>950</v>
      </c>
      <c r="C173" s="37" t="s">
        <v>86</v>
      </c>
      <c r="D173" s="38"/>
      <c r="E173" s="38" t="s">
        <v>102</v>
      </c>
      <c r="F173" s="37">
        <v>2</v>
      </c>
      <c r="G173" s="37">
        <v>2</v>
      </c>
      <c r="H173" s="37">
        <v>0</v>
      </c>
      <c r="I173" s="37" t="s">
        <v>8</v>
      </c>
      <c r="J173" s="37" t="s">
        <v>1448</v>
      </c>
      <c r="K173" s="39" t="s">
        <v>1205</v>
      </c>
      <c r="L173" s="40"/>
      <c r="M173" s="40"/>
      <c r="N173" s="37"/>
      <c r="O173" s="36"/>
      <c r="P173" s="42"/>
      <c r="Q173" s="40"/>
      <c r="R173" s="39" t="s">
        <v>1210</v>
      </c>
      <c r="S173" s="44" t="s">
        <v>71</v>
      </c>
      <c r="T173" s="3" t="s">
        <v>1447</v>
      </c>
    </row>
    <row r="174" spans="1:20" x14ac:dyDescent="0.35">
      <c r="A174" s="33">
        <v>30067624</v>
      </c>
      <c r="B174" s="36" t="s">
        <v>951</v>
      </c>
      <c r="C174" s="37" t="s">
        <v>86</v>
      </c>
      <c r="D174" s="38"/>
      <c r="E174" s="38" t="s">
        <v>102</v>
      </c>
      <c r="F174" s="37">
        <v>2</v>
      </c>
      <c r="G174" s="37">
        <v>2</v>
      </c>
      <c r="H174" s="37">
        <v>0</v>
      </c>
      <c r="I174" s="37" t="s">
        <v>8</v>
      </c>
      <c r="J174" s="37" t="s">
        <v>1448</v>
      </c>
      <c r="K174" s="39" t="s">
        <v>1205</v>
      </c>
      <c r="L174" s="40"/>
      <c r="M174" s="40"/>
      <c r="N174" s="37"/>
      <c r="O174" s="36"/>
      <c r="P174" s="42"/>
      <c r="Q174" s="40"/>
      <c r="R174" s="39" t="s">
        <v>1210</v>
      </c>
      <c r="S174" s="44" t="s">
        <v>71</v>
      </c>
      <c r="T174" s="3" t="s">
        <v>1447</v>
      </c>
    </row>
    <row r="175" spans="1:20" x14ac:dyDescent="0.35">
      <c r="A175" s="33">
        <v>30067625</v>
      </c>
      <c r="B175" s="36" t="s">
        <v>952</v>
      </c>
      <c r="C175" s="37" t="s">
        <v>86</v>
      </c>
      <c r="D175" s="38"/>
      <c r="E175" s="38" t="s">
        <v>102</v>
      </c>
      <c r="F175" s="37">
        <v>2</v>
      </c>
      <c r="G175" s="37">
        <v>2</v>
      </c>
      <c r="H175" s="37">
        <v>0</v>
      </c>
      <c r="I175" s="37" t="s">
        <v>8</v>
      </c>
      <c r="J175" s="37" t="s">
        <v>1448</v>
      </c>
      <c r="K175" s="39" t="s">
        <v>1205</v>
      </c>
      <c r="L175" s="40"/>
      <c r="M175" s="40"/>
      <c r="N175" s="37"/>
      <c r="O175" s="36"/>
      <c r="P175" s="42"/>
      <c r="Q175" s="40"/>
      <c r="R175" s="39" t="s">
        <v>1210</v>
      </c>
      <c r="S175" s="44" t="s">
        <v>71</v>
      </c>
      <c r="T175" s="3" t="s">
        <v>1447</v>
      </c>
    </row>
    <row r="176" spans="1:20" x14ac:dyDescent="0.35">
      <c r="A176" s="33">
        <v>30067626</v>
      </c>
      <c r="B176" s="36" t="s">
        <v>953</v>
      </c>
      <c r="C176" s="37" t="s">
        <v>86</v>
      </c>
      <c r="D176" s="38"/>
      <c r="E176" s="38" t="s">
        <v>102</v>
      </c>
      <c r="F176" s="37">
        <v>2</v>
      </c>
      <c r="G176" s="37">
        <v>2</v>
      </c>
      <c r="H176" s="37">
        <v>0</v>
      </c>
      <c r="I176" s="37" t="s">
        <v>8</v>
      </c>
      <c r="J176" s="37" t="s">
        <v>1448</v>
      </c>
      <c r="K176" s="39" t="s">
        <v>1205</v>
      </c>
      <c r="L176" s="40"/>
      <c r="M176" s="40"/>
      <c r="N176" s="37"/>
      <c r="O176" s="36"/>
      <c r="P176" s="42"/>
      <c r="Q176" s="40"/>
      <c r="R176" s="39" t="s">
        <v>1210</v>
      </c>
      <c r="S176" s="44" t="s">
        <v>71</v>
      </c>
      <c r="T176" s="3" t="s">
        <v>1447</v>
      </c>
    </row>
    <row r="177" spans="1:20" x14ac:dyDescent="0.35">
      <c r="A177" s="33">
        <v>30067627</v>
      </c>
      <c r="B177" s="36" t="s">
        <v>954</v>
      </c>
      <c r="C177" s="37" t="s">
        <v>86</v>
      </c>
      <c r="D177" s="38"/>
      <c r="E177" s="38" t="s">
        <v>102</v>
      </c>
      <c r="F177" s="37">
        <v>3</v>
      </c>
      <c r="G177" s="37">
        <v>2</v>
      </c>
      <c r="H177" s="37">
        <v>0</v>
      </c>
      <c r="I177" s="37" t="s">
        <v>8</v>
      </c>
      <c r="J177" s="37" t="s">
        <v>1448</v>
      </c>
      <c r="K177" s="39" t="s">
        <v>1205</v>
      </c>
      <c r="L177" s="40"/>
      <c r="M177" s="40"/>
      <c r="N177" s="37"/>
      <c r="O177" s="36"/>
      <c r="P177" s="42"/>
      <c r="Q177" s="40"/>
      <c r="R177" s="39" t="s">
        <v>1210</v>
      </c>
      <c r="S177" s="44" t="s">
        <v>71</v>
      </c>
      <c r="T177" s="3" t="s">
        <v>1447</v>
      </c>
    </row>
    <row r="178" spans="1:20" x14ac:dyDescent="0.35">
      <c r="A178" s="33">
        <v>30067628</v>
      </c>
      <c r="B178" s="36" t="s">
        <v>955</v>
      </c>
      <c r="C178" s="37" t="s">
        <v>86</v>
      </c>
      <c r="D178" s="38"/>
      <c r="E178" s="38" t="s">
        <v>102</v>
      </c>
      <c r="F178" s="37">
        <v>2</v>
      </c>
      <c r="G178" s="37">
        <v>2</v>
      </c>
      <c r="H178" s="37">
        <v>0</v>
      </c>
      <c r="I178" s="37" t="s">
        <v>8</v>
      </c>
      <c r="J178" s="37" t="s">
        <v>1448</v>
      </c>
      <c r="K178" s="39" t="s">
        <v>1205</v>
      </c>
      <c r="L178" s="40"/>
      <c r="M178" s="40"/>
      <c r="N178" s="37"/>
      <c r="O178" s="36"/>
      <c r="P178" s="42"/>
      <c r="Q178" s="40"/>
      <c r="R178" s="39" t="s">
        <v>1210</v>
      </c>
      <c r="S178" s="44" t="s">
        <v>71</v>
      </c>
      <c r="T178" s="3" t="s">
        <v>1447</v>
      </c>
    </row>
    <row r="179" spans="1:20" x14ac:dyDescent="0.35">
      <c r="A179" s="33">
        <v>30067629</v>
      </c>
      <c r="B179" s="36" t="s">
        <v>956</v>
      </c>
      <c r="C179" s="37" t="s">
        <v>86</v>
      </c>
      <c r="D179" s="38"/>
      <c r="E179" s="38" t="s">
        <v>102</v>
      </c>
      <c r="F179" s="37">
        <v>3</v>
      </c>
      <c r="G179" s="37">
        <v>2</v>
      </c>
      <c r="H179" s="37">
        <v>0</v>
      </c>
      <c r="I179" s="37" t="s">
        <v>8</v>
      </c>
      <c r="J179" s="37" t="s">
        <v>1448</v>
      </c>
      <c r="K179" s="39" t="s">
        <v>1205</v>
      </c>
      <c r="L179" s="40"/>
      <c r="M179" s="40"/>
      <c r="N179" s="37"/>
      <c r="O179" s="36"/>
      <c r="P179" s="42"/>
      <c r="Q179" s="40"/>
      <c r="R179" s="39" t="s">
        <v>1210</v>
      </c>
      <c r="S179" s="44" t="s">
        <v>71</v>
      </c>
      <c r="T179" s="3" t="s">
        <v>1447</v>
      </c>
    </row>
    <row r="180" spans="1:20" x14ac:dyDescent="0.35">
      <c r="A180" s="33">
        <v>30067630</v>
      </c>
      <c r="B180" s="36" t="s">
        <v>957</v>
      </c>
      <c r="C180" s="37" t="s">
        <v>86</v>
      </c>
      <c r="D180" s="38"/>
      <c r="E180" s="38" t="s">
        <v>102</v>
      </c>
      <c r="F180" s="37">
        <v>2</v>
      </c>
      <c r="G180" s="37">
        <v>2</v>
      </c>
      <c r="H180" s="37">
        <v>0</v>
      </c>
      <c r="I180" s="37" t="s">
        <v>8</v>
      </c>
      <c r="J180" s="37" t="s">
        <v>1448</v>
      </c>
      <c r="K180" s="39" t="s">
        <v>1205</v>
      </c>
      <c r="L180" s="40"/>
      <c r="M180" s="40"/>
      <c r="N180" s="37"/>
      <c r="O180" s="36"/>
      <c r="P180" s="42"/>
      <c r="Q180" s="40"/>
      <c r="R180" s="39" t="s">
        <v>1210</v>
      </c>
      <c r="S180" s="44" t="s">
        <v>71</v>
      </c>
      <c r="T180" s="3" t="s">
        <v>1447</v>
      </c>
    </row>
    <row r="181" spans="1:20" x14ac:dyDescent="0.35">
      <c r="A181" s="33">
        <v>30067631</v>
      </c>
      <c r="B181" s="36" t="s">
        <v>958</v>
      </c>
      <c r="C181" s="37" t="s">
        <v>86</v>
      </c>
      <c r="D181" s="38"/>
      <c r="E181" s="38" t="s">
        <v>102</v>
      </c>
      <c r="F181" s="37">
        <v>2</v>
      </c>
      <c r="G181" s="37">
        <v>2</v>
      </c>
      <c r="H181" s="37">
        <v>0</v>
      </c>
      <c r="I181" s="37" t="s">
        <v>8</v>
      </c>
      <c r="J181" s="37" t="s">
        <v>1448</v>
      </c>
      <c r="K181" s="39" t="s">
        <v>1205</v>
      </c>
      <c r="L181" s="40"/>
      <c r="M181" s="40"/>
      <c r="N181" s="37"/>
      <c r="O181" s="36"/>
      <c r="P181" s="42"/>
      <c r="Q181" s="40"/>
      <c r="R181" s="39" t="s">
        <v>1210</v>
      </c>
      <c r="S181" s="44" t="s">
        <v>71</v>
      </c>
      <c r="T181" s="3" t="s">
        <v>1447</v>
      </c>
    </row>
    <row r="182" spans="1:20" x14ac:dyDescent="0.35">
      <c r="A182" s="33">
        <v>30067632</v>
      </c>
      <c r="B182" s="36" t="s">
        <v>959</v>
      </c>
      <c r="C182" s="37" t="s">
        <v>86</v>
      </c>
      <c r="D182" s="38"/>
      <c r="E182" s="38" t="s">
        <v>102</v>
      </c>
      <c r="F182" s="37">
        <v>2</v>
      </c>
      <c r="G182" s="37">
        <v>2</v>
      </c>
      <c r="H182" s="37">
        <v>0</v>
      </c>
      <c r="I182" s="37" t="s">
        <v>8</v>
      </c>
      <c r="J182" s="37" t="s">
        <v>1448</v>
      </c>
      <c r="K182" s="39" t="s">
        <v>1205</v>
      </c>
      <c r="L182" s="40"/>
      <c r="M182" s="40"/>
      <c r="N182" s="37"/>
      <c r="O182" s="36"/>
      <c r="P182" s="42"/>
      <c r="Q182" s="40"/>
      <c r="R182" s="39" t="s">
        <v>1210</v>
      </c>
      <c r="S182" s="44" t="s">
        <v>71</v>
      </c>
      <c r="T182" s="3" t="s">
        <v>1447</v>
      </c>
    </row>
    <row r="183" spans="1:20" x14ac:dyDescent="0.35">
      <c r="A183" s="33">
        <v>30067633</v>
      </c>
      <c r="B183" s="36" t="s">
        <v>960</v>
      </c>
      <c r="C183" s="37" t="s">
        <v>86</v>
      </c>
      <c r="D183" s="38"/>
      <c r="E183" s="38" t="s">
        <v>102</v>
      </c>
      <c r="F183" s="37">
        <v>3</v>
      </c>
      <c r="G183" s="37">
        <v>2</v>
      </c>
      <c r="H183" s="37">
        <v>0</v>
      </c>
      <c r="I183" s="37" t="s">
        <v>8</v>
      </c>
      <c r="J183" s="37" t="s">
        <v>1448</v>
      </c>
      <c r="K183" s="39" t="s">
        <v>1205</v>
      </c>
      <c r="L183" s="40"/>
      <c r="M183" s="40"/>
      <c r="N183" s="37"/>
      <c r="O183" s="36"/>
      <c r="P183" s="42"/>
      <c r="Q183" s="40"/>
      <c r="R183" s="39" t="s">
        <v>1210</v>
      </c>
      <c r="S183" s="44" t="s">
        <v>71</v>
      </c>
      <c r="T183" s="3" t="s">
        <v>1447</v>
      </c>
    </row>
    <row r="184" spans="1:20" x14ac:dyDescent="0.35">
      <c r="A184" s="33">
        <v>30067634</v>
      </c>
      <c r="B184" s="36" t="s">
        <v>961</v>
      </c>
      <c r="C184" s="37" t="s">
        <v>86</v>
      </c>
      <c r="D184" s="38"/>
      <c r="E184" s="38" t="s">
        <v>102</v>
      </c>
      <c r="F184" s="37">
        <v>2</v>
      </c>
      <c r="G184" s="37">
        <v>2</v>
      </c>
      <c r="H184" s="37">
        <v>0</v>
      </c>
      <c r="I184" s="37" t="s">
        <v>8</v>
      </c>
      <c r="J184" s="37" t="s">
        <v>1448</v>
      </c>
      <c r="K184" s="39" t="s">
        <v>1205</v>
      </c>
      <c r="L184" s="40"/>
      <c r="M184" s="40"/>
      <c r="N184" s="37"/>
      <c r="O184" s="36"/>
      <c r="P184" s="42"/>
      <c r="Q184" s="40"/>
      <c r="R184" s="39" t="s">
        <v>1210</v>
      </c>
      <c r="S184" s="44" t="s">
        <v>71</v>
      </c>
      <c r="T184" s="3" t="s">
        <v>1447</v>
      </c>
    </row>
    <row r="185" spans="1:20" x14ac:dyDescent="0.35">
      <c r="A185" s="33">
        <v>30067635</v>
      </c>
      <c r="B185" s="36" t="s">
        <v>962</v>
      </c>
      <c r="C185" s="37" t="s">
        <v>86</v>
      </c>
      <c r="D185" s="38"/>
      <c r="E185" s="38" t="s">
        <v>102</v>
      </c>
      <c r="F185" s="37">
        <v>2</v>
      </c>
      <c r="G185" s="37">
        <v>2</v>
      </c>
      <c r="H185" s="37">
        <v>0</v>
      </c>
      <c r="I185" s="37" t="s">
        <v>8</v>
      </c>
      <c r="J185" s="37" t="s">
        <v>1448</v>
      </c>
      <c r="K185" s="39" t="s">
        <v>1205</v>
      </c>
      <c r="L185" s="40"/>
      <c r="M185" s="40"/>
      <c r="N185" s="37"/>
      <c r="O185" s="36"/>
      <c r="P185" s="42"/>
      <c r="Q185" s="40"/>
      <c r="R185" s="39" t="s">
        <v>1210</v>
      </c>
      <c r="S185" s="44" t="s">
        <v>71</v>
      </c>
      <c r="T185" s="3" t="s">
        <v>1447</v>
      </c>
    </row>
    <row r="186" spans="1:20" x14ac:dyDescent="0.35">
      <c r="A186" s="33">
        <v>30067636</v>
      </c>
      <c r="B186" s="36" t="s">
        <v>963</v>
      </c>
      <c r="C186" s="37" t="s">
        <v>86</v>
      </c>
      <c r="D186" s="38"/>
      <c r="E186" s="38" t="s">
        <v>102</v>
      </c>
      <c r="F186" s="37">
        <v>3</v>
      </c>
      <c r="G186" s="37">
        <v>2</v>
      </c>
      <c r="H186" s="37">
        <v>0</v>
      </c>
      <c r="I186" s="37" t="s">
        <v>8</v>
      </c>
      <c r="J186" s="37" t="s">
        <v>1448</v>
      </c>
      <c r="K186" s="39" t="s">
        <v>1205</v>
      </c>
      <c r="L186" s="40"/>
      <c r="M186" s="40"/>
      <c r="N186" s="37"/>
      <c r="O186" s="36"/>
      <c r="P186" s="42"/>
      <c r="Q186" s="40"/>
      <c r="R186" s="39" t="s">
        <v>1210</v>
      </c>
      <c r="S186" s="44" t="s">
        <v>71</v>
      </c>
      <c r="T186" s="3" t="s">
        <v>1447</v>
      </c>
    </row>
    <row r="187" spans="1:20" x14ac:dyDescent="0.35">
      <c r="A187" s="33">
        <v>30067637</v>
      </c>
      <c r="B187" s="36" t="s">
        <v>964</v>
      </c>
      <c r="C187" s="37" t="s">
        <v>86</v>
      </c>
      <c r="D187" s="38"/>
      <c r="E187" s="38" t="s">
        <v>102</v>
      </c>
      <c r="F187" s="37">
        <v>3</v>
      </c>
      <c r="G187" s="37">
        <v>2</v>
      </c>
      <c r="H187" s="37">
        <v>0</v>
      </c>
      <c r="I187" s="37" t="s">
        <v>8</v>
      </c>
      <c r="J187" s="37" t="s">
        <v>1448</v>
      </c>
      <c r="K187" s="39" t="s">
        <v>1205</v>
      </c>
      <c r="L187" s="40"/>
      <c r="M187" s="40"/>
      <c r="N187" s="37"/>
      <c r="O187" s="36"/>
      <c r="P187" s="42"/>
      <c r="Q187" s="40"/>
      <c r="R187" s="39" t="s">
        <v>1210</v>
      </c>
      <c r="S187" s="44" t="s">
        <v>71</v>
      </c>
      <c r="T187" s="3" t="s">
        <v>1447</v>
      </c>
    </row>
    <row r="188" spans="1:20" x14ac:dyDescent="0.35">
      <c r="A188" s="33">
        <v>30067638</v>
      </c>
      <c r="B188" s="36" t="s">
        <v>965</v>
      </c>
      <c r="C188" s="37" t="s">
        <v>86</v>
      </c>
      <c r="D188" s="38"/>
      <c r="E188" s="38" t="s">
        <v>102</v>
      </c>
      <c r="F188" s="37">
        <v>3</v>
      </c>
      <c r="G188" s="37">
        <v>2</v>
      </c>
      <c r="H188" s="37">
        <v>0</v>
      </c>
      <c r="I188" s="37" t="s">
        <v>8</v>
      </c>
      <c r="J188" s="37" t="s">
        <v>1448</v>
      </c>
      <c r="K188" s="39" t="s">
        <v>1205</v>
      </c>
      <c r="L188" s="40"/>
      <c r="M188" s="40"/>
      <c r="N188" s="37"/>
      <c r="O188" s="36"/>
      <c r="P188" s="42"/>
      <c r="Q188" s="40"/>
      <c r="R188" s="39" t="s">
        <v>1210</v>
      </c>
      <c r="S188" s="44" t="s">
        <v>66</v>
      </c>
      <c r="T188" s="3" t="s">
        <v>1447</v>
      </c>
    </row>
    <row r="189" spans="1:20" x14ac:dyDescent="0.35">
      <c r="A189" s="33">
        <v>30067639</v>
      </c>
      <c r="B189" s="36" t="s">
        <v>966</v>
      </c>
      <c r="C189" s="37" t="s">
        <v>86</v>
      </c>
      <c r="D189" s="38"/>
      <c r="E189" s="38" t="s">
        <v>102</v>
      </c>
      <c r="F189" s="37">
        <v>3</v>
      </c>
      <c r="G189" s="37">
        <v>2</v>
      </c>
      <c r="H189" s="37">
        <v>0</v>
      </c>
      <c r="I189" s="37" t="s">
        <v>8</v>
      </c>
      <c r="J189" s="37" t="s">
        <v>1448</v>
      </c>
      <c r="K189" s="39" t="s">
        <v>1205</v>
      </c>
      <c r="L189" s="40"/>
      <c r="M189" s="40"/>
      <c r="N189" s="37"/>
      <c r="O189" s="36"/>
      <c r="P189" s="42"/>
      <c r="Q189" s="40"/>
      <c r="R189" s="39" t="s">
        <v>1210</v>
      </c>
      <c r="S189" s="44" t="s">
        <v>71</v>
      </c>
      <c r="T189" s="3" t="s">
        <v>1447</v>
      </c>
    </row>
    <row r="190" spans="1:20" x14ac:dyDescent="0.35">
      <c r="A190" s="33">
        <v>30067640</v>
      </c>
      <c r="B190" s="36" t="s">
        <v>967</v>
      </c>
      <c r="C190" s="37" t="s">
        <v>86</v>
      </c>
      <c r="D190" s="38"/>
      <c r="E190" s="38" t="s">
        <v>102</v>
      </c>
      <c r="F190" s="37">
        <v>3</v>
      </c>
      <c r="G190" s="37">
        <v>2</v>
      </c>
      <c r="H190" s="37">
        <v>0</v>
      </c>
      <c r="I190" s="37" t="s">
        <v>8</v>
      </c>
      <c r="J190" s="37" t="s">
        <v>1448</v>
      </c>
      <c r="K190" s="39" t="s">
        <v>1205</v>
      </c>
      <c r="L190" s="40"/>
      <c r="M190" s="40"/>
      <c r="N190" s="37"/>
      <c r="O190" s="36"/>
      <c r="P190" s="42"/>
      <c r="Q190" s="40"/>
      <c r="R190" s="39" t="s">
        <v>1210</v>
      </c>
      <c r="S190" s="44" t="s">
        <v>71</v>
      </c>
      <c r="T190" s="3" t="s">
        <v>1447</v>
      </c>
    </row>
    <row r="191" spans="1:20" x14ac:dyDescent="0.35">
      <c r="A191" s="33">
        <v>30067641</v>
      </c>
      <c r="B191" s="36" t="s">
        <v>968</v>
      </c>
      <c r="C191" s="37" t="s">
        <v>86</v>
      </c>
      <c r="D191" s="38"/>
      <c r="E191" s="38" t="s">
        <v>102</v>
      </c>
      <c r="F191" s="37">
        <v>3</v>
      </c>
      <c r="G191" s="37">
        <v>2</v>
      </c>
      <c r="H191" s="37">
        <v>0</v>
      </c>
      <c r="I191" s="37" t="s">
        <v>8</v>
      </c>
      <c r="J191" s="37" t="s">
        <v>1448</v>
      </c>
      <c r="K191" s="39" t="s">
        <v>1205</v>
      </c>
      <c r="L191" s="40"/>
      <c r="M191" s="40"/>
      <c r="N191" s="37"/>
      <c r="O191" s="36"/>
      <c r="P191" s="42"/>
      <c r="Q191" s="40"/>
      <c r="R191" s="39" t="s">
        <v>1210</v>
      </c>
      <c r="S191" s="44" t="s">
        <v>71</v>
      </c>
      <c r="T191" s="3" t="s">
        <v>1447</v>
      </c>
    </row>
    <row r="192" spans="1:20" x14ac:dyDescent="0.35">
      <c r="A192" s="33">
        <v>30067642</v>
      </c>
      <c r="B192" s="36" t="s">
        <v>969</v>
      </c>
      <c r="C192" s="37" t="s">
        <v>86</v>
      </c>
      <c r="D192" s="38"/>
      <c r="E192" s="38" t="s">
        <v>102</v>
      </c>
      <c r="F192" s="37">
        <v>2</v>
      </c>
      <c r="G192" s="37">
        <v>2</v>
      </c>
      <c r="H192" s="37">
        <v>0</v>
      </c>
      <c r="I192" s="37" t="s">
        <v>8</v>
      </c>
      <c r="J192" s="37" t="s">
        <v>1448</v>
      </c>
      <c r="K192" s="39" t="s">
        <v>1205</v>
      </c>
      <c r="L192" s="40"/>
      <c r="M192" s="40"/>
      <c r="N192" s="37"/>
      <c r="O192" s="36"/>
      <c r="P192" s="42"/>
      <c r="Q192" s="40"/>
      <c r="R192" s="39" t="s">
        <v>1210</v>
      </c>
      <c r="S192" s="44" t="s">
        <v>71</v>
      </c>
      <c r="T192" s="3" t="s">
        <v>1447</v>
      </c>
    </row>
    <row r="193" spans="1:20" x14ac:dyDescent="0.35">
      <c r="A193" s="33">
        <v>30067643</v>
      </c>
      <c r="B193" s="36" t="s">
        <v>970</v>
      </c>
      <c r="C193" s="37" t="s">
        <v>86</v>
      </c>
      <c r="D193" s="38"/>
      <c r="E193" s="38" t="s">
        <v>102</v>
      </c>
      <c r="F193" s="37">
        <v>2</v>
      </c>
      <c r="G193" s="37">
        <v>2</v>
      </c>
      <c r="H193" s="37">
        <v>0</v>
      </c>
      <c r="I193" s="37" t="s">
        <v>8</v>
      </c>
      <c r="J193" s="37" t="s">
        <v>1448</v>
      </c>
      <c r="K193" s="39" t="s">
        <v>1205</v>
      </c>
      <c r="L193" s="40"/>
      <c r="M193" s="40"/>
      <c r="N193" s="37"/>
      <c r="O193" s="36"/>
      <c r="P193" s="42"/>
      <c r="Q193" s="40"/>
      <c r="R193" s="39" t="s">
        <v>1210</v>
      </c>
      <c r="S193" s="44" t="s">
        <v>71</v>
      </c>
      <c r="T193" s="3" t="s">
        <v>1447</v>
      </c>
    </row>
    <row r="194" spans="1:20" x14ac:dyDescent="0.35">
      <c r="A194" s="33">
        <v>30067644</v>
      </c>
      <c r="B194" s="36" t="s">
        <v>971</v>
      </c>
      <c r="C194" s="37" t="s">
        <v>86</v>
      </c>
      <c r="D194" s="38"/>
      <c r="E194" s="38" t="s">
        <v>102</v>
      </c>
      <c r="F194" s="37">
        <v>2</v>
      </c>
      <c r="G194" s="37">
        <v>2</v>
      </c>
      <c r="H194" s="37">
        <v>0</v>
      </c>
      <c r="I194" s="37" t="s">
        <v>8</v>
      </c>
      <c r="J194" s="37" t="s">
        <v>1448</v>
      </c>
      <c r="K194" s="39" t="s">
        <v>1205</v>
      </c>
      <c r="L194" s="40"/>
      <c r="M194" s="40"/>
      <c r="N194" s="37"/>
      <c r="O194" s="36"/>
      <c r="P194" s="42"/>
      <c r="Q194" s="40"/>
      <c r="R194" s="39" t="s">
        <v>1210</v>
      </c>
      <c r="S194" s="44" t="s">
        <v>71</v>
      </c>
      <c r="T194" s="3" t="s">
        <v>1447</v>
      </c>
    </row>
    <row r="195" spans="1:20" x14ac:dyDescent="0.35">
      <c r="A195" s="33">
        <v>30067645</v>
      </c>
      <c r="B195" s="36" t="s">
        <v>972</v>
      </c>
      <c r="C195" s="37" t="s">
        <v>86</v>
      </c>
      <c r="D195" s="38"/>
      <c r="E195" s="38" t="s">
        <v>102</v>
      </c>
      <c r="F195" s="37">
        <v>2</v>
      </c>
      <c r="G195" s="37">
        <v>2</v>
      </c>
      <c r="H195" s="37">
        <v>0</v>
      </c>
      <c r="I195" s="37" t="s">
        <v>8</v>
      </c>
      <c r="J195" s="37" t="s">
        <v>1448</v>
      </c>
      <c r="K195" s="39" t="s">
        <v>1205</v>
      </c>
      <c r="L195" s="40"/>
      <c r="M195" s="40"/>
      <c r="N195" s="37"/>
      <c r="O195" s="36"/>
      <c r="P195" s="42"/>
      <c r="Q195" s="40"/>
      <c r="R195" s="39" t="s">
        <v>1210</v>
      </c>
      <c r="S195" s="44" t="s">
        <v>71</v>
      </c>
      <c r="T195" s="3" t="s">
        <v>1447</v>
      </c>
    </row>
    <row r="196" spans="1:20" x14ac:dyDescent="0.35">
      <c r="A196" s="33">
        <v>30067646</v>
      </c>
      <c r="B196" s="36" t="s">
        <v>973</v>
      </c>
      <c r="C196" s="37" t="s">
        <v>86</v>
      </c>
      <c r="D196" s="38"/>
      <c r="E196" s="38" t="s">
        <v>102</v>
      </c>
      <c r="F196" s="37">
        <v>2</v>
      </c>
      <c r="G196" s="37">
        <v>2</v>
      </c>
      <c r="H196" s="37">
        <v>0</v>
      </c>
      <c r="I196" s="37" t="s">
        <v>8</v>
      </c>
      <c r="J196" s="37" t="s">
        <v>1448</v>
      </c>
      <c r="K196" s="39" t="s">
        <v>1205</v>
      </c>
      <c r="L196" s="40"/>
      <c r="M196" s="40"/>
      <c r="N196" s="37"/>
      <c r="O196" s="36"/>
      <c r="P196" s="42"/>
      <c r="Q196" s="40"/>
      <c r="R196" s="39" t="s">
        <v>1210</v>
      </c>
      <c r="S196" s="44" t="s">
        <v>71</v>
      </c>
      <c r="T196" s="3" t="s">
        <v>1447</v>
      </c>
    </row>
    <row r="197" spans="1:20" x14ac:dyDescent="0.35">
      <c r="A197" s="33">
        <v>30067647</v>
      </c>
      <c r="B197" s="36" t="s">
        <v>974</v>
      </c>
      <c r="C197" s="37" t="s">
        <v>86</v>
      </c>
      <c r="D197" s="38"/>
      <c r="E197" s="38" t="s">
        <v>102</v>
      </c>
      <c r="F197" s="37">
        <v>2</v>
      </c>
      <c r="G197" s="37">
        <v>2</v>
      </c>
      <c r="H197" s="37">
        <v>0</v>
      </c>
      <c r="I197" s="37" t="s">
        <v>8</v>
      </c>
      <c r="J197" s="37" t="s">
        <v>1448</v>
      </c>
      <c r="K197" s="39" t="s">
        <v>1205</v>
      </c>
      <c r="L197" s="40"/>
      <c r="M197" s="40"/>
      <c r="N197" s="37"/>
      <c r="O197" s="36"/>
      <c r="P197" s="42"/>
      <c r="Q197" s="40"/>
      <c r="R197" s="39" t="s">
        <v>1210</v>
      </c>
      <c r="S197" s="44" t="s">
        <v>71</v>
      </c>
      <c r="T197" s="3" t="s">
        <v>1447</v>
      </c>
    </row>
    <row r="198" spans="1:20" x14ac:dyDescent="0.35">
      <c r="A198" s="33">
        <v>30067648</v>
      </c>
      <c r="B198" s="36" t="s">
        <v>975</v>
      </c>
      <c r="C198" s="37" t="s">
        <v>86</v>
      </c>
      <c r="D198" s="38"/>
      <c r="E198" s="38" t="s">
        <v>102</v>
      </c>
      <c r="F198" s="37">
        <v>2</v>
      </c>
      <c r="G198" s="37">
        <v>2</v>
      </c>
      <c r="H198" s="37">
        <v>0</v>
      </c>
      <c r="I198" s="37" t="s">
        <v>8</v>
      </c>
      <c r="J198" s="37" t="s">
        <v>1448</v>
      </c>
      <c r="K198" s="39" t="s">
        <v>1205</v>
      </c>
      <c r="L198" s="40"/>
      <c r="M198" s="40"/>
      <c r="N198" s="37"/>
      <c r="O198" s="36"/>
      <c r="P198" s="42"/>
      <c r="Q198" s="40"/>
      <c r="R198" s="39" t="s">
        <v>1210</v>
      </c>
      <c r="S198" s="44" t="s">
        <v>71</v>
      </c>
      <c r="T198" s="3" t="s">
        <v>1447</v>
      </c>
    </row>
    <row r="199" spans="1:20" x14ac:dyDescent="0.35">
      <c r="A199" s="33">
        <v>30067649</v>
      </c>
      <c r="B199" s="36" t="s">
        <v>976</v>
      </c>
      <c r="C199" s="37" t="s">
        <v>86</v>
      </c>
      <c r="D199" s="38"/>
      <c r="E199" s="38" t="s">
        <v>102</v>
      </c>
      <c r="F199" s="37">
        <v>3</v>
      </c>
      <c r="G199" s="37">
        <v>2</v>
      </c>
      <c r="H199" s="37">
        <v>0</v>
      </c>
      <c r="I199" s="37" t="s">
        <v>8</v>
      </c>
      <c r="J199" s="37" t="s">
        <v>1448</v>
      </c>
      <c r="K199" s="39" t="s">
        <v>1205</v>
      </c>
      <c r="L199" s="40"/>
      <c r="M199" s="40"/>
      <c r="N199" s="37"/>
      <c r="O199" s="36"/>
      <c r="P199" s="42"/>
      <c r="Q199" s="40"/>
      <c r="R199" s="39" t="s">
        <v>1210</v>
      </c>
      <c r="S199" s="44" t="s">
        <v>71</v>
      </c>
      <c r="T199" s="3" t="s">
        <v>1447</v>
      </c>
    </row>
    <row r="200" spans="1:20" x14ac:dyDescent="0.35">
      <c r="A200" s="33">
        <v>30067650</v>
      </c>
      <c r="B200" s="36" t="s">
        <v>977</v>
      </c>
      <c r="C200" s="37" t="s">
        <v>86</v>
      </c>
      <c r="D200" s="38"/>
      <c r="E200" s="38" t="s">
        <v>102</v>
      </c>
      <c r="F200" s="37">
        <v>3</v>
      </c>
      <c r="G200" s="37">
        <v>2</v>
      </c>
      <c r="H200" s="37">
        <v>0</v>
      </c>
      <c r="I200" s="37" t="s">
        <v>8</v>
      </c>
      <c r="J200" s="37" t="s">
        <v>1448</v>
      </c>
      <c r="K200" s="39" t="s">
        <v>1205</v>
      </c>
      <c r="L200" s="40"/>
      <c r="M200" s="40"/>
      <c r="N200" s="37"/>
      <c r="O200" s="36"/>
      <c r="P200" s="42"/>
      <c r="Q200" s="40"/>
      <c r="R200" s="39" t="s">
        <v>1210</v>
      </c>
      <c r="S200" s="44" t="s">
        <v>71</v>
      </c>
      <c r="T200" s="3" t="s">
        <v>1447</v>
      </c>
    </row>
    <row r="201" spans="1:20" x14ac:dyDescent="0.35">
      <c r="A201" s="33">
        <v>30067651</v>
      </c>
      <c r="B201" s="36" t="s">
        <v>978</v>
      </c>
      <c r="C201" s="37" t="s">
        <v>86</v>
      </c>
      <c r="D201" s="38"/>
      <c r="E201" s="38" t="s">
        <v>102</v>
      </c>
      <c r="F201" s="37">
        <v>2</v>
      </c>
      <c r="G201" s="37">
        <v>2</v>
      </c>
      <c r="H201" s="37">
        <v>0</v>
      </c>
      <c r="I201" s="37" t="s">
        <v>8</v>
      </c>
      <c r="J201" s="37" t="s">
        <v>1448</v>
      </c>
      <c r="K201" s="39" t="s">
        <v>1205</v>
      </c>
      <c r="L201" s="40"/>
      <c r="M201" s="40"/>
      <c r="N201" s="37"/>
      <c r="O201" s="36"/>
      <c r="P201" s="42"/>
      <c r="Q201" s="40"/>
      <c r="R201" s="39" t="s">
        <v>1210</v>
      </c>
      <c r="S201" s="44" t="s">
        <v>71</v>
      </c>
      <c r="T201" s="3" t="s">
        <v>1447</v>
      </c>
    </row>
    <row r="202" spans="1:20" x14ac:dyDescent="0.35">
      <c r="A202" s="33">
        <v>30067652</v>
      </c>
      <c r="B202" s="36" t="s">
        <v>979</v>
      </c>
      <c r="C202" s="37" t="s">
        <v>86</v>
      </c>
      <c r="D202" s="38"/>
      <c r="E202" s="38" t="s">
        <v>102</v>
      </c>
      <c r="F202" s="37">
        <v>2</v>
      </c>
      <c r="G202" s="37">
        <v>2</v>
      </c>
      <c r="H202" s="37">
        <v>0</v>
      </c>
      <c r="I202" s="37" t="s">
        <v>8</v>
      </c>
      <c r="J202" s="37" t="s">
        <v>1448</v>
      </c>
      <c r="K202" s="39" t="s">
        <v>1205</v>
      </c>
      <c r="L202" s="40"/>
      <c r="M202" s="40"/>
      <c r="N202" s="37"/>
      <c r="O202" s="36"/>
      <c r="P202" s="42"/>
      <c r="Q202" s="40"/>
      <c r="R202" s="39" t="s">
        <v>1210</v>
      </c>
      <c r="S202" s="44" t="s">
        <v>71</v>
      </c>
      <c r="T202" s="3" t="s">
        <v>1447</v>
      </c>
    </row>
    <row r="203" spans="1:20" x14ac:dyDescent="0.35">
      <c r="A203" s="33">
        <v>30067653</v>
      </c>
      <c r="B203" s="36" t="s">
        <v>980</v>
      </c>
      <c r="C203" s="37" t="s">
        <v>86</v>
      </c>
      <c r="D203" s="38"/>
      <c r="E203" s="38" t="s">
        <v>102</v>
      </c>
      <c r="F203" s="37">
        <v>2</v>
      </c>
      <c r="G203" s="37">
        <v>2</v>
      </c>
      <c r="H203" s="37">
        <v>0</v>
      </c>
      <c r="I203" s="37" t="s">
        <v>8</v>
      </c>
      <c r="J203" s="37" t="s">
        <v>1448</v>
      </c>
      <c r="K203" s="39" t="s">
        <v>1205</v>
      </c>
      <c r="L203" s="40"/>
      <c r="M203" s="40"/>
      <c r="N203" s="37"/>
      <c r="O203" s="36"/>
      <c r="P203" s="42"/>
      <c r="Q203" s="40"/>
      <c r="R203" s="39" t="s">
        <v>1210</v>
      </c>
      <c r="S203" s="44" t="s">
        <v>71</v>
      </c>
      <c r="T203" s="3" t="s">
        <v>1447</v>
      </c>
    </row>
    <row r="204" spans="1:20" x14ac:dyDescent="0.35">
      <c r="A204" s="33">
        <v>30067654</v>
      </c>
      <c r="B204" s="36" t="s">
        <v>981</v>
      </c>
      <c r="C204" s="37" t="s">
        <v>86</v>
      </c>
      <c r="D204" s="38"/>
      <c r="E204" s="38" t="s">
        <v>102</v>
      </c>
      <c r="F204" s="37">
        <v>2</v>
      </c>
      <c r="G204" s="37">
        <v>2</v>
      </c>
      <c r="H204" s="37">
        <v>0</v>
      </c>
      <c r="I204" s="37" t="s">
        <v>8</v>
      </c>
      <c r="J204" s="37" t="s">
        <v>1448</v>
      </c>
      <c r="K204" s="39" t="s">
        <v>1205</v>
      </c>
      <c r="L204" s="40"/>
      <c r="M204" s="40"/>
      <c r="N204" s="37"/>
      <c r="O204" s="36"/>
      <c r="P204" s="42"/>
      <c r="Q204" s="40"/>
      <c r="R204" s="39" t="s">
        <v>1210</v>
      </c>
      <c r="S204" s="44" t="s">
        <v>71</v>
      </c>
      <c r="T204" s="3" t="s">
        <v>1447</v>
      </c>
    </row>
    <row r="205" spans="1:20" x14ac:dyDescent="0.35">
      <c r="A205" s="33">
        <v>30067655</v>
      </c>
      <c r="B205" s="36" t="s">
        <v>982</v>
      </c>
      <c r="C205" s="37" t="s">
        <v>86</v>
      </c>
      <c r="D205" s="38"/>
      <c r="E205" s="38" t="s">
        <v>102</v>
      </c>
      <c r="F205" s="37">
        <v>2</v>
      </c>
      <c r="G205" s="37">
        <v>2</v>
      </c>
      <c r="H205" s="37">
        <v>0</v>
      </c>
      <c r="I205" s="37" t="s">
        <v>8</v>
      </c>
      <c r="J205" s="37" t="s">
        <v>1448</v>
      </c>
      <c r="K205" s="39" t="s">
        <v>1205</v>
      </c>
      <c r="L205" s="40"/>
      <c r="M205" s="40"/>
      <c r="N205" s="37"/>
      <c r="O205" s="36"/>
      <c r="P205" s="42"/>
      <c r="Q205" s="40"/>
      <c r="R205" s="39" t="s">
        <v>1210</v>
      </c>
      <c r="S205" s="44" t="s">
        <v>67</v>
      </c>
      <c r="T205" s="3" t="s">
        <v>1447</v>
      </c>
    </row>
    <row r="206" spans="1:20" x14ac:dyDescent="0.35">
      <c r="A206" s="33">
        <v>30067656</v>
      </c>
      <c r="B206" s="36" t="s">
        <v>983</v>
      </c>
      <c r="C206" s="37" t="s">
        <v>86</v>
      </c>
      <c r="D206" s="38"/>
      <c r="E206" s="38" t="s">
        <v>102</v>
      </c>
      <c r="F206" s="37">
        <v>2</v>
      </c>
      <c r="G206" s="37">
        <v>2</v>
      </c>
      <c r="H206" s="37">
        <v>0</v>
      </c>
      <c r="I206" s="37" t="s">
        <v>8</v>
      </c>
      <c r="J206" s="37" t="s">
        <v>1448</v>
      </c>
      <c r="K206" s="39" t="s">
        <v>1205</v>
      </c>
      <c r="L206" s="40"/>
      <c r="M206" s="40"/>
      <c r="N206" s="37"/>
      <c r="O206" s="36"/>
      <c r="P206" s="42"/>
      <c r="Q206" s="40"/>
      <c r="R206" s="39" t="s">
        <v>1210</v>
      </c>
      <c r="S206" s="44" t="s">
        <v>67</v>
      </c>
      <c r="T206" s="3" t="s">
        <v>1447</v>
      </c>
    </row>
    <row r="207" spans="1:20" x14ac:dyDescent="0.35">
      <c r="A207" s="33">
        <v>30067657</v>
      </c>
      <c r="B207" s="36" t="s">
        <v>984</v>
      </c>
      <c r="C207" s="37" t="s">
        <v>86</v>
      </c>
      <c r="D207" s="38"/>
      <c r="E207" s="38" t="s">
        <v>102</v>
      </c>
      <c r="F207" s="37">
        <v>2</v>
      </c>
      <c r="G207" s="37">
        <v>2</v>
      </c>
      <c r="H207" s="37">
        <v>0</v>
      </c>
      <c r="I207" s="37" t="s">
        <v>8</v>
      </c>
      <c r="J207" s="37" t="s">
        <v>1448</v>
      </c>
      <c r="K207" s="39" t="s">
        <v>1205</v>
      </c>
      <c r="L207" s="40"/>
      <c r="M207" s="40"/>
      <c r="N207" s="37"/>
      <c r="O207" s="36"/>
      <c r="P207" s="42"/>
      <c r="Q207" s="40"/>
      <c r="R207" s="39" t="s">
        <v>1210</v>
      </c>
      <c r="S207" s="44" t="s">
        <v>67</v>
      </c>
      <c r="T207" s="3" t="s">
        <v>1447</v>
      </c>
    </row>
    <row r="208" spans="1:20" x14ac:dyDescent="0.35">
      <c r="A208" s="33">
        <v>30067658</v>
      </c>
      <c r="B208" s="36" t="s">
        <v>985</v>
      </c>
      <c r="C208" s="37" t="s">
        <v>86</v>
      </c>
      <c r="D208" s="38"/>
      <c r="E208" s="38" t="s">
        <v>102</v>
      </c>
      <c r="F208" s="37">
        <v>2</v>
      </c>
      <c r="G208" s="37">
        <v>2</v>
      </c>
      <c r="H208" s="37">
        <v>0</v>
      </c>
      <c r="I208" s="37" t="s">
        <v>8</v>
      </c>
      <c r="J208" s="37" t="s">
        <v>1448</v>
      </c>
      <c r="K208" s="39" t="s">
        <v>1205</v>
      </c>
      <c r="L208" s="40"/>
      <c r="M208" s="40"/>
      <c r="N208" s="37"/>
      <c r="O208" s="36"/>
      <c r="P208" s="42"/>
      <c r="Q208" s="40"/>
      <c r="R208" s="39" t="s">
        <v>1210</v>
      </c>
      <c r="S208" s="44" t="s">
        <v>71</v>
      </c>
      <c r="T208" s="3" t="s">
        <v>1447</v>
      </c>
    </row>
    <row r="209" spans="1:20" x14ac:dyDescent="0.35">
      <c r="A209" s="33">
        <v>30067659</v>
      </c>
      <c r="B209" s="36" t="s">
        <v>1093</v>
      </c>
      <c r="C209" s="37" t="s">
        <v>86</v>
      </c>
      <c r="D209" s="38"/>
      <c r="E209" s="38" t="s">
        <v>102</v>
      </c>
      <c r="F209" s="37">
        <v>2</v>
      </c>
      <c r="G209" s="37">
        <v>1</v>
      </c>
      <c r="H209" s="37">
        <v>0</v>
      </c>
      <c r="I209" s="37" t="s">
        <v>8</v>
      </c>
      <c r="J209" s="37" t="s">
        <v>1448</v>
      </c>
      <c r="K209" s="39" t="s">
        <v>1205</v>
      </c>
      <c r="L209" s="40"/>
      <c r="M209" s="40"/>
      <c r="N209" s="37"/>
      <c r="O209" s="36"/>
      <c r="P209" s="42"/>
      <c r="Q209" s="40"/>
      <c r="R209" s="39" t="s">
        <v>1210</v>
      </c>
      <c r="S209" s="44" t="s">
        <v>71</v>
      </c>
      <c r="T209" s="3" t="s">
        <v>1447</v>
      </c>
    </row>
    <row r="210" spans="1:20" x14ac:dyDescent="0.35">
      <c r="A210" s="33">
        <v>30067660</v>
      </c>
      <c r="B210" s="36" t="s">
        <v>1094</v>
      </c>
      <c r="C210" s="37" t="s">
        <v>86</v>
      </c>
      <c r="D210" s="38"/>
      <c r="E210" s="38" t="s">
        <v>102</v>
      </c>
      <c r="F210" s="37">
        <v>5</v>
      </c>
      <c r="G210" s="37">
        <v>4</v>
      </c>
      <c r="H210" s="37">
        <v>0</v>
      </c>
      <c r="I210" s="37" t="s">
        <v>8</v>
      </c>
      <c r="J210" s="37" t="s">
        <v>1448</v>
      </c>
      <c r="K210" s="39" t="s">
        <v>1205</v>
      </c>
      <c r="L210" s="40"/>
      <c r="M210" s="40"/>
      <c r="N210" s="37"/>
      <c r="O210" s="36"/>
      <c r="P210" s="42"/>
      <c r="Q210" s="40"/>
      <c r="R210" s="39" t="s">
        <v>1210</v>
      </c>
      <c r="S210" s="44" t="s">
        <v>71</v>
      </c>
      <c r="T210" s="3" t="s">
        <v>1447</v>
      </c>
    </row>
    <row r="211" spans="1:20" x14ac:dyDescent="0.35">
      <c r="A211" s="33">
        <v>30067661</v>
      </c>
      <c r="B211" s="36" t="s">
        <v>1095</v>
      </c>
      <c r="C211" s="37" t="s">
        <v>86</v>
      </c>
      <c r="D211" s="38"/>
      <c r="E211" s="38" t="s">
        <v>102</v>
      </c>
      <c r="F211" s="37">
        <v>5</v>
      </c>
      <c r="G211" s="37">
        <v>4</v>
      </c>
      <c r="H211" s="37">
        <v>0</v>
      </c>
      <c r="I211" s="37" t="s">
        <v>8</v>
      </c>
      <c r="J211" s="37" t="s">
        <v>1448</v>
      </c>
      <c r="K211" s="39" t="s">
        <v>1205</v>
      </c>
      <c r="L211" s="40"/>
      <c r="M211" s="40"/>
      <c r="N211" s="37"/>
      <c r="O211" s="36"/>
      <c r="P211" s="42"/>
      <c r="Q211" s="40"/>
      <c r="R211" s="39" t="s">
        <v>1210</v>
      </c>
      <c r="S211" s="44" t="s">
        <v>71</v>
      </c>
      <c r="T211" s="3" t="s">
        <v>1447</v>
      </c>
    </row>
    <row r="212" spans="1:20" x14ac:dyDescent="0.35">
      <c r="A212" s="33">
        <v>30067662</v>
      </c>
      <c r="B212" s="36" t="s">
        <v>1096</v>
      </c>
      <c r="C212" s="37" t="s">
        <v>86</v>
      </c>
      <c r="D212" s="38"/>
      <c r="E212" s="38" t="s">
        <v>102</v>
      </c>
      <c r="F212" s="37">
        <v>17</v>
      </c>
      <c r="G212" s="37">
        <v>16</v>
      </c>
      <c r="H212" s="37">
        <v>0</v>
      </c>
      <c r="I212" s="37" t="s">
        <v>8</v>
      </c>
      <c r="J212" s="37" t="s">
        <v>1448</v>
      </c>
      <c r="K212" s="39" t="s">
        <v>1205</v>
      </c>
      <c r="L212" s="40"/>
      <c r="M212" s="40"/>
      <c r="N212" s="37"/>
      <c r="O212" s="36"/>
      <c r="P212" s="42"/>
      <c r="Q212" s="40"/>
      <c r="R212" s="39" t="s">
        <v>1210</v>
      </c>
      <c r="S212" s="44" t="s">
        <v>71</v>
      </c>
      <c r="T212" s="3" t="s">
        <v>1447</v>
      </c>
    </row>
    <row r="213" spans="1:20" x14ac:dyDescent="0.35">
      <c r="A213" s="33">
        <v>30067663</v>
      </c>
      <c r="B213" s="36" t="s">
        <v>986</v>
      </c>
      <c r="C213" s="37" t="s">
        <v>86</v>
      </c>
      <c r="D213" s="38"/>
      <c r="E213" s="38" t="s">
        <v>102</v>
      </c>
      <c r="F213" s="37">
        <v>3</v>
      </c>
      <c r="G213" s="37">
        <v>2</v>
      </c>
      <c r="H213" s="37">
        <v>0</v>
      </c>
      <c r="I213" s="37" t="s">
        <v>8</v>
      </c>
      <c r="J213" s="37" t="s">
        <v>1448</v>
      </c>
      <c r="K213" s="39" t="s">
        <v>1205</v>
      </c>
      <c r="L213" s="40"/>
      <c r="M213" s="40"/>
      <c r="N213" s="37"/>
      <c r="O213" s="36"/>
      <c r="P213" s="42"/>
      <c r="Q213" s="40"/>
      <c r="R213" s="39" t="s">
        <v>1210</v>
      </c>
      <c r="S213" s="44" t="s">
        <v>71</v>
      </c>
      <c r="T213" s="3" t="s">
        <v>1447</v>
      </c>
    </row>
    <row r="214" spans="1:20" x14ac:dyDescent="0.35">
      <c r="A214" s="33">
        <v>30067664</v>
      </c>
      <c r="B214" s="36" t="s">
        <v>987</v>
      </c>
      <c r="C214" s="37" t="s">
        <v>86</v>
      </c>
      <c r="D214" s="38"/>
      <c r="E214" s="38" t="s">
        <v>102</v>
      </c>
      <c r="F214" s="37">
        <v>13</v>
      </c>
      <c r="G214" s="37">
        <v>12</v>
      </c>
      <c r="H214" s="37">
        <v>0</v>
      </c>
      <c r="I214" s="37" t="s">
        <v>8</v>
      </c>
      <c r="J214" s="37" t="s">
        <v>1448</v>
      </c>
      <c r="K214" s="39" t="s">
        <v>1205</v>
      </c>
      <c r="L214" s="40"/>
      <c r="M214" s="40"/>
      <c r="N214" s="37"/>
      <c r="O214" s="36"/>
      <c r="P214" s="42"/>
      <c r="Q214" s="40"/>
      <c r="R214" s="39" t="s">
        <v>1210</v>
      </c>
      <c r="S214" s="44" t="s">
        <v>71</v>
      </c>
      <c r="T214" s="3" t="s">
        <v>1447</v>
      </c>
    </row>
    <row r="215" spans="1:20" x14ac:dyDescent="0.35">
      <c r="A215" s="33">
        <v>30067665</v>
      </c>
      <c r="B215" s="36" t="s">
        <v>988</v>
      </c>
      <c r="C215" s="37" t="s">
        <v>86</v>
      </c>
      <c r="D215" s="38"/>
      <c r="E215" s="38" t="s">
        <v>102</v>
      </c>
      <c r="F215" s="37">
        <v>3</v>
      </c>
      <c r="G215" s="37">
        <v>2</v>
      </c>
      <c r="H215" s="37">
        <v>0</v>
      </c>
      <c r="I215" s="37" t="s">
        <v>8</v>
      </c>
      <c r="J215" s="37" t="s">
        <v>1448</v>
      </c>
      <c r="K215" s="39" t="s">
        <v>1205</v>
      </c>
      <c r="L215" s="40"/>
      <c r="M215" s="40"/>
      <c r="N215" s="37"/>
      <c r="O215" s="36"/>
      <c r="P215" s="42"/>
      <c r="Q215" s="40"/>
      <c r="R215" s="39" t="s">
        <v>1210</v>
      </c>
      <c r="S215" s="44" t="s">
        <v>71</v>
      </c>
      <c r="T215" s="3" t="s">
        <v>1447</v>
      </c>
    </row>
    <row r="216" spans="1:20" x14ac:dyDescent="0.35">
      <c r="A216" s="33">
        <v>30067666</v>
      </c>
      <c r="B216" s="36" t="s">
        <v>989</v>
      </c>
      <c r="C216" s="37" t="s">
        <v>86</v>
      </c>
      <c r="D216" s="38"/>
      <c r="E216" s="38" t="s">
        <v>102</v>
      </c>
      <c r="F216" s="37">
        <v>2</v>
      </c>
      <c r="G216" s="37">
        <v>2</v>
      </c>
      <c r="H216" s="37">
        <v>0</v>
      </c>
      <c r="I216" s="37" t="s">
        <v>8</v>
      </c>
      <c r="J216" s="37" t="s">
        <v>1448</v>
      </c>
      <c r="K216" s="39" t="s">
        <v>1205</v>
      </c>
      <c r="L216" s="40"/>
      <c r="M216" s="40"/>
      <c r="N216" s="37"/>
      <c r="O216" s="36"/>
      <c r="P216" s="42"/>
      <c r="Q216" s="40"/>
      <c r="R216" s="39" t="s">
        <v>1210</v>
      </c>
      <c r="S216" s="44" t="s">
        <v>71</v>
      </c>
      <c r="T216" s="3" t="s">
        <v>1447</v>
      </c>
    </row>
    <row r="217" spans="1:20" x14ac:dyDescent="0.35">
      <c r="A217" s="33">
        <v>30067667</v>
      </c>
      <c r="B217" s="36" t="s">
        <v>990</v>
      </c>
      <c r="C217" s="37" t="s">
        <v>86</v>
      </c>
      <c r="D217" s="38"/>
      <c r="E217" s="38" t="s">
        <v>102</v>
      </c>
      <c r="F217" s="37">
        <v>3</v>
      </c>
      <c r="G217" s="37">
        <v>2</v>
      </c>
      <c r="H217" s="37">
        <v>0</v>
      </c>
      <c r="I217" s="37" t="s">
        <v>8</v>
      </c>
      <c r="J217" s="37" t="s">
        <v>1448</v>
      </c>
      <c r="K217" s="39" t="s">
        <v>1205</v>
      </c>
      <c r="L217" s="40"/>
      <c r="M217" s="40"/>
      <c r="N217" s="37"/>
      <c r="O217" s="36"/>
      <c r="P217" s="42"/>
      <c r="Q217" s="40"/>
      <c r="R217" s="39" t="s">
        <v>1210</v>
      </c>
      <c r="S217" s="44" t="s">
        <v>71</v>
      </c>
      <c r="T217" s="3" t="s">
        <v>1447</v>
      </c>
    </row>
    <row r="218" spans="1:20" x14ac:dyDescent="0.35">
      <c r="A218" s="33">
        <v>30067668</v>
      </c>
      <c r="B218" s="36" t="s">
        <v>991</v>
      </c>
      <c r="C218" s="37" t="s">
        <v>86</v>
      </c>
      <c r="D218" s="38"/>
      <c r="E218" s="38" t="s">
        <v>102</v>
      </c>
      <c r="F218" s="37">
        <v>13</v>
      </c>
      <c r="G218" s="37">
        <v>12</v>
      </c>
      <c r="H218" s="37">
        <v>0</v>
      </c>
      <c r="I218" s="37" t="s">
        <v>8</v>
      </c>
      <c r="J218" s="37" t="s">
        <v>1448</v>
      </c>
      <c r="K218" s="39" t="s">
        <v>1205</v>
      </c>
      <c r="L218" s="40"/>
      <c r="M218" s="40"/>
      <c r="N218" s="37"/>
      <c r="O218" s="36"/>
      <c r="P218" s="42"/>
      <c r="Q218" s="40"/>
      <c r="R218" s="39" t="s">
        <v>1210</v>
      </c>
      <c r="S218" s="44" t="s">
        <v>71</v>
      </c>
      <c r="T218" s="3" t="s">
        <v>1447</v>
      </c>
    </row>
    <row r="219" spans="1:20" x14ac:dyDescent="0.35">
      <c r="A219" s="33">
        <v>30067669</v>
      </c>
      <c r="B219" s="36" t="s">
        <v>992</v>
      </c>
      <c r="C219" s="37" t="s">
        <v>86</v>
      </c>
      <c r="D219" s="38"/>
      <c r="E219" s="38" t="s">
        <v>102</v>
      </c>
      <c r="F219" s="37">
        <v>13</v>
      </c>
      <c r="G219" s="37">
        <v>12</v>
      </c>
      <c r="H219" s="37">
        <v>0</v>
      </c>
      <c r="I219" s="37" t="s">
        <v>8</v>
      </c>
      <c r="J219" s="37" t="s">
        <v>1448</v>
      </c>
      <c r="K219" s="39" t="s">
        <v>1205</v>
      </c>
      <c r="L219" s="40"/>
      <c r="M219" s="40"/>
      <c r="N219" s="37"/>
      <c r="O219" s="36"/>
      <c r="P219" s="42"/>
      <c r="Q219" s="40"/>
      <c r="R219" s="39" t="s">
        <v>1210</v>
      </c>
      <c r="S219" s="44" t="s">
        <v>71</v>
      </c>
      <c r="T219" s="3" t="s">
        <v>1447</v>
      </c>
    </row>
    <row r="220" spans="1:20" x14ac:dyDescent="0.35">
      <c r="A220" s="33">
        <v>30067670</v>
      </c>
      <c r="B220" s="36" t="s">
        <v>993</v>
      </c>
      <c r="C220" s="37" t="s">
        <v>86</v>
      </c>
      <c r="D220" s="38"/>
      <c r="E220" s="38" t="s">
        <v>102</v>
      </c>
      <c r="F220" s="37">
        <v>3</v>
      </c>
      <c r="G220" s="37">
        <v>2</v>
      </c>
      <c r="H220" s="37">
        <v>0</v>
      </c>
      <c r="I220" s="37" t="s">
        <v>8</v>
      </c>
      <c r="J220" s="37" t="s">
        <v>1448</v>
      </c>
      <c r="K220" s="39" t="s">
        <v>1205</v>
      </c>
      <c r="L220" s="40"/>
      <c r="M220" s="40"/>
      <c r="N220" s="37"/>
      <c r="O220" s="36"/>
      <c r="P220" s="42"/>
      <c r="Q220" s="40"/>
      <c r="R220" s="39" t="s">
        <v>1210</v>
      </c>
      <c r="S220" s="44" t="s">
        <v>71</v>
      </c>
      <c r="T220" s="3" t="s">
        <v>1447</v>
      </c>
    </row>
    <row r="221" spans="1:20" x14ac:dyDescent="0.35">
      <c r="A221" s="33">
        <v>30067671</v>
      </c>
      <c r="B221" s="36" t="s">
        <v>994</v>
      </c>
      <c r="C221" s="37" t="s">
        <v>86</v>
      </c>
      <c r="D221" s="38"/>
      <c r="E221" s="38" t="s">
        <v>102</v>
      </c>
      <c r="F221" s="37">
        <v>13</v>
      </c>
      <c r="G221" s="37">
        <v>12</v>
      </c>
      <c r="H221" s="37">
        <v>0</v>
      </c>
      <c r="I221" s="37" t="s">
        <v>8</v>
      </c>
      <c r="J221" s="37" t="s">
        <v>1448</v>
      </c>
      <c r="K221" s="39" t="s">
        <v>1205</v>
      </c>
      <c r="L221" s="40"/>
      <c r="M221" s="40"/>
      <c r="N221" s="37"/>
      <c r="O221" s="36"/>
      <c r="P221" s="42"/>
      <c r="Q221" s="40"/>
      <c r="R221" s="39" t="s">
        <v>1210</v>
      </c>
      <c r="S221" s="44" t="s">
        <v>71</v>
      </c>
      <c r="T221" s="3" t="s">
        <v>1447</v>
      </c>
    </row>
    <row r="222" spans="1:20" x14ac:dyDescent="0.35">
      <c r="A222" s="33">
        <v>30067672</v>
      </c>
      <c r="B222" s="36" t="s">
        <v>995</v>
      </c>
      <c r="C222" s="37" t="s">
        <v>86</v>
      </c>
      <c r="D222" s="38"/>
      <c r="E222" s="38" t="s">
        <v>102</v>
      </c>
      <c r="F222" s="37">
        <v>13</v>
      </c>
      <c r="G222" s="37">
        <v>12</v>
      </c>
      <c r="H222" s="37">
        <v>0</v>
      </c>
      <c r="I222" s="37" t="s">
        <v>8</v>
      </c>
      <c r="J222" s="37" t="s">
        <v>1448</v>
      </c>
      <c r="K222" s="39" t="s">
        <v>1205</v>
      </c>
      <c r="L222" s="40"/>
      <c r="M222" s="40"/>
      <c r="N222" s="37"/>
      <c r="O222" s="36"/>
      <c r="P222" s="42"/>
      <c r="Q222" s="40"/>
      <c r="R222" s="39" t="s">
        <v>1210</v>
      </c>
      <c r="S222" s="44" t="s">
        <v>71</v>
      </c>
      <c r="T222" s="3" t="s">
        <v>1447</v>
      </c>
    </row>
    <row r="223" spans="1:20" x14ac:dyDescent="0.35">
      <c r="A223" s="33">
        <v>30067673</v>
      </c>
      <c r="B223" s="36" t="s">
        <v>996</v>
      </c>
      <c r="C223" s="37" t="s">
        <v>86</v>
      </c>
      <c r="D223" s="38"/>
      <c r="E223" s="38" t="s">
        <v>102</v>
      </c>
      <c r="F223" s="37">
        <v>16</v>
      </c>
      <c r="G223" s="37">
        <v>15</v>
      </c>
      <c r="H223" s="37">
        <v>0</v>
      </c>
      <c r="I223" s="37" t="s">
        <v>8</v>
      </c>
      <c r="J223" s="37" t="s">
        <v>1448</v>
      </c>
      <c r="K223" s="39" t="s">
        <v>1205</v>
      </c>
      <c r="L223" s="40"/>
      <c r="M223" s="40"/>
      <c r="N223" s="37"/>
      <c r="O223" s="36"/>
      <c r="P223" s="42"/>
      <c r="Q223" s="40"/>
      <c r="R223" s="39" t="s">
        <v>1210</v>
      </c>
      <c r="S223" s="44" t="s">
        <v>71</v>
      </c>
      <c r="T223" s="3" t="s">
        <v>1447</v>
      </c>
    </row>
    <row r="224" spans="1:20" x14ac:dyDescent="0.35">
      <c r="A224" s="33">
        <v>30067674</v>
      </c>
      <c r="B224" s="36" t="s">
        <v>997</v>
      </c>
      <c r="C224" s="37" t="s">
        <v>86</v>
      </c>
      <c r="D224" s="38"/>
      <c r="E224" s="38" t="s">
        <v>102</v>
      </c>
      <c r="F224" s="37">
        <v>7</v>
      </c>
      <c r="G224" s="37">
        <v>6</v>
      </c>
      <c r="H224" s="37">
        <v>0</v>
      </c>
      <c r="I224" s="37" t="s">
        <v>8</v>
      </c>
      <c r="J224" s="37" t="s">
        <v>1448</v>
      </c>
      <c r="K224" s="39" t="s">
        <v>1205</v>
      </c>
      <c r="L224" s="40"/>
      <c r="M224" s="40"/>
      <c r="N224" s="37"/>
      <c r="O224" s="36"/>
      <c r="P224" s="42"/>
      <c r="Q224" s="40"/>
      <c r="R224" s="39" t="s">
        <v>1210</v>
      </c>
      <c r="S224" s="44" t="s">
        <v>71</v>
      </c>
      <c r="T224" s="3" t="s">
        <v>1447</v>
      </c>
    </row>
    <row r="225" spans="1:20" x14ac:dyDescent="0.35">
      <c r="A225" s="33">
        <v>30067675</v>
      </c>
      <c r="B225" s="36" t="s">
        <v>998</v>
      </c>
      <c r="C225" s="37" t="s">
        <v>86</v>
      </c>
      <c r="D225" s="38"/>
      <c r="E225" s="38" t="s">
        <v>102</v>
      </c>
      <c r="F225" s="37">
        <v>49</v>
      </c>
      <c r="G225" s="37">
        <v>48</v>
      </c>
      <c r="H225" s="37">
        <v>0</v>
      </c>
      <c r="I225" s="37" t="s">
        <v>8</v>
      </c>
      <c r="J225" s="37" t="s">
        <v>1448</v>
      </c>
      <c r="K225" s="39" t="s">
        <v>1205</v>
      </c>
      <c r="L225" s="40"/>
      <c r="M225" s="40"/>
      <c r="N225" s="37"/>
      <c r="O225" s="36"/>
      <c r="P225" s="42"/>
      <c r="Q225" s="40"/>
      <c r="R225" s="39" t="s">
        <v>1210</v>
      </c>
      <c r="S225" s="44" t="s">
        <v>71</v>
      </c>
      <c r="T225" s="3" t="s">
        <v>1447</v>
      </c>
    </row>
    <row r="226" spans="1:20" x14ac:dyDescent="0.35">
      <c r="A226" s="33">
        <v>30067676</v>
      </c>
      <c r="B226" s="36" t="s">
        <v>999</v>
      </c>
      <c r="C226" s="37" t="s">
        <v>86</v>
      </c>
      <c r="D226" s="38"/>
      <c r="E226" s="38" t="s">
        <v>102</v>
      </c>
      <c r="F226" s="37">
        <v>3</v>
      </c>
      <c r="G226" s="37">
        <v>2</v>
      </c>
      <c r="H226" s="37">
        <v>0</v>
      </c>
      <c r="I226" s="37" t="s">
        <v>8</v>
      </c>
      <c r="J226" s="37" t="s">
        <v>1448</v>
      </c>
      <c r="K226" s="39" t="s">
        <v>1205</v>
      </c>
      <c r="L226" s="40"/>
      <c r="M226" s="40"/>
      <c r="N226" s="37"/>
      <c r="O226" s="36"/>
      <c r="P226" s="42"/>
      <c r="Q226" s="40"/>
      <c r="R226" s="39" t="s">
        <v>1210</v>
      </c>
      <c r="S226" s="44" t="s">
        <v>71</v>
      </c>
      <c r="T226" s="3" t="s">
        <v>1447</v>
      </c>
    </row>
    <row r="227" spans="1:20" x14ac:dyDescent="0.35">
      <c r="A227" s="33">
        <v>30067677</v>
      </c>
      <c r="B227" s="36" t="s">
        <v>1000</v>
      </c>
      <c r="C227" s="37" t="s">
        <v>86</v>
      </c>
      <c r="D227" s="38"/>
      <c r="E227" s="38" t="s">
        <v>102</v>
      </c>
      <c r="F227" s="37">
        <v>2</v>
      </c>
      <c r="G227" s="37">
        <v>2</v>
      </c>
      <c r="H227" s="37">
        <v>0</v>
      </c>
      <c r="I227" s="37" t="s">
        <v>8</v>
      </c>
      <c r="J227" s="37" t="s">
        <v>1448</v>
      </c>
      <c r="K227" s="39" t="s">
        <v>1205</v>
      </c>
      <c r="L227" s="40"/>
      <c r="M227" s="40"/>
      <c r="N227" s="37"/>
      <c r="O227" s="36"/>
      <c r="P227" s="42"/>
      <c r="Q227" s="40"/>
      <c r="R227" s="39" t="s">
        <v>1210</v>
      </c>
      <c r="S227" s="44" t="s">
        <v>71</v>
      </c>
      <c r="T227" s="3" t="s">
        <v>1447</v>
      </c>
    </row>
    <row r="228" spans="1:20" x14ac:dyDescent="0.35">
      <c r="A228" s="33">
        <v>30067678</v>
      </c>
      <c r="B228" s="36" t="s">
        <v>1001</v>
      </c>
      <c r="C228" s="37" t="s">
        <v>86</v>
      </c>
      <c r="D228" s="38"/>
      <c r="E228" s="38" t="s">
        <v>102</v>
      </c>
      <c r="F228" s="37">
        <v>25</v>
      </c>
      <c r="G228" s="37">
        <v>24</v>
      </c>
      <c r="H228" s="37">
        <v>0</v>
      </c>
      <c r="I228" s="37" t="s">
        <v>8</v>
      </c>
      <c r="J228" s="37" t="s">
        <v>1448</v>
      </c>
      <c r="K228" s="39" t="s">
        <v>1205</v>
      </c>
      <c r="L228" s="40"/>
      <c r="M228" s="40"/>
      <c r="N228" s="37"/>
      <c r="O228" s="36"/>
      <c r="P228" s="42"/>
      <c r="Q228" s="40"/>
      <c r="R228" s="39" t="s">
        <v>1210</v>
      </c>
      <c r="S228" s="44" t="s">
        <v>71</v>
      </c>
      <c r="T228" s="3" t="s">
        <v>1447</v>
      </c>
    </row>
    <row r="229" spans="1:20" x14ac:dyDescent="0.35">
      <c r="A229" s="33">
        <v>30067679</v>
      </c>
      <c r="B229" s="36" t="s">
        <v>1002</v>
      </c>
      <c r="C229" s="37" t="s">
        <v>86</v>
      </c>
      <c r="D229" s="38"/>
      <c r="E229" s="38" t="s">
        <v>102</v>
      </c>
      <c r="F229" s="37">
        <v>3</v>
      </c>
      <c r="G229" s="37">
        <v>2</v>
      </c>
      <c r="H229" s="37">
        <v>0</v>
      </c>
      <c r="I229" s="37" t="s">
        <v>8</v>
      </c>
      <c r="J229" s="37" t="s">
        <v>1448</v>
      </c>
      <c r="K229" s="39" t="s">
        <v>1205</v>
      </c>
      <c r="L229" s="40"/>
      <c r="M229" s="40"/>
      <c r="N229" s="37"/>
      <c r="O229" s="36"/>
      <c r="P229" s="42"/>
      <c r="Q229" s="40"/>
      <c r="R229" s="39" t="s">
        <v>1210</v>
      </c>
      <c r="S229" s="44" t="s">
        <v>71</v>
      </c>
      <c r="T229" s="3" t="s">
        <v>1447</v>
      </c>
    </row>
    <row r="230" spans="1:20" x14ac:dyDescent="0.35">
      <c r="A230" s="33">
        <v>30067680</v>
      </c>
      <c r="B230" s="36" t="s">
        <v>1003</v>
      </c>
      <c r="C230" s="37" t="s">
        <v>86</v>
      </c>
      <c r="D230" s="38"/>
      <c r="E230" s="38" t="s">
        <v>102</v>
      </c>
      <c r="F230" s="37">
        <v>3</v>
      </c>
      <c r="G230" s="37">
        <v>2</v>
      </c>
      <c r="H230" s="37">
        <v>0</v>
      </c>
      <c r="I230" s="37" t="s">
        <v>8</v>
      </c>
      <c r="J230" s="37" t="s">
        <v>1448</v>
      </c>
      <c r="K230" s="39" t="s">
        <v>1205</v>
      </c>
      <c r="L230" s="40"/>
      <c r="M230" s="40"/>
      <c r="N230" s="37"/>
      <c r="O230" s="36"/>
      <c r="P230" s="42"/>
      <c r="Q230" s="40"/>
      <c r="R230" s="39" t="s">
        <v>1210</v>
      </c>
      <c r="S230" s="44" t="s">
        <v>71</v>
      </c>
      <c r="T230" s="3" t="s">
        <v>1447</v>
      </c>
    </row>
    <row r="231" spans="1:20" x14ac:dyDescent="0.35">
      <c r="A231" s="33">
        <v>30067681</v>
      </c>
      <c r="B231" s="36" t="s">
        <v>1004</v>
      </c>
      <c r="C231" s="37" t="s">
        <v>86</v>
      </c>
      <c r="D231" s="38"/>
      <c r="E231" s="38" t="s">
        <v>102</v>
      </c>
      <c r="F231" s="37">
        <v>3</v>
      </c>
      <c r="G231" s="37">
        <v>2</v>
      </c>
      <c r="H231" s="37">
        <v>0</v>
      </c>
      <c r="I231" s="37" t="s">
        <v>8</v>
      </c>
      <c r="J231" s="37" t="s">
        <v>1448</v>
      </c>
      <c r="K231" s="39" t="s">
        <v>1205</v>
      </c>
      <c r="L231" s="40"/>
      <c r="M231" s="40"/>
      <c r="N231" s="37"/>
      <c r="O231" s="36"/>
      <c r="P231" s="42"/>
      <c r="Q231" s="40"/>
      <c r="R231" s="39" t="s">
        <v>1210</v>
      </c>
      <c r="S231" s="44" t="s">
        <v>71</v>
      </c>
      <c r="T231" s="3" t="s">
        <v>1447</v>
      </c>
    </row>
    <row r="232" spans="1:20" x14ac:dyDescent="0.35">
      <c r="A232" s="33">
        <v>30067682</v>
      </c>
      <c r="B232" s="36" t="s">
        <v>1005</v>
      </c>
      <c r="C232" s="37" t="s">
        <v>86</v>
      </c>
      <c r="D232" s="38"/>
      <c r="E232" s="38" t="s">
        <v>102</v>
      </c>
      <c r="F232" s="37">
        <v>3</v>
      </c>
      <c r="G232" s="37">
        <v>2</v>
      </c>
      <c r="H232" s="37">
        <v>0</v>
      </c>
      <c r="I232" s="37" t="s">
        <v>8</v>
      </c>
      <c r="J232" s="37" t="s">
        <v>1448</v>
      </c>
      <c r="K232" s="39" t="s">
        <v>1205</v>
      </c>
      <c r="L232" s="40"/>
      <c r="M232" s="40"/>
      <c r="N232" s="37"/>
      <c r="O232" s="36"/>
      <c r="P232" s="42"/>
      <c r="Q232" s="40"/>
      <c r="R232" s="39" t="s">
        <v>1210</v>
      </c>
      <c r="S232" s="44" t="s">
        <v>71</v>
      </c>
      <c r="T232" s="3" t="s">
        <v>1447</v>
      </c>
    </row>
    <row r="233" spans="1:20" x14ac:dyDescent="0.35">
      <c r="A233" s="33">
        <v>30067683</v>
      </c>
      <c r="B233" s="36" t="s">
        <v>1006</v>
      </c>
      <c r="C233" s="37" t="s">
        <v>86</v>
      </c>
      <c r="D233" s="38"/>
      <c r="E233" s="38" t="s">
        <v>102</v>
      </c>
      <c r="F233" s="37">
        <v>4</v>
      </c>
      <c r="G233" s="37">
        <v>3</v>
      </c>
      <c r="H233" s="37">
        <v>0</v>
      </c>
      <c r="I233" s="37" t="s">
        <v>8</v>
      </c>
      <c r="J233" s="37" t="s">
        <v>1448</v>
      </c>
      <c r="K233" s="39" t="s">
        <v>1205</v>
      </c>
      <c r="L233" s="40"/>
      <c r="M233" s="40"/>
      <c r="N233" s="37"/>
      <c r="O233" s="36"/>
      <c r="P233" s="42"/>
      <c r="Q233" s="40"/>
      <c r="R233" s="39" t="s">
        <v>1210</v>
      </c>
      <c r="S233" s="44" t="s">
        <v>71</v>
      </c>
      <c r="T233" s="3" t="s">
        <v>1447</v>
      </c>
    </row>
    <row r="234" spans="1:20" x14ac:dyDescent="0.35">
      <c r="A234" s="33">
        <v>30067684</v>
      </c>
      <c r="B234" s="36" t="s">
        <v>1007</v>
      </c>
      <c r="C234" s="37" t="s">
        <v>86</v>
      </c>
      <c r="D234" s="38"/>
      <c r="E234" s="38" t="s">
        <v>102</v>
      </c>
      <c r="F234" s="37">
        <v>7</v>
      </c>
      <c r="G234" s="37">
        <v>6</v>
      </c>
      <c r="H234" s="37">
        <v>0</v>
      </c>
      <c r="I234" s="37" t="s">
        <v>8</v>
      </c>
      <c r="J234" s="37" t="s">
        <v>1448</v>
      </c>
      <c r="K234" s="39" t="s">
        <v>1205</v>
      </c>
      <c r="L234" s="40"/>
      <c r="M234" s="40"/>
      <c r="N234" s="37"/>
      <c r="O234" s="36"/>
      <c r="P234" s="42"/>
      <c r="Q234" s="40"/>
      <c r="R234" s="39" t="s">
        <v>1210</v>
      </c>
      <c r="S234" s="44" t="s">
        <v>71</v>
      </c>
      <c r="T234" s="3" t="s">
        <v>1447</v>
      </c>
    </row>
    <row r="235" spans="1:20" x14ac:dyDescent="0.35">
      <c r="A235" s="33">
        <v>30067685</v>
      </c>
      <c r="B235" s="36" t="s">
        <v>1008</v>
      </c>
      <c r="C235" s="37" t="s">
        <v>86</v>
      </c>
      <c r="D235" s="38"/>
      <c r="E235" s="38" t="s">
        <v>102</v>
      </c>
      <c r="F235" s="37">
        <v>3</v>
      </c>
      <c r="G235" s="37">
        <v>2</v>
      </c>
      <c r="H235" s="37">
        <v>0</v>
      </c>
      <c r="I235" s="37" t="s">
        <v>8</v>
      </c>
      <c r="J235" s="37" t="s">
        <v>1448</v>
      </c>
      <c r="K235" s="39" t="s">
        <v>1205</v>
      </c>
      <c r="L235" s="40"/>
      <c r="M235" s="40"/>
      <c r="N235" s="37"/>
      <c r="O235" s="36"/>
      <c r="P235" s="42"/>
      <c r="Q235" s="40"/>
      <c r="R235" s="39" t="s">
        <v>1210</v>
      </c>
      <c r="S235" s="44" t="s">
        <v>71</v>
      </c>
      <c r="T235" s="3" t="s">
        <v>1447</v>
      </c>
    </row>
    <row r="236" spans="1:20" x14ac:dyDescent="0.35">
      <c r="A236" s="33">
        <v>30067686</v>
      </c>
      <c r="B236" s="36" t="s">
        <v>1009</v>
      </c>
      <c r="C236" s="37" t="s">
        <v>86</v>
      </c>
      <c r="D236" s="38"/>
      <c r="E236" s="38" t="s">
        <v>102</v>
      </c>
      <c r="F236" s="37">
        <v>3</v>
      </c>
      <c r="G236" s="37">
        <v>2</v>
      </c>
      <c r="H236" s="37">
        <v>0</v>
      </c>
      <c r="I236" s="37" t="s">
        <v>8</v>
      </c>
      <c r="J236" s="37" t="s">
        <v>1448</v>
      </c>
      <c r="K236" s="39" t="s">
        <v>1205</v>
      </c>
      <c r="L236" s="40"/>
      <c r="M236" s="40"/>
      <c r="N236" s="37"/>
      <c r="O236" s="36"/>
      <c r="P236" s="42"/>
      <c r="Q236" s="40"/>
      <c r="R236" s="39" t="s">
        <v>1210</v>
      </c>
      <c r="S236" s="44" t="s">
        <v>71</v>
      </c>
      <c r="T236" s="3" t="s">
        <v>1447</v>
      </c>
    </row>
    <row r="237" spans="1:20" x14ac:dyDescent="0.35">
      <c r="A237" s="33">
        <v>30067687</v>
      </c>
      <c r="B237" s="36" t="s">
        <v>1010</v>
      </c>
      <c r="C237" s="37" t="s">
        <v>86</v>
      </c>
      <c r="D237" s="38"/>
      <c r="E237" s="38" t="s">
        <v>102</v>
      </c>
      <c r="F237" s="37">
        <v>3</v>
      </c>
      <c r="G237" s="37">
        <v>2</v>
      </c>
      <c r="H237" s="37">
        <v>0</v>
      </c>
      <c r="I237" s="37" t="s">
        <v>8</v>
      </c>
      <c r="J237" s="37" t="s">
        <v>1448</v>
      </c>
      <c r="K237" s="39" t="s">
        <v>1205</v>
      </c>
      <c r="L237" s="40"/>
      <c r="M237" s="40"/>
      <c r="N237" s="37"/>
      <c r="O237" s="36"/>
      <c r="P237" s="42"/>
      <c r="Q237" s="40"/>
      <c r="R237" s="39" t="s">
        <v>1210</v>
      </c>
      <c r="S237" s="44" t="s">
        <v>71</v>
      </c>
      <c r="T237" s="3" t="s">
        <v>1447</v>
      </c>
    </row>
    <row r="238" spans="1:20" x14ac:dyDescent="0.35">
      <c r="A238" s="33">
        <v>30067688</v>
      </c>
      <c r="B238" s="36" t="s">
        <v>1011</v>
      </c>
      <c r="C238" s="37" t="s">
        <v>86</v>
      </c>
      <c r="D238" s="38"/>
      <c r="E238" s="38" t="s">
        <v>102</v>
      </c>
      <c r="F238" s="37">
        <v>3</v>
      </c>
      <c r="G238" s="37">
        <v>2</v>
      </c>
      <c r="H238" s="37">
        <v>0</v>
      </c>
      <c r="I238" s="37" t="s">
        <v>8</v>
      </c>
      <c r="J238" s="37" t="s">
        <v>1448</v>
      </c>
      <c r="K238" s="39" t="s">
        <v>1205</v>
      </c>
      <c r="L238" s="40"/>
      <c r="M238" s="40"/>
      <c r="N238" s="37"/>
      <c r="O238" s="36"/>
      <c r="P238" s="42"/>
      <c r="Q238" s="40"/>
      <c r="R238" s="39" t="s">
        <v>1210</v>
      </c>
      <c r="S238" s="44" t="s">
        <v>71</v>
      </c>
      <c r="T238" s="3" t="s">
        <v>1447</v>
      </c>
    </row>
    <row r="239" spans="1:20" x14ac:dyDescent="0.35">
      <c r="A239" s="33">
        <v>30067689</v>
      </c>
      <c r="B239" s="36" t="s">
        <v>1012</v>
      </c>
      <c r="C239" s="37" t="s">
        <v>86</v>
      </c>
      <c r="D239" s="38"/>
      <c r="E239" s="38" t="s">
        <v>102</v>
      </c>
      <c r="F239" s="37">
        <v>3</v>
      </c>
      <c r="G239" s="37">
        <v>2</v>
      </c>
      <c r="H239" s="37">
        <v>0</v>
      </c>
      <c r="I239" s="37" t="s">
        <v>8</v>
      </c>
      <c r="J239" s="37" t="s">
        <v>1448</v>
      </c>
      <c r="K239" s="39" t="s">
        <v>1205</v>
      </c>
      <c r="L239" s="40"/>
      <c r="M239" s="40"/>
      <c r="N239" s="37"/>
      <c r="O239" s="36"/>
      <c r="P239" s="42"/>
      <c r="Q239" s="40"/>
      <c r="R239" s="39" t="s">
        <v>1210</v>
      </c>
      <c r="S239" s="44" t="s">
        <v>71</v>
      </c>
      <c r="T239" s="3" t="s">
        <v>1447</v>
      </c>
    </row>
    <row r="240" spans="1:20" x14ac:dyDescent="0.35">
      <c r="A240" s="33">
        <v>30067690</v>
      </c>
      <c r="B240" s="36" t="s">
        <v>1013</v>
      </c>
      <c r="C240" s="37" t="s">
        <v>86</v>
      </c>
      <c r="D240" s="38"/>
      <c r="E240" s="38" t="s">
        <v>102</v>
      </c>
      <c r="F240" s="37">
        <v>9</v>
      </c>
      <c r="G240" s="37">
        <v>8</v>
      </c>
      <c r="H240" s="37">
        <v>0</v>
      </c>
      <c r="I240" s="37" t="s">
        <v>8</v>
      </c>
      <c r="J240" s="37" t="s">
        <v>1448</v>
      </c>
      <c r="K240" s="39" t="s">
        <v>1205</v>
      </c>
      <c r="L240" s="40"/>
      <c r="M240" s="40"/>
      <c r="N240" s="37"/>
      <c r="O240" s="36"/>
      <c r="P240" s="42"/>
      <c r="Q240" s="40"/>
      <c r="R240" s="39" t="s">
        <v>1210</v>
      </c>
      <c r="S240" s="44" t="s">
        <v>71</v>
      </c>
      <c r="T240" s="3" t="s">
        <v>1447</v>
      </c>
    </row>
    <row r="241" spans="1:20" x14ac:dyDescent="0.35">
      <c r="A241" s="33">
        <v>30067691</v>
      </c>
      <c r="B241" s="36" t="s">
        <v>1014</v>
      </c>
      <c r="C241" s="37" t="s">
        <v>86</v>
      </c>
      <c r="D241" s="38"/>
      <c r="E241" s="38" t="s">
        <v>102</v>
      </c>
      <c r="F241" s="37">
        <v>2</v>
      </c>
      <c r="G241" s="37">
        <v>2</v>
      </c>
      <c r="H241" s="37">
        <v>0</v>
      </c>
      <c r="I241" s="37" t="s">
        <v>8</v>
      </c>
      <c r="J241" s="37" t="s">
        <v>1448</v>
      </c>
      <c r="K241" s="39" t="s">
        <v>1205</v>
      </c>
      <c r="L241" s="40"/>
      <c r="M241" s="40"/>
      <c r="N241" s="37"/>
      <c r="O241" s="36"/>
      <c r="P241" s="42"/>
      <c r="Q241" s="40"/>
      <c r="R241" s="39" t="s">
        <v>1210</v>
      </c>
      <c r="S241" s="44" t="s">
        <v>71</v>
      </c>
      <c r="T241" s="3" t="s">
        <v>1447</v>
      </c>
    </row>
    <row r="242" spans="1:20" x14ac:dyDescent="0.35">
      <c r="A242" s="33">
        <v>30067692</v>
      </c>
      <c r="B242" s="36" t="s">
        <v>1015</v>
      </c>
      <c r="C242" s="37" t="s">
        <v>86</v>
      </c>
      <c r="D242" s="38"/>
      <c r="E242" s="38" t="s">
        <v>102</v>
      </c>
      <c r="F242" s="37">
        <v>3</v>
      </c>
      <c r="G242" s="37">
        <v>2</v>
      </c>
      <c r="H242" s="37">
        <v>0</v>
      </c>
      <c r="I242" s="37" t="s">
        <v>8</v>
      </c>
      <c r="J242" s="37" t="s">
        <v>1448</v>
      </c>
      <c r="K242" s="39" t="s">
        <v>1205</v>
      </c>
      <c r="L242" s="40"/>
      <c r="M242" s="40"/>
      <c r="N242" s="37"/>
      <c r="O242" s="36"/>
      <c r="P242" s="42"/>
      <c r="Q242" s="40"/>
      <c r="R242" s="39" t="s">
        <v>1210</v>
      </c>
      <c r="S242" s="44" t="s">
        <v>71</v>
      </c>
      <c r="T242" s="3" t="s">
        <v>1447</v>
      </c>
    </row>
    <row r="243" spans="1:20" x14ac:dyDescent="0.35">
      <c r="A243" s="33">
        <v>30067693</v>
      </c>
      <c r="B243" s="36" t="s">
        <v>1016</v>
      </c>
      <c r="C243" s="37" t="s">
        <v>86</v>
      </c>
      <c r="D243" s="38"/>
      <c r="E243" s="38" t="s">
        <v>102</v>
      </c>
      <c r="F243" s="37">
        <v>3</v>
      </c>
      <c r="G243" s="37">
        <v>2</v>
      </c>
      <c r="H243" s="37">
        <v>0</v>
      </c>
      <c r="I243" s="37" t="s">
        <v>8</v>
      </c>
      <c r="J243" s="37" t="s">
        <v>1448</v>
      </c>
      <c r="K243" s="39" t="s">
        <v>1205</v>
      </c>
      <c r="L243" s="40"/>
      <c r="M243" s="40"/>
      <c r="N243" s="37"/>
      <c r="O243" s="36"/>
      <c r="P243" s="42"/>
      <c r="Q243" s="40"/>
      <c r="R243" s="39" t="s">
        <v>1210</v>
      </c>
      <c r="S243" s="44" t="s">
        <v>71</v>
      </c>
      <c r="T243" s="3" t="s">
        <v>1447</v>
      </c>
    </row>
    <row r="244" spans="1:20" x14ac:dyDescent="0.35">
      <c r="A244" s="33">
        <v>30067694</v>
      </c>
      <c r="B244" s="36" t="s">
        <v>1017</v>
      </c>
      <c r="C244" s="37" t="s">
        <v>86</v>
      </c>
      <c r="D244" s="38"/>
      <c r="E244" s="38" t="s">
        <v>102</v>
      </c>
      <c r="F244" s="37">
        <v>3</v>
      </c>
      <c r="G244" s="37">
        <v>2</v>
      </c>
      <c r="H244" s="37">
        <v>0</v>
      </c>
      <c r="I244" s="37" t="s">
        <v>8</v>
      </c>
      <c r="J244" s="37" t="s">
        <v>1448</v>
      </c>
      <c r="K244" s="39" t="s">
        <v>1205</v>
      </c>
      <c r="L244" s="40"/>
      <c r="M244" s="40"/>
      <c r="N244" s="37"/>
      <c r="O244" s="36"/>
      <c r="P244" s="42"/>
      <c r="Q244" s="40"/>
      <c r="R244" s="39" t="s">
        <v>1210</v>
      </c>
      <c r="S244" s="44" t="s">
        <v>71</v>
      </c>
      <c r="T244" s="3" t="s">
        <v>1447</v>
      </c>
    </row>
    <row r="245" spans="1:20" x14ac:dyDescent="0.35">
      <c r="A245" s="33">
        <v>30067695</v>
      </c>
      <c r="B245" s="36" t="s">
        <v>1018</v>
      </c>
      <c r="C245" s="37" t="s">
        <v>86</v>
      </c>
      <c r="D245" s="38"/>
      <c r="E245" s="38" t="s">
        <v>102</v>
      </c>
      <c r="F245" s="37">
        <v>3</v>
      </c>
      <c r="G245" s="37">
        <v>2</v>
      </c>
      <c r="H245" s="37">
        <v>0</v>
      </c>
      <c r="I245" s="37" t="s">
        <v>8</v>
      </c>
      <c r="J245" s="37" t="s">
        <v>1448</v>
      </c>
      <c r="K245" s="39" t="s">
        <v>1205</v>
      </c>
      <c r="L245" s="40"/>
      <c r="M245" s="40"/>
      <c r="N245" s="37"/>
      <c r="O245" s="36"/>
      <c r="P245" s="42"/>
      <c r="Q245" s="40"/>
      <c r="R245" s="39" t="s">
        <v>1210</v>
      </c>
      <c r="S245" s="44" t="s">
        <v>71</v>
      </c>
      <c r="T245" s="3" t="s">
        <v>1447</v>
      </c>
    </row>
    <row r="246" spans="1:20" x14ac:dyDescent="0.35">
      <c r="A246" s="33">
        <v>30067696</v>
      </c>
      <c r="B246" s="36" t="s">
        <v>1019</v>
      </c>
      <c r="C246" s="37" t="s">
        <v>86</v>
      </c>
      <c r="D246" s="38"/>
      <c r="E246" s="38" t="s">
        <v>102</v>
      </c>
      <c r="F246" s="37">
        <v>2</v>
      </c>
      <c r="G246" s="37">
        <v>2</v>
      </c>
      <c r="H246" s="37">
        <v>0</v>
      </c>
      <c r="I246" s="37" t="s">
        <v>8</v>
      </c>
      <c r="J246" s="37" t="s">
        <v>1448</v>
      </c>
      <c r="K246" s="39" t="s">
        <v>1205</v>
      </c>
      <c r="L246" s="40"/>
      <c r="M246" s="40"/>
      <c r="N246" s="37"/>
      <c r="O246" s="36"/>
      <c r="P246" s="42"/>
      <c r="Q246" s="40"/>
      <c r="R246" s="39" t="s">
        <v>1210</v>
      </c>
      <c r="S246" s="44" t="s">
        <v>71</v>
      </c>
      <c r="T246" s="3" t="s">
        <v>1447</v>
      </c>
    </row>
    <row r="247" spans="1:20" x14ac:dyDescent="0.35">
      <c r="A247" s="33">
        <v>30067703</v>
      </c>
      <c r="B247" s="36" t="s">
        <v>1097</v>
      </c>
      <c r="C247" s="37" t="s">
        <v>86</v>
      </c>
      <c r="D247" s="38"/>
      <c r="E247" s="38" t="s">
        <v>102</v>
      </c>
      <c r="F247" s="37">
        <v>5</v>
      </c>
      <c r="G247" s="37">
        <v>4</v>
      </c>
      <c r="H247" s="37">
        <v>0</v>
      </c>
      <c r="I247" s="37" t="s">
        <v>8</v>
      </c>
      <c r="J247" s="37" t="s">
        <v>1448</v>
      </c>
      <c r="K247" s="39" t="s">
        <v>1205</v>
      </c>
      <c r="L247" s="40"/>
      <c r="M247" s="40"/>
      <c r="N247" s="37"/>
      <c r="O247" s="36"/>
      <c r="P247" s="42"/>
      <c r="Q247" s="40"/>
      <c r="R247" s="39" t="s">
        <v>1210</v>
      </c>
      <c r="S247" s="44" t="s">
        <v>71</v>
      </c>
      <c r="T247" s="3" t="s">
        <v>1447</v>
      </c>
    </row>
    <row r="248" spans="1:20" x14ac:dyDescent="0.35">
      <c r="A248" s="33">
        <v>30067704</v>
      </c>
      <c r="B248" s="36" t="s">
        <v>1098</v>
      </c>
      <c r="C248" s="37" t="s">
        <v>86</v>
      </c>
      <c r="D248" s="38"/>
      <c r="E248" s="38" t="s">
        <v>102</v>
      </c>
      <c r="F248" s="37">
        <v>5</v>
      </c>
      <c r="G248" s="37">
        <v>4</v>
      </c>
      <c r="H248" s="37">
        <v>0</v>
      </c>
      <c r="I248" s="37" t="s">
        <v>8</v>
      </c>
      <c r="J248" s="37" t="s">
        <v>1448</v>
      </c>
      <c r="K248" s="39" t="s">
        <v>1205</v>
      </c>
      <c r="L248" s="40"/>
      <c r="M248" s="40"/>
      <c r="N248" s="37"/>
      <c r="O248" s="36"/>
      <c r="P248" s="42"/>
      <c r="Q248" s="40"/>
      <c r="R248" s="39" t="s">
        <v>1210</v>
      </c>
      <c r="S248" s="44" t="s">
        <v>71</v>
      </c>
      <c r="T248" s="3" t="s">
        <v>1447</v>
      </c>
    </row>
    <row r="249" spans="1:20" x14ac:dyDescent="0.35">
      <c r="A249" s="33">
        <v>30067705</v>
      </c>
      <c r="B249" s="36" t="s">
        <v>1099</v>
      </c>
      <c r="C249" s="37" t="s">
        <v>86</v>
      </c>
      <c r="D249" s="38"/>
      <c r="E249" s="38" t="s">
        <v>102</v>
      </c>
      <c r="F249" s="37">
        <v>5</v>
      </c>
      <c r="G249" s="37">
        <v>4</v>
      </c>
      <c r="H249" s="37">
        <v>0</v>
      </c>
      <c r="I249" s="37" t="s">
        <v>8</v>
      </c>
      <c r="J249" s="37" t="s">
        <v>1448</v>
      </c>
      <c r="K249" s="39" t="s">
        <v>1205</v>
      </c>
      <c r="L249" s="40"/>
      <c r="M249" s="40"/>
      <c r="N249" s="37"/>
      <c r="O249" s="36"/>
      <c r="P249" s="42"/>
      <c r="Q249" s="40"/>
      <c r="R249" s="39" t="s">
        <v>1210</v>
      </c>
      <c r="S249" s="44" t="s">
        <v>71</v>
      </c>
      <c r="T249" s="3" t="s">
        <v>1447</v>
      </c>
    </row>
    <row r="250" spans="1:20" x14ac:dyDescent="0.35">
      <c r="A250" s="33">
        <v>30067706</v>
      </c>
      <c r="B250" s="36" t="s">
        <v>1100</v>
      </c>
      <c r="C250" s="37" t="s">
        <v>86</v>
      </c>
      <c r="D250" s="38"/>
      <c r="E250" s="38" t="s">
        <v>102</v>
      </c>
      <c r="F250" s="37">
        <v>5</v>
      </c>
      <c r="G250" s="37">
        <v>4</v>
      </c>
      <c r="H250" s="37">
        <v>0</v>
      </c>
      <c r="I250" s="37" t="s">
        <v>8</v>
      </c>
      <c r="J250" s="37" t="s">
        <v>1448</v>
      </c>
      <c r="K250" s="39" t="s">
        <v>1205</v>
      </c>
      <c r="L250" s="40"/>
      <c r="M250" s="40"/>
      <c r="N250" s="37"/>
      <c r="O250" s="36"/>
      <c r="P250" s="42"/>
      <c r="Q250" s="40"/>
      <c r="R250" s="39" t="s">
        <v>1210</v>
      </c>
      <c r="S250" s="44" t="s">
        <v>71</v>
      </c>
      <c r="T250" s="3" t="s">
        <v>1447</v>
      </c>
    </row>
    <row r="251" spans="1:20" x14ac:dyDescent="0.35">
      <c r="A251" s="33">
        <v>30067707</v>
      </c>
      <c r="B251" s="36" t="s">
        <v>1101</v>
      </c>
      <c r="C251" s="37" t="s">
        <v>86</v>
      </c>
      <c r="D251" s="38"/>
      <c r="E251" s="38" t="s">
        <v>102</v>
      </c>
      <c r="F251" s="37">
        <v>5</v>
      </c>
      <c r="G251" s="37">
        <v>4</v>
      </c>
      <c r="H251" s="37">
        <v>0</v>
      </c>
      <c r="I251" s="37" t="s">
        <v>8</v>
      </c>
      <c r="J251" s="37" t="s">
        <v>1448</v>
      </c>
      <c r="K251" s="39" t="s">
        <v>1205</v>
      </c>
      <c r="L251" s="40"/>
      <c r="M251" s="40"/>
      <c r="N251" s="37"/>
      <c r="O251" s="36"/>
      <c r="P251" s="42"/>
      <c r="Q251" s="40"/>
      <c r="R251" s="39" t="s">
        <v>1210</v>
      </c>
      <c r="S251" s="44" t="s">
        <v>71</v>
      </c>
      <c r="T251" s="3" t="s">
        <v>1447</v>
      </c>
    </row>
    <row r="252" spans="1:20" x14ac:dyDescent="0.35">
      <c r="A252" s="33">
        <v>30067708</v>
      </c>
      <c r="B252" s="36" t="s">
        <v>1102</v>
      </c>
      <c r="C252" s="37" t="s">
        <v>86</v>
      </c>
      <c r="D252" s="38"/>
      <c r="E252" s="38" t="s">
        <v>102</v>
      </c>
      <c r="F252" s="37">
        <v>17</v>
      </c>
      <c r="G252" s="37">
        <v>16</v>
      </c>
      <c r="H252" s="37">
        <v>0</v>
      </c>
      <c r="I252" s="37" t="s">
        <v>8</v>
      </c>
      <c r="J252" s="37" t="s">
        <v>1448</v>
      </c>
      <c r="K252" s="39" t="s">
        <v>1205</v>
      </c>
      <c r="L252" s="40"/>
      <c r="M252" s="40"/>
      <c r="N252" s="37"/>
      <c r="O252" s="36"/>
      <c r="P252" s="42"/>
      <c r="Q252" s="40"/>
      <c r="R252" s="39" t="s">
        <v>1210</v>
      </c>
      <c r="S252" s="44" t="s">
        <v>71</v>
      </c>
      <c r="T252" s="3" t="s">
        <v>1447</v>
      </c>
    </row>
    <row r="253" spans="1:20" x14ac:dyDescent="0.35">
      <c r="A253" s="51">
        <v>30067711</v>
      </c>
      <c r="B253" s="46" t="s">
        <v>1103</v>
      </c>
      <c r="C253" s="47" t="s">
        <v>86</v>
      </c>
      <c r="D253" s="48"/>
      <c r="E253" s="48" t="s">
        <v>102</v>
      </c>
      <c r="F253" s="37">
        <v>65</v>
      </c>
      <c r="G253" s="37">
        <v>64</v>
      </c>
      <c r="H253" s="37">
        <v>0</v>
      </c>
      <c r="I253" s="47" t="s">
        <v>8</v>
      </c>
      <c r="J253" s="37" t="s">
        <v>1448</v>
      </c>
      <c r="K253" s="49" t="s">
        <v>1205</v>
      </c>
      <c r="L253" s="50"/>
      <c r="M253" s="50"/>
      <c r="N253" s="47"/>
      <c r="O253" s="46"/>
      <c r="P253" s="52"/>
      <c r="Q253" s="50"/>
      <c r="R253" s="39" t="s">
        <v>1210</v>
      </c>
      <c r="S253" s="53" t="s">
        <v>71</v>
      </c>
      <c r="T253" s="3" t="s">
        <v>1447</v>
      </c>
    </row>
  </sheetData>
  <autoFilter ref="A1:T253" xr:uid="{F8C6D6AF-ECDD-4D7C-A0DD-E3C91083649B}"/>
  <conditionalFormatting sqref="A2:A253">
    <cfRule type="duplicateValues" dxfId="91" priority="36"/>
    <cfRule type="duplicateValues" dxfId="90" priority="37"/>
    <cfRule type="duplicateValues" dxfId="89" priority="38"/>
  </conditionalFormatting>
  <conditionalFormatting sqref="J1:M253">
    <cfRule type="cellIs" dxfId="88" priority="2" operator="equal">
      <formula>"Desactivado"</formula>
    </cfRule>
    <cfRule type="cellIs" dxfId="87" priority="3" operator="equal">
      <formula>"Sobre Stock"</formula>
    </cfRule>
    <cfRule type="cellIs" dxfId="86" priority="4" operator="equal">
      <formula>"Bajo Stock"</formula>
    </cfRule>
    <cfRule type="cellIs" dxfId="85" priority="5" operator="equal">
      <formula>"Stock OK"</formula>
    </cfRule>
    <cfRule type="cellIs" dxfId="84" priority="6" operator="equal">
      <formula>"Quiebre Stock"</formula>
    </cfRule>
  </conditionalFormatting>
  <conditionalFormatting sqref="P2:Q253">
    <cfRule type="cellIs" dxfId="83" priority="1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8701D198-5B20-44C0-A3B8-DDA787C9CC77}">
  <ds:schemaRefs/>
</ds:datastoreItem>
</file>

<file path=customXml/itemProps2.xml><?xml version="1.0" encoding="utf-8"?>
<ds:datastoreItem xmlns:ds="http://schemas.openxmlformats.org/officeDocument/2006/customXml" ds:itemID="{EDEC40CB-5311-4F30-A212-8EBF470E480E}">
  <ds:schemaRefs/>
</ds:datastoreItem>
</file>

<file path=customXml/itemProps3.xml><?xml version="1.0" encoding="utf-8"?>
<ds:datastoreItem xmlns:ds="http://schemas.openxmlformats.org/officeDocument/2006/customXml" ds:itemID="{68A1438B-7615-486A-9290-DC8742F17A8D}">
  <ds:schemaRefs/>
</ds:datastoreItem>
</file>

<file path=customXml/itemProps4.xml><?xml version="1.0" encoding="utf-8"?>
<ds:datastoreItem xmlns:ds="http://schemas.openxmlformats.org/officeDocument/2006/customXml" ds:itemID="{2D93D4C3-C097-499B-BC70-2F81B9BBD3D8}">
  <ds:schemaRefs/>
</ds:datastoreItem>
</file>

<file path=customXml/itemProps5.xml><?xml version="1.0" encoding="utf-8"?>
<ds:datastoreItem xmlns:ds="http://schemas.openxmlformats.org/officeDocument/2006/customXml" ds:itemID="{10284D1A-666F-4B96-8C6C-F302A34AA26D}">
  <ds:schemaRefs/>
</ds:datastoreItem>
</file>

<file path=customXml/itemProps6.xml><?xml version="1.0" encoding="utf-8"?>
<ds:datastoreItem xmlns:ds="http://schemas.openxmlformats.org/officeDocument/2006/customXml" ds:itemID="{46FE3B33-23CB-4C87-9BF9-CA9A6BD8265C}">
  <ds:schemaRefs/>
</ds:datastoreItem>
</file>

<file path=customXml/itemProps7.xml><?xml version="1.0" encoding="utf-8"?>
<ds:datastoreItem xmlns:ds="http://schemas.openxmlformats.org/officeDocument/2006/customXml" ds:itemID="{2024EEA9-1EC3-4A27-BA2F-C28822459AF8}">
  <ds:schemaRefs/>
</ds:datastoreItem>
</file>

<file path=customXml/itemProps8.xml><?xml version="1.0" encoding="utf-8"?>
<ds:datastoreItem xmlns:ds="http://schemas.openxmlformats.org/officeDocument/2006/customXml" ds:itemID="{0F3EABCF-BC31-45B6-8D57-45DAD164486F}">
  <ds:schemaRefs/>
</ds:datastoreItem>
</file>

<file path=customXml/itemProps9.xml><?xml version="1.0" encoding="utf-8"?>
<ds:datastoreItem xmlns:ds="http://schemas.openxmlformats.org/officeDocument/2006/customXml" ds:itemID="{6D4423D8-6D3E-4B9A-995B-092056B28B25}">
  <ds:schemaRefs/>
</ds:datastoreItem>
</file>

<file path=customXml/itemProps10.xml><?xml version="1.0" encoding="utf-8"?>
<ds:datastoreItem xmlns:ds="http://schemas.openxmlformats.org/officeDocument/2006/customXml" ds:itemID="{A2CA7F53-FA6A-4F83-8C83-AF63906A1BA5}">
  <ds:schemaRefs/>
</ds:datastoreItem>
</file>

<file path=customXml/itemProps11.xml><?xml version="1.0" encoding="utf-8"?>
<ds:datastoreItem xmlns:ds="http://schemas.openxmlformats.org/officeDocument/2006/customXml" ds:itemID="{E9C85BF8-3150-473C-A79F-6740E28A975F}">
  <ds:schemaRefs/>
</ds:datastoreItem>
</file>

<file path=customXml/itemProps12.xml><?xml version="1.0" encoding="utf-8"?>
<ds:datastoreItem xmlns:ds="http://schemas.openxmlformats.org/officeDocument/2006/customXml" ds:itemID="{C933F1A4-DB9A-4F45-BB83-65D2D0BC91CF}">
  <ds:schemaRefs/>
</ds:datastoreItem>
</file>

<file path=customXml/itemProps13.xml><?xml version="1.0" encoding="utf-8"?>
<ds:datastoreItem xmlns:ds="http://schemas.openxmlformats.org/officeDocument/2006/customXml" ds:itemID="{5E47B944-2A5F-422B-A49E-BD8192CFB696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FE1DE4F7-E0DC-4D00-98CF-8311553E54C2}">
  <ds:schemaRefs/>
</ds:datastoreItem>
</file>

<file path=customXml/itemProps15.xml><?xml version="1.0" encoding="utf-8"?>
<ds:datastoreItem xmlns:ds="http://schemas.openxmlformats.org/officeDocument/2006/customXml" ds:itemID="{2B7EA82C-3EED-470A-8A2F-B8E264757E46}">
  <ds:schemaRefs/>
</ds:datastoreItem>
</file>

<file path=customXml/itemProps16.xml><?xml version="1.0" encoding="utf-8"?>
<ds:datastoreItem xmlns:ds="http://schemas.openxmlformats.org/officeDocument/2006/customXml" ds:itemID="{205A3807-A078-421E-BF77-6CAFE66F33A4}">
  <ds:schemaRefs/>
</ds:datastoreItem>
</file>

<file path=customXml/itemProps17.xml><?xml version="1.0" encoding="utf-8"?>
<ds:datastoreItem xmlns:ds="http://schemas.openxmlformats.org/officeDocument/2006/customXml" ds:itemID="{22A1D83D-34AC-4DC6-BF48-0285EB63DB45}">
  <ds:schemaRefs/>
</ds:datastoreItem>
</file>

<file path=customXml/itemProps18.xml><?xml version="1.0" encoding="utf-8"?>
<ds:datastoreItem xmlns:ds="http://schemas.openxmlformats.org/officeDocument/2006/customXml" ds:itemID="{50DD3B1E-ED91-4AE6-BC7E-B098D2684BD1}">
  <ds:schemaRefs/>
</ds:datastoreItem>
</file>

<file path=customXml/itemProps19.xml><?xml version="1.0" encoding="utf-8"?>
<ds:datastoreItem xmlns:ds="http://schemas.openxmlformats.org/officeDocument/2006/customXml" ds:itemID="{299A020A-346D-494F-B795-26FCA9F8CD2C}">
  <ds:schemaRefs/>
</ds:datastoreItem>
</file>

<file path=customXml/itemProps20.xml><?xml version="1.0" encoding="utf-8"?>
<ds:datastoreItem xmlns:ds="http://schemas.openxmlformats.org/officeDocument/2006/customXml" ds:itemID="{C59E9B35-0AE7-49B9-8CF2-1953EBB5ACBC}">
  <ds:schemaRefs/>
</ds:datastoreItem>
</file>

<file path=customXml/itemProps21.xml><?xml version="1.0" encoding="utf-8"?>
<ds:datastoreItem xmlns:ds="http://schemas.openxmlformats.org/officeDocument/2006/customXml" ds:itemID="{FA341D3C-2214-4ACD-AF94-BE9690436CF8}">
  <ds:schemaRefs/>
</ds:datastoreItem>
</file>

<file path=customXml/itemProps22.xml><?xml version="1.0" encoding="utf-8"?>
<ds:datastoreItem xmlns:ds="http://schemas.openxmlformats.org/officeDocument/2006/customXml" ds:itemID="{1039B7D1-58FF-4671-8B7A-AA6647B52214}">
  <ds:schemaRefs/>
</ds:datastoreItem>
</file>

<file path=customXml/itemProps23.xml><?xml version="1.0" encoding="utf-8"?>
<ds:datastoreItem xmlns:ds="http://schemas.openxmlformats.org/officeDocument/2006/customXml" ds:itemID="{53D9BD58-9855-41B1-BBAA-EBD59A28D72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</vt:lpstr>
      <vt:lpstr>Combinacion1</vt:lpstr>
      <vt:lpstr>Hoja1</vt:lpstr>
      <vt:lpstr>Nueva disp</vt:lpstr>
      <vt:lpstr>Codigos en MRP</vt:lpstr>
      <vt:lpstr>Materiales Eliminados del MRP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2026-08-20T20:03:50Z</dcterms:modified>
</cp:coreProperties>
</file>